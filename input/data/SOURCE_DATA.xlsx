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1. econ\1. code\ECON_0127_v2\input\data\"/>
    </mc:Choice>
  </mc:AlternateContent>
  <xr:revisionPtr revIDLastSave="0" documentId="13_ncr:1_{6827B4A1-8C5A-40FF-B418-156EAD505179}" xr6:coauthVersionLast="47" xr6:coauthVersionMax="47" xr10:uidLastSave="{00000000-0000-0000-0000-000000000000}"/>
  <bookViews>
    <workbookView xWindow="-120" yWindow="-120" windowWidth="38640" windowHeight="21240" activeTab="1" xr2:uid="{98105B64-2433-B747-9744-569425947BAB}"/>
  </bookViews>
  <sheets>
    <sheet name="EQcost" sheetId="4" r:id="rId1"/>
    <sheet name="EQcost_SNU" sheetId="18" r:id="rId2"/>
    <sheet name="EQcost_Nuscale" sheetId="17" r:id="rId3"/>
    <sheet name="COUNTRY_SPECIFIC" sheetId="7" r:id="rId4"/>
    <sheet name="dollarValue" sheetId="3" r:id="rId5"/>
    <sheet name="Currency" sheetId="2" r:id="rId6"/>
    <sheet name="CP_List" sheetId="5" r:id="rId7"/>
    <sheet name="SCALING_POWER_EXPONENT" sheetId="6" r:id="rId8"/>
    <sheet name="SCHEDULE" sheetId="8" r:id="rId9"/>
    <sheet name="APR1400" sheetId="10" r:id="rId10"/>
    <sheet name="AP1000" sheetId="13" r:id="rId11"/>
    <sheet name="NuScale" sheetId="15" r:id="rId12"/>
    <sheet name="SMART" sheetId="16" r:id="rId13"/>
  </sheets>
  <definedNames>
    <definedName name="Refere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" i="18" l="1"/>
  <c r="X3" i="18"/>
  <c r="Z3" i="18"/>
  <c r="AB3" i="18"/>
  <c r="V4" i="18"/>
  <c r="X4" i="18"/>
  <c r="Z4" i="18"/>
  <c r="AB4" i="18"/>
  <c r="V5" i="18"/>
  <c r="X5" i="18"/>
  <c r="Z5" i="18"/>
  <c r="AB5" i="18"/>
  <c r="V6" i="18"/>
  <c r="X6" i="18"/>
  <c r="Z6" i="18"/>
  <c r="AB6" i="18"/>
  <c r="V7" i="18"/>
  <c r="X7" i="18"/>
  <c r="Z7" i="18"/>
  <c r="AB7" i="18"/>
  <c r="V8" i="18"/>
  <c r="X8" i="18"/>
  <c r="Z8" i="18"/>
  <c r="AB8" i="18"/>
  <c r="V9" i="18"/>
  <c r="X9" i="18"/>
  <c r="Z9" i="18"/>
  <c r="AB9" i="18"/>
  <c r="V10" i="18"/>
  <c r="X10" i="18"/>
  <c r="Z10" i="18"/>
  <c r="AB10" i="18"/>
  <c r="V11" i="18"/>
  <c r="X11" i="18"/>
  <c r="Z11" i="18"/>
  <c r="AB11" i="18"/>
  <c r="V12" i="18"/>
  <c r="X12" i="18"/>
  <c r="Z12" i="18"/>
  <c r="AB12" i="18"/>
  <c r="V13" i="18"/>
  <c r="X13" i="18"/>
  <c r="Z13" i="18"/>
  <c r="AB13" i="18"/>
  <c r="V14" i="18"/>
  <c r="X14" i="18"/>
  <c r="Z14" i="18"/>
  <c r="AB14" i="18"/>
  <c r="V15" i="18"/>
  <c r="X15" i="18"/>
  <c r="Z15" i="18"/>
  <c r="AB15" i="18"/>
  <c r="V16" i="18"/>
  <c r="X16" i="18"/>
  <c r="Z16" i="18"/>
  <c r="AB16" i="18"/>
  <c r="V17" i="18"/>
  <c r="X17" i="18"/>
  <c r="Z17" i="18"/>
  <c r="AB17" i="18"/>
  <c r="V18" i="18"/>
  <c r="X18" i="18"/>
  <c r="Z18" i="18"/>
  <c r="AB18" i="18"/>
  <c r="V19" i="18"/>
  <c r="X19" i="18"/>
  <c r="Z19" i="18"/>
  <c r="AB19" i="18"/>
  <c r="V20" i="18"/>
  <c r="X20" i="18"/>
  <c r="Z20" i="18"/>
  <c r="AB20" i="18"/>
  <c r="V21" i="18"/>
  <c r="X21" i="18"/>
  <c r="Z21" i="18"/>
  <c r="AB21" i="18"/>
  <c r="V22" i="18"/>
  <c r="X22" i="18"/>
  <c r="Z22" i="18"/>
  <c r="AB22" i="18"/>
  <c r="V23" i="18"/>
  <c r="X23" i="18"/>
  <c r="Z23" i="18"/>
  <c r="AB23" i="18"/>
  <c r="V24" i="18"/>
  <c r="X24" i="18"/>
  <c r="Z24" i="18"/>
  <c r="AB24" i="18"/>
  <c r="V25" i="18"/>
  <c r="X25" i="18"/>
  <c r="Z25" i="18"/>
  <c r="AB25" i="18"/>
  <c r="V26" i="18"/>
  <c r="X26" i="18"/>
  <c r="Z26" i="18"/>
  <c r="AB26" i="18"/>
  <c r="V27" i="18"/>
  <c r="X27" i="18"/>
  <c r="Z27" i="18"/>
  <c r="AB27" i="18"/>
  <c r="V28" i="18"/>
  <c r="X28" i="18"/>
  <c r="Z28" i="18"/>
  <c r="AB28" i="18"/>
  <c r="V29" i="18"/>
  <c r="X29" i="18"/>
  <c r="Z29" i="18"/>
  <c r="AB29" i="18"/>
  <c r="V30" i="18"/>
  <c r="X30" i="18"/>
  <c r="Z30" i="18"/>
  <c r="AB30" i="18"/>
  <c r="V31" i="18"/>
  <c r="X31" i="18"/>
  <c r="Z31" i="18"/>
  <c r="AB31" i="18"/>
  <c r="V32" i="18"/>
  <c r="X32" i="18"/>
  <c r="Z32" i="18"/>
  <c r="AB32" i="18"/>
  <c r="V33" i="18"/>
  <c r="X33" i="18"/>
  <c r="Z33" i="18"/>
  <c r="AB33" i="18"/>
  <c r="V34" i="18"/>
  <c r="X34" i="18"/>
  <c r="Z34" i="18"/>
  <c r="AB34" i="18"/>
  <c r="V35" i="18"/>
  <c r="X35" i="18"/>
  <c r="Z35" i="18"/>
  <c r="AB35" i="18"/>
  <c r="V36" i="18"/>
  <c r="X36" i="18"/>
  <c r="Z36" i="18"/>
  <c r="AB36" i="18"/>
  <c r="V37" i="18"/>
  <c r="X37" i="18"/>
  <c r="Z37" i="18"/>
  <c r="AB37" i="18"/>
  <c r="V38" i="18"/>
  <c r="X38" i="18"/>
  <c r="Z38" i="18"/>
  <c r="AB38" i="18"/>
  <c r="V39" i="18"/>
  <c r="X39" i="18"/>
  <c r="Z39" i="18"/>
  <c r="AB39" i="18"/>
  <c r="V40" i="18"/>
  <c r="X40" i="18"/>
  <c r="Z40" i="18"/>
  <c r="AB40" i="18"/>
  <c r="V41" i="18"/>
  <c r="X41" i="18"/>
  <c r="Z41" i="18"/>
  <c r="AB41" i="18"/>
  <c r="V42" i="18"/>
  <c r="X42" i="18"/>
  <c r="Z42" i="18"/>
  <c r="AB42" i="18"/>
  <c r="V43" i="18"/>
  <c r="X43" i="18"/>
  <c r="Z43" i="18"/>
  <c r="AB43" i="18"/>
  <c r="V44" i="18"/>
  <c r="X44" i="18"/>
  <c r="Z44" i="18"/>
  <c r="AB44" i="18"/>
  <c r="V45" i="18"/>
  <c r="X45" i="18"/>
  <c r="Z45" i="18"/>
  <c r="AB45" i="18"/>
  <c r="V46" i="18"/>
  <c r="X46" i="18"/>
  <c r="Z46" i="18"/>
  <c r="AB46" i="18"/>
  <c r="V47" i="18"/>
  <c r="X47" i="18"/>
  <c r="Z47" i="18"/>
  <c r="AB47" i="18"/>
  <c r="V48" i="18"/>
  <c r="X48" i="18"/>
  <c r="Z48" i="18"/>
  <c r="AB48" i="18"/>
  <c r="V49" i="18"/>
  <c r="X49" i="18"/>
  <c r="Z49" i="18"/>
  <c r="AB49" i="18"/>
  <c r="V50" i="18"/>
  <c r="X50" i="18"/>
  <c r="Z50" i="18"/>
  <c r="AB50" i="18"/>
  <c r="V51" i="18"/>
  <c r="X51" i="18"/>
  <c r="Z51" i="18"/>
  <c r="AB51" i="18"/>
  <c r="V52" i="18"/>
  <c r="X52" i="18"/>
  <c r="Z52" i="18"/>
  <c r="AB52" i="18"/>
  <c r="V53" i="18"/>
  <c r="X53" i="18"/>
  <c r="Z53" i="18"/>
  <c r="AB53" i="18"/>
  <c r="V54" i="18"/>
  <c r="X54" i="18"/>
  <c r="Z54" i="18"/>
  <c r="AB54" i="18"/>
  <c r="V55" i="18"/>
  <c r="X55" i="18"/>
  <c r="Z55" i="18"/>
  <c r="AB55" i="18"/>
  <c r="V56" i="18"/>
  <c r="X56" i="18"/>
  <c r="Z56" i="18"/>
  <c r="AB56" i="18"/>
  <c r="V57" i="18"/>
  <c r="X57" i="18"/>
  <c r="Z57" i="18"/>
  <c r="AB57" i="18"/>
  <c r="V58" i="18"/>
  <c r="X58" i="18"/>
  <c r="Z58" i="18"/>
  <c r="AB58" i="18"/>
  <c r="V59" i="18"/>
  <c r="X59" i="18"/>
  <c r="Z59" i="18"/>
  <c r="AB59" i="18"/>
  <c r="V60" i="18"/>
  <c r="X60" i="18"/>
  <c r="Z60" i="18"/>
  <c r="AB60" i="18"/>
  <c r="V61" i="18"/>
  <c r="X61" i="18"/>
  <c r="Z61" i="18"/>
  <c r="AB61" i="18"/>
  <c r="V62" i="18"/>
  <c r="X62" i="18"/>
  <c r="Z62" i="18"/>
  <c r="AB62" i="18"/>
  <c r="V63" i="18"/>
  <c r="X63" i="18"/>
  <c r="Z63" i="18"/>
  <c r="AB63" i="18"/>
  <c r="V64" i="18"/>
  <c r="X64" i="18"/>
  <c r="Z64" i="18"/>
  <c r="AB64" i="18"/>
  <c r="V65" i="18"/>
  <c r="X65" i="18"/>
  <c r="Z65" i="18"/>
  <c r="AB65" i="18"/>
  <c r="V66" i="18"/>
  <c r="X66" i="18"/>
  <c r="Z66" i="18"/>
  <c r="AB66" i="18"/>
  <c r="V67" i="18"/>
  <c r="X67" i="18"/>
  <c r="Z67" i="18"/>
  <c r="AB67" i="18"/>
  <c r="V68" i="18"/>
  <c r="X68" i="18"/>
  <c r="Z68" i="18"/>
  <c r="AB68" i="18"/>
  <c r="V69" i="18"/>
  <c r="X69" i="18"/>
  <c r="Z69" i="18"/>
  <c r="AB69" i="18"/>
  <c r="V70" i="18"/>
  <c r="X70" i="18"/>
  <c r="Z70" i="18"/>
  <c r="AB70" i="18"/>
  <c r="V71" i="18"/>
  <c r="X71" i="18"/>
  <c r="Z71" i="18"/>
  <c r="AB71" i="18"/>
  <c r="V72" i="18"/>
  <c r="X72" i="18"/>
  <c r="Z72" i="18"/>
  <c r="AB72" i="18"/>
  <c r="V73" i="18"/>
  <c r="X73" i="18"/>
  <c r="Z73" i="18"/>
  <c r="AB73" i="18"/>
  <c r="V74" i="18"/>
  <c r="X74" i="18"/>
  <c r="Z74" i="18"/>
  <c r="AB74" i="18"/>
  <c r="V75" i="18"/>
  <c r="X75" i="18"/>
  <c r="Z75" i="18"/>
  <c r="AB75" i="18"/>
  <c r="V76" i="18"/>
  <c r="X76" i="18"/>
  <c r="Z76" i="18"/>
  <c r="AB76" i="18"/>
  <c r="V77" i="18"/>
  <c r="X77" i="18"/>
  <c r="Z77" i="18"/>
  <c r="AB77" i="18"/>
  <c r="V78" i="18"/>
  <c r="X78" i="18"/>
  <c r="Z78" i="18"/>
  <c r="AB78" i="18"/>
  <c r="V79" i="18"/>
  <c r="X79" i="18"/>
  <c r="Z79" i="18"/>
  <c r="AB79" i="18"/>
  <c r="V80" i="18"/>
  <c r="X80" i="18"/>
  <c r="Z80" i="18"/>
  <c r="AB80" i="18"/>
  <c r="V81" i="18"/>
  <c r="X81" i="18"/>
  <c r="Z81" i="18"/>
  <c r="AB81" i="18"/>
  <c r="V82" i="18"/>
  <c r="X82" i="18"/>
  <c r="Z82" i="18"/>
  <c r="AB82" i="18"/>
  <c r="V83" i="18"/>
  <c r="X83" i="18"/>
  <c r="Z83" i="18"/>
  <c r="AB83" i="18"/>
  <c r="V84" i="18"/>
  <c r="X84" i="18"/>
  <c r="Z84" i="18"/>
  <c r="AB84" i="18"/>
  <c r="V85" i="18"/>
  <c r="X85" i="18"/>
  <c r="Z85" i="18"/>
  <c r="AB85" i="18"/>
  <c r="V86" i="18"/>
  <c r="X86" i="18"/>
  <c r="Z86" i="18"/>
  <c r="AB86" i="18"/>
  <c r="V87" i="18"/>
  <c r="X87" i="18"/>
  <c r="Z87" i="18"/>
  <c r="AB87" i="18"/>
  <c r="V88" i="18"/>
  <c r="X88" i="18"/>
  <c r="Z88" i="18"/>
  <c r="AB88" i="18"/>
  <c r="V89" i="18"/>
  <c r="X89" i="18"/>
  <c r="Z89" i="18"/>
  <c r="AB89" i="18"/>
  <c r="V90" i="18"/>
  <c r="X90" i="18"/>
  <c r="Z90" i="18"/>
  <c r="AB90" i="18"/>
  <c r="V91" i="18"/>
  <c r="X91" i="18"/>
  <c r="Z91" i="18"/>
  <c r="AB91" i="18"/>
  <c r="V92" i="18"/>
  <c r="X92" i="18"/>
  <c r="Z92" i="18"/>
  <c r="AB92" i="18"/>
  <c r="V93" i="18"/>
  <c r="X93" i="18"/>
  <c r="Z93" i="18"/>
  <c r="AB93" i="18"/>
  <c r="V94" i="18"/>
  <c r="X94" i="18"/>
  <c r="Z94" i="18"/>
  <c r="AB94" i="18"/>
  <c r="V95" i="18"/>
  <c r="X95" i="18"/>
  <c r="Z95" i="18"/>
  <c r="AB95" i="18"/>
  <c r="V96" i="18"/>
  <c r="X96" i="18"/>
  <c r="Z96" i="18"/>
  <c r="AB96" i="18"/>
  <c r="V97" i="18"/>
  <c r="X97" i="18"/>
  <c r="Z97" i="18"/>
  <c r="AB97" i="18"/>
  <c r="V98" i="18"/>
  <c r="X98" i="18"/>
  <c r="Z98" i="18"/>
  <c r="AB98" i="18"/>
  <c r="V99" i="18"/>
  <c r="X99" i="18"/>
  <c r="Z99" i="18"/>
  <c r="AB99" i="18"/>
  <c r="V100" i="18"/>
  <c r="X100" i="18"/>
  <c r="Z100" i="18"/>
  <c r="AB100" i="18"/>
  <c r="V101" i="18"/>
  <c r="X101" i="18"/>
  <c r="Z101" i="18"/>
  <c r="AB101" i="18"/>
  <c r="V102" i="18"/>
  <c r="X102" i="18"/>
  <c r="Z102" i="18"/>
  <c r="AB102" i="18"/>
  <c r="V103" i="18"/>
  <c r="X103" i="18"/>
  <c r="Z103" i="18"/>
  <c r="AB103" i="18"/>
  <c r="V104" i="18"/>
  <c r="X104" i="18"/>
  <c r="Z104" i="18"/>
  <c r="AB104" i="18"/>
  <c r="V105" i="18"/>
  <c r="X105" i="18"/>
  <c r="Z105" i="18"/>
  <c r="AB105" i="18"/>
  <c r="V106" i="18"/>
  <c r="X106" i="18"/>
  <c r="Z106" i="18"/>
  <c r="AB106" i="18"/>
  <c r="V107" i="18"/>
  <c r="X107" i="18"/>
  <c r="Z107" i="18"/>
  <c r="AB107" i="18"/>
  <c r="V108" i="18"/>
  <c r="X108" i="18"/>
  <c r="Z108" i="18"/>
  <c r="AB108" i="18"/>
  <c r="V109" i="18"/>
  <c r="X109" i="18"/>
  <c r="Z109" i="18"/>
  <c r="AB109" i="18"/>
  <c r="V110" i="18"/>
  <c r="X110" i="18"/>
  <c r="Z110" i="18"/>
  <c r="AB110" i="18"/>
  <c r="V111" i="18"/>
  <c r="X111" i="18"/>
  <c r="Z111" i="18"/>
  <c r="AB111" i="18"/>
  <c r="V112" i="18"/>
  <c r="X112" i="18"/>
  <c r="Z112" i="18"/>
  <c r="AB112" i="18"/>
  <c r="V113" i="18"/>
  <c r="X113" i="18"/>
  <c r="Z113" i="18"/>
  <c r="AB113" i="18"/>
  <c r="V114" i="18"/>
  <c r="X114" i="18"/>
  <c r="Z114" i="18"/>
  <c r="AB114" i="18"/>
  <c r="V115" i="18"/>
  <c r="X115" i="18"/>
  <c r="Z115" i="18"/>
  <c r="AB115" i="18"/>
  <c r="V116" i="18"/>
  <c r="X116" i="18"/>
  <c r="Z116" i="18"/>
  <c r="AB116" i="18"/>
  <c r="V117" i="18"/>
  <c r="X117" i="18"/>
  <c r="Z117" i="18"/>
  <c r="AB117" i="18"/>
  <c r="V118" i="18"/>
  <c r="X118" i="18"/>
  <c r="Z118" i="18"/>
  <c r="AB118" i="18"/>
  <c r="V119" i="18"/>
  <c r="X119" i="18"/>
  <c r="Z119" i="18"/>
  <c r="AB119" i="18"/>
  <c r="V120" i="18"/>
  <c r="X120" i="18"/>
  <c r="Z120" i="18"/>
  <c r="AB120" i="18"/>
  <c r="V121" i="18"/>
  <c r="X121" i="18"/>
  <c r="Z121" i="18"/>
  <c r="AB121" i="18"/>
  <c r="V122" i="18"/>
  <c r="X122" i="18"/>
  <c r="Z122" i="18"/>
  <c r="AB122" i="18"/>
  <c r="V123" i="18"/>
  <c r="X123" i="18"/>
  <c r="Z123" i="18"/>
  <c r="AB123" i="18"/>
  <c r="V124" i="18"/>
  <c r="X124" i="18"/>
  <c r="Z124" i="18"/>
  <c r="AB124" i="18"/>
  <c r="V125" i="18"/>
  <c r="X125" i="18"/>
  <c r="Z125" i="18"/>
  <c r="AB125" i="18"/>
  <c r="V126" i="18"/>
  <c r="X126" i="18"/>
  <c r="Z126" i="18"/>
  <c r="AB126" i="18"/>
  <c r="V127" i="18"/>
  <c r="X127" i="18"/>
  <c r="Z127" i="18"/>
  <c r="AB127" i="18"/>
  <c r="V128" i="18"/>
  <c r="X128" i="18"/>
  <c r="Z128" i="18"/>
  <c r="AB128" i="18"/>
  <c r="V129" i="18"/>
  <c r="X129" i="18"/>
  <c r="Z129" i="18"/>
  <c r="AB129" i="18"/>
  <c r="V130" i="18"/>
  <c r="X130" i="18"/>
  <c r="Z130" i="18"/>
  <c r="AB130" i="18"/>
  <c r="V131" i="18"/>
  <c r="X131" i="18"/>
  <c r="Z131" i="18"/>
  <c r="AB131" i="18"/>
  <c r="V132" i="18"/>
  <c r="X132" i="18"/>
  <c r="Z132" i="18"/>
  <c r="AB132" i="18"/>
  <c r="V133" i="18"/>
  <c r="X133" i="18"/>
  <c r="Z133" i="18"/>
  <c r="AB133" i="18"/>
  <c r="V134" i="18"/>
  <c r="X134" i="18"/>
  <c r="Z134" i="18"/>
  <c r="AB134" i="18"/>
  <c r="V135" i="18"/>
  <c r="X135" i="18"/>
  <c r="Z135" i="18"/>
  <c r="AB135" i="18"/>
  <c r="V136" i="18"/>
  <c r="X136" i="18"/>
  <c r="Z136" i="18"/>
  <c r="AB136" i="18"/>
  <c r="V137" i="18"/>
  <c r="X137" i="18"/>
  <c r="Z137" i="18"/>
  <c r="AB137" i="18"/>
  <c r="V138" i="18"/>
  <c r="X138" i="18"/>
  <c r="Z138" i="18"/>
  <c r="AB138" i="18"/>
  <c r="V139" i="18"/>
  <c r="X139" i="18"/>
  <c r="Z139" i="18"/>
  <c r="AB139" i="18"/>
  <c r="V140" i="18"/>
  <c r="X140" i="18"/>
  <c r="Z140" i="18"/>
  <c r="AB140" i="18"/>
  <c r="V141" i="18"/>
  <c r="X141" i="18"/>
  <c r="Z141" i="18"/>
  <c r="AB141" i="18"/>
  <c r="V142" i="18"/>
  <c r="X142" i="18"/>
  <c r="Z142" i="18"/>
  <c r="AB142" i="18"/>
  <c r="V143" i="18"/>
  <c r="X143" i="18"/>
  <c r="Z143" i="18"/>
  <c r="AB143" i="18"/>
  <c r="V144" i="18"/>
  <c r="X144" i="18"/>
  <c r="Z144" i="18"/>
  <c r="AB144" i="18"/>
  <c r="V145" i="18"/>
  <c r="X145" i="18"/>
  <c r="Z145" i="18"/>
  <c r="AB145" i="18"/>
  <c r="V146" i="18"/>
  <c r="X146" i="18"/>
  <c r="Z146" i="18"/>
  <c r="AB146" i="18"/>
  <c r="V147" i="18"/>
  <c r="X147" i="18"/>
  <c r="Z147" i="18"/>
  <c r="AB147" i="18"/>
  <c r="V148" i="18"/>
  <c r="X148" i="18"/>
  <c r="Z148" i="18"/>
  <c r="AB148" i="18"/>
  <c r="V149" i="18"/>
  <c r="X149" i="18"/>
  <c r="Z149" i="18"/>
  <c r="AB149" i="18"/>
  <c r="V150" i="18"/>
  <c r="X150" i="18"/>
  <c r="Z150" i="18"/>
  <c r="AB150" i="18"/>
  <c r="V151" i="18"/>
  <c r="X151" i="18"/>
  <c r="Z151" i="18"/>
  <c r="AB151" i="18"/>
  <c r="V152" i="18"/>
  <c r="X152" i="18"/>
  <c r="Z152" i="18"/>
  <c r="AB152" i="18"/>
  <c r="V153" i="18"/>
  <c r="X153" i="18"/>
  <c r="Z153" i="18"/>
  <c r="AB153" i="18"/>
  <c r="V154" i="18"/>
  <c r="X154" i="18"/>
  <c r="Z154" i="18"/>
  <c r="AB154" i="18"/>
  <c r="V155" i="18"/>
  <c r="X155" i="18"/>
  <c r="Z155" i="18"/>
  <c r="AB155" i="18"/>
  <c r="V156" i="18"/>
  <c r="X156" i="18"/>
  <c r="Z156" i="18"/>
  <c r="AB156" i="18"/>
  <c r="V157" i="18"/>
  <c r="X157" i="18"/>
  <c r="Z157" i="18"/>
  <c r="AB157" i="18"/>
  <c r="V158" i="18"/>
  <c r="X158" i="18"/>
  <c r="Z158" i="18"/>
  <c r="AB158" i="18"/>
  <c r="V159" i="18"/>
  <c r="X159" i="18"/>
  <c r="Z159" i="18"/>
  <c r="AB159" i="18"/>
  <c r="V160" i="18"/>
  <c r="X160" i="18"/>
  <c r="Z160" i="18"/>
  <c r="AB160" i="18"/>
  <c r="V161" i="18"/>
  <c r="X161" i="18"/>
  <c r="Z161" i="18"/>
  <c r="AB161" i="18"/>
  <c r="V162" i="18"/>
  <c r="X162" i="18"/>
  <c r="Z162" i="18"/>
  <c r="AB162" i="18"/>
  <c r="V163" i="18"/>
  <c r="X163" i="18"/>
  <c r="Z163" i="18"/>
  <c r="AB163" i="18"/>
  <c r="V164" i="18"/>
  <c r="X164" i="18"/>
  <c r="Z164" i="18"/>
  <c r="AB164" i="18"/>
  <c r="V165" i="18"/>
  <c r="X165" i="18"/>
  <c r="Z165" i="18"/>
  <c r="AB165" i="18"/>
  <c r="V166" i="18"/>
  <c r="X166" i="18"/>
  <c r="Z166" i="18"/>
  <c r="AB166" i="18"/>
  <c r="V167" i="18"/>
  <c r="X167" i="18"/>
  <c r="Z167" i="18"/>
  <c r="AB167" i="18"/>
  <c r="V168" i="18"/>
  <c r="X168" i="18"/>
  <c r="Z168" i="18"/>
  <c r="AB168" i="18"/>
  <c r="V169" i="18"/>
  <c r="X169" i="18"/>
  <c r="Z169" i="18"/>
  <c r="AB169" i="18"/>
  <c r="V170" i="18"/>
  <c r="X170" i="18"/>
  <c r="Z170" i="18"/>
  <c r="AB170" i="18"/>
  <c r="V171" i="18"/>
  <c r="X171" i="18"/>
  <c r="Z171" i="18"/>
  <c r="AB171" i="18"/>
  <c r="V172" i="18"/>
  <c r="X172" i="18"/>
  <c r="Z172" i="18"/>
  <c r="AB172" i="18"/>
  <c r="V173" i="18"/>
  <c r="X173" i="18"/>
  <c r="Z173" i="18"/>
  <c r="AB173" i="18"/>
  <c r="V174" i="18"/>
  <c r="X174" i="18"/>
  <c r="Z174" i="18"/>
  <c r="AB174" i="18"/>
  <c r="V175" i="18"/>
  <c r="X175" i="18"/>
  <c r="Z175" i="18"/>
  <c r="AB175" i="18"/>
  <c r="V176" i="18"/>
  <c r="X176" i="18"/>
  <c r="Z176" i="18"/>
  <c r="AB176" i="18"/>
  <c r="V177" i="18"/>
  <c r="X177" i="18"/>
  <c r="Z177" i="18"/>
  <c r="AB177" i="18"/>
  <c r="V178" i="18"/>
  <c r="X178" i="18"/>
  <c r="Z178" i="18"/>
  <c r="AB178" i="18"/>
  <c r="V179" i="18"/>
  <c r="X179" i="18"/>
  <c r="Z179" i="18"/>
  <c r="AB179" i="18"/>
  <c r="V180" i="18"/>
  <c r="X180" i="18"/>
  <c r="Z180" i="18"/>
  <c r="AB180" i="18"/>
  <c r="V181" i="18"/>
  <c r="X181" i="18"/>
  <c r="Z181" i="18"/>
  <c r="AB181" i="18"/>
  <c r="V182" i="18"/>
  <c r="X182" i="18"/>
  <c r="Z182" i="18"/>
  <c r="AB182" i="18"/>
  <c r="V183" i="18"/>
  <c r="X183" i="18"/>
  <c r="Z183" i="18"/>
  <c r="AB183" i="18"/>
  <c r="V184" i="18"/>
  <c r="X184" i="18"/>
  <c r="Z184" i="18"/>
  <c r="AB184" i="18"/>
  <c r="V185" i="18"/>
  <c r="X185" i="18"/>
  <c r="Z185" i="18"/>
  <c r="AB185" i="18"/>
  <c r="V186" i="18"/>
  <c r="X186" i="18"/>
  <c r="Z186" i="18"/>
  <c r="AB186" i="18"/>
  <c r="V187" i="18"/>
  <c r="X187" i="18"/>
  <c r="Z187" i="18"/>
  <c r="AB187" i="18"/>
  <c r="V188" i="18"/>
  <c r="X188" i="18"/>
  <c r="Z188" i="18"/>
  <c r="AB188" i="18"/>
  <c r="V189" i="18"/>
  <c r="X189" i="18"/>
  <c r="Z189" i="18"/>
  <c r="AB189" i="18"/>
  <c r="V190" i="18"/>
  <c r="X190" i="18"/>
  <c r="Z190" i="18"/>
  <c r="AB190" i="18"/>
  <c r="V191" i="18"/>
  <c r="X191" i="18"/>
  <c r="Z191" i="18"/>
  <c r="AB191" i="18"/>
  <c r="V192" i="18"/>
  <c r="X192" i="18"/>
  <c r="Z192" i="18"/>
  <c r="AB192" i="18"/>
  <c r="V193" i="18"/>
  <c r="X193" i="18"/>
  <c r="Z193" i="18"/>
  <c r="AB193" i="18"/>
  <c r="V194" i="18"/>
  <c r="X194" i="18"/>
  <c r="Z194" i="18"/>
  <c r="AB194" i="18"/>
  <c r="V195" i="18"/>
  <c r="X195" i="18"/>
  <c r="Z195" i="18"/>
  <c r="AB195" i="18"/>
  <c r="X2" i="18"/>
  <c r="Z2" i="18"/>
  <c r="AB2" i="18"/>
  <c r="V2" i="18"/>
  <c r="F13" i="16"/>
  <c r="N35" i="10"/>
  <c r="M35" i="10"/>
  <c r="G35" i="10"/>
</calcChain>
</file>

<file path=xl/sharedStrings.xml><?xml version="1.0" encoding="utf-8"?>
<sst xmlns="http://schemas.openxmlformats.org/spreadsheetml/2006/main" count="18328" uniqueCount="1312">
  <si>
    <t>DATE</t>
  </si>
  <si>
    <t>CURRENCY</t>
  </si>
  <si>
    <t>YEAR</t>
  </si>
  <si>
    <t>2025USD</t>
  </si>
  <si>
    <t>Sort 용 번호</t>
  </si>
  <si>
    <t>세부 구분 1</t>
  </si>
  <si>
    <t>세부 구분 2</t>
  </si>
  <si>
    <t>세부 구분 3</t>
  </si>
  <si>
    <t>보조기기 분야</t>
  </si>
  <si>
    <t>Package #</t>
  </si>
  <si>
    <t>자재명 (한글)</t>
  </si>
  <si>
    <t>자재명 (영문)</t>
  </si>
  <si>
    <t>품질 등급</t>
  </si>
  <si>
    <t>공급</t>
  </si>
  <si>
    <t xml:space="preserve">시공 </t>
  </si>
  <si>
    <t>시공</t>
  </si>
  <si>
    <t>procurement_SK34</t>
  </si>
  <si>
    <t>contractDate_SK34</t>
  </si>
  <si>
    <t>procurement_SH12</t>
  </si>
  <si>
    <t>contractDate_SH12</t>
  </si>
  <si>
    <t>procurement_SK56</t>
  </si>
  <si>
    <t>contractDate_SK56</t>
  </si>
  <si>
    <t>procurement_SH34</t>
  </si>
  <si>
    <t>contractDate_SH34</t>
  </si>
  <si>
    <t>CP</t>
  </si>
  <si>
    <t>Direct</t>
  </si>
  <si>
    <t>기자재비</t>
  </si>
  <si>
    <t>원자로설비</t>
  </si>
  <si>
    <t>-</t>
  </si>
  <si>
    <t>CP-M5</t>
  </si>
  <si>
    <t>터빈발전기</t>
  </si>
  <si>
    <t>CP-M3</t>
  </si>
  <si>
    <t>보조기기</t>
  </si>
  <si>
    <t>CIVIL</t>
  </si>
  <si>
    <t>C201</t>
  </si>
  <si>
    <t>시멘트</t>
  </si>
  <si>
    <t>CEMENT </t>
  </si>
  <si>
    <t>Q</t>
  </si>
  <si>
    <t>○</t>
  </si>
  <si>
    <t>CP-A1</t>
  </si>
  <si>
    <t>C204</t>
  </si>
  <si>
    <t>철골</t>
  </si>
  <si>
    <t>STRUCTURAL STEEL</t>
  </si>
  <si>
    <t>Q,A,S</t>
  </si>
  <si>
    <t>C205A</t>
  </si>
  <si>
    <t>철근 A 그룹</t>
  </si>
  <si>
    <t>REINFORCING STEEL BAR, UP TO #10 BAR SIZES</t>
  </si>
  <si>
    <t>C205B</t>
  </si>
  <si>
    <t>철근 B 그룹</t>
  </si>
  <si>
    <t>REINFORCING STEEL BAR, #11, #14 &amp; #18 BAR SIZES</t>
  </si>
  <si>
    <t>C205C</t>
  </si>
  <si>
    <t>철근 C 그룹</t>
  </si>
  <si>
    <t>REINFORCING STEEL BAR, KS BARS</t>
  </si>
  <si>
    <t>S</t>
  </si>
  <si>
    <t>C208</t>
  </si>
  <si>
    <t>원자로건물 철판</t>
  </si>
  <si>
    <t>CONTAINMENT LINER PLATES</t>
  </si>
  <si>
    <t>Q,A</t>
  </si>
  <si>
    <t>C209</t>
  </si>
  <si>
    <t>격납건물 포스트텐셔닝</t>
  </si>
  <si>
    <t>CONTAINMENT POST- TENSIONING SYSTEM</t>
  </si>
  <si>
    <t>Q,S</t>
  </si>
  <si>
    <t>C210</t>
  </si>
  <si>
    <t>스테인리스 스틸라이너</t>
  </si>
  <si>
    <t>STAINLESS STEEL LINER  WORKS</t>
  </si>
  <si>
    <t>CP-M1</t>
  </si>
  <si>
    <t>C211</t>
  </si>
  <si>
    <t>PRESTRESSED CONCRETE PIPE (STEEL CYLINDER TYPE)</t>
  </si>
  <si>
    <t>X</t>
  </si>
  <si>
    <t>C212</t>
  </si>
  <si>
    <t>보조기기 취수관료용 유리섬유복합관</t>
  </si>
  <si>
    <t>GLASS FIBER REINFORCED PLASTIC PIPE &amp; FITTINGS</t>
  </si>
  <si>
    <t>CP-C1</t>
  </si>
  <si>
    <t>C213</t>
  </si>
  <si>
    <t>우배수관</t>
  </si>
  <si>
    <t>STORM DRAIN PIPING &amp; FITTINGS</t>
  </si>
  <si>
    <t>C215A</t>
  </si>
  <si>
    <t>안전등급 공장제작 배관지지대</t>
  </si>
  <si>
    <t>SAFETY-RELATED SHOP FABRICATED PIPE SUPPORTS</t>
  </si>
  <si>
    <t>CP-P1</t>
  </si>
  <si>
    <t>C215B</t>
  </si>
  <si>
    <t>비안정성 공장제작배관지지대</t>
  </si>
  <si>
    <t>SHOP FABRICATED POWER PIPE SUPPORTS</t>
  </si>
  <si>
    <t>C215C</t>
  </si>
  <si>
    <t>방진기</t>
  </si>
  <si>
    <t>SNUBBERS</t>
  </si>
  <si>
    <t>C216</t>
  </si>
  <si>
    <t>레미콘</t>
  </si>
  <si>
    <t>READY-MIXED CONCRETE (TYPE 1 CEMENT)</t>
  </si>
  <si>
    <t>C220</t>
  </si>
  <si>
    <t>CONCRETE EXPANSION ANCHORS</t>
  </si>
  <si>
    <t>C222</t>
  </si>
  <si>
    <t>PIPE WHIP RESTRAINT</t>
  </si>
  <si>
    <t>C223</t>
  </si>
  <si>
    <t>MISCELLANEOUS STEEL AND METALS</t>
  </si>
  <si>
    <t>C224</t>
  </si>
  <si>
    <t>WATERPROOFING</t>
  </si>
  <si>
    <t>C225</t>
  </si>
  <si>
    <t>WATER STOP AND EXPANSION JOINT FILLER</t>
  </si>
  <si>
    <t>C228A</t>
  </si>
  <si>
    <t>NSSS EMBEDMENTS</t>
  </si>
  <si>
    <t>C228B</t>
  </si>
  <si>
    <t>NSSS SUPPORTS</t>
  </si>
  <si>
    <t>C231</t>
  </si>
  <si>
    <t>MECHANICAL REBAR SPLICES </t>
  </si>
  <si>
    <t>C235</t>
  </si>
  <si>
    <t>YARD FIRE PROTECTION SYSTEM PIPING AND FITTINGS</t>
  </si>
  <si>
    <t>C251</t>
  </si>
  <si>
    <t>스틸 그레이팅</t>
  </si>
  <si>
    <t>STEEL GRATING</t>
  </si>
  <si>
    <t>건축</t>
  </si>
  <si>
    <t>A202</t>
  </si>
  <si>
    <t>LAUNDRY EQUIPMENT</t>
  </si>
  <si>
    <t>A203</t>
  </si>
  <si>
    <t>엘리베이터</t>
  </si>
  <si>
    <t>ELECTRIC ELEVATORS</t>
  </si>
  <si>
    <t>A220</t>
  </si>
  <si>
    <t>HOLLOW METAL DOORS &amp; HARDWARES</t>
  </si>
  <si>
    <t>A,S</t>
  </si>
  <si>
    <t>A221</t>
  </si>
  <si>
    <t>BULLET-RESISTANT DOORS</t>
  </si>
  <si>
    <t>A223</t>
  </si>
  <si>
    <t>ROLLING DOORS</t>
  </si>
  <si>
    <t>A224</t>
  </si>
  <si>
    <t>BLAST DOORS</t>
  </si>
  <si>
    <t>A</t>
  </si>
  <si>
    <t>A225</t>
  </si>
  <si>
    <t>ENTRANCE DOORS, STOREFRONTS, WINDOWS, GLASS, GLAZING &amp; STAINLESS STEEL CURTAINWALL</t>
  </si>
  <si>
    <t>A226</t>
  </si>
  <si>
    <t>LOUVERS </t>
  </si>
  <si>
    <t>A227</t>
  </si>
  <si>
    <t>METAL SIDING WORK</t>
  </si>
  <si>
    <t>A228</t>
  </si>
  <si>
    <t>METAL ROOF PANELS</t>
  </si>
  <si>
    <t>A229</t>
  </si>
  <si>
    <t>CURTAIN WALL</t>
  </si>
  <si>
    <t>A230</t>
  </si>
  <si>
    <t>MISCELLANEOUS METALS &amp; SHEETS</t>
  </si>
  <si>
    <t>A231</t>
  </si>
  <si>
    <t>CONTROL ROOM CEILING</t>
  </si>
  <si>
    <t>A232</t>
  </si>
  <si>
    <t>ACCESS FLOORING</t>
  </si>
  <si>
    <t>A233</t>
  </si>
  <si>
    <t>CAULKING AND SEALANTS</t>
  </si>
  <si>
    <t>A234</t>
  </si>
  <si>
    <t>OPENING AND PENETRATION SEALS</t>
  </si>
  <si>
    <t>A235</t>
  </si>
  <si>
    <t>FIREPROOFING ON STRUCTURAL STEEL</t>
  </si>
  <si>
    <t>A236</t>
  </si>
  <si>
    <t>실험실가구</t>
  </si>
  <si>
    <t>LABORATORY FURNITURE</t>
  </si>
  <si>
    <t>CP-A2</t>
  </si>
  <si>
    <t>A237</t>
  </si>
  <si>
    <t>ABOVE GRADE MEMBRANE WATERPROOFING</t>
  </si>
  <si>
    <t>A238</t>
  </si>
  <si>
    <t>GYPSUM DRYWALL</t>
  </si>
  <si>
    <t>A239</t>
  </si>
  <si>
    <t>STUDDING, LATHING AND PLASTERING</t>
  </si>
  <si>
    <t>A240</t>
  </si>
  <si>
    <t>ACCESSIBLE SUSPENDED ACOUSTICAL TILE CEILING</t>
  </si>
  <si>
    <t>A241</t>
  </si>
  <si>
    <t>CERAMIC TILES</t>
  </si>
  <si>
    <t>A243</t>
  </si>
  <si>
    <t>VINYL COMPOSITION TILE</t>
  </si>
  <si>
    <t>A244</t>
  </si>
  <si>
    <t>VINYL SHEET FLOORING</t>
  </si>
  <si>
    <t>A245</t>
  </si>
  <si>
    <t>CHEMICAL-RESISTANT FLOOR FINISH</t>
  </si>
  <si>
    <t>A246</t>
  </si>
  <si>
    <t>GRANITE</t>
  </si>
  <si>
    <t>A247</t>
  </si>
  <si>
    <t>TOILET PARTITIONS &amp; ACCESSORIES</t>
  </si>
  <si>
    <t>A248</t>
  </si>
  <si>
    <t>LOCKERS AND BENCHES</t>
  </si>
  <si>
    <t>A249</t>
  </si>
  <si>
    <t>KITCHEN UNITS &amp; CABINETS</t>
  </si>
  <si>
    <t>A253</t>
  </si>
  <si>
    <t>FIELD FINISH COATING/PAINTING MATERIALS FOR COATING SERVICE LEVEL Ⅰ&amp;Ⅱ AREAS</t>
  </si>
  <si>
    <t>A254</t>
  </si>
  <si>
    <t>FIELD FINISH COATING/PAINTING MATERIALS FOR INDUSTRIAL/ARCHITECTURAL AREAS</t>
  </si>
  <si>
    <t>S </t>
  </si>
  <si>
    <t>A255</t>
  </si>
  <si>
    <t>CONCRETE BLOCK MASONRY</t>
  </si>
  <si>
    <t>A256</t>
  </si>
  <si>
    <t>RADIATION SHIELD DOOR</t>
  </si>
  <si>
    <t>A257</t>
  </si>
  <si>
    <t>FLOOD(WATERTIGHT) DOORS</t>
  </si>
  <si>
    <t>A258</t>
  </si>
  <si>
    <t>TEXTURED COATING</t>
  </si>
  <si>
    <t>A263</t>
  </si>
  <si>
    <t>EQUIPMENT COATING MATERIALS FOR COATING SERVICE LEVEL I&amp;II AREAS</t>
  </si>
  <si>
    <t>Q,S </t>
  </si>
  <si>
    <t>A264</t>
  </si>
  <si>
    <t>EQUIPMENT COATING MATERIALS FOR INDUSTRIAL AREA</t>
  </si>
  <si>
    <t>기계</t>
  </si>
  <si>
    <t>M201</t>
  </si>
  <si>
    <t>복수기 및 보조기기</t>
  </si>
  <si>
    <t>MAIN CONDENSER &amp; AUXILIARIES</t>
  </si>
  <si>
    <t>CP-M2</t>
  </si>
  <si>
    <t>M202</t>
  </si>
  <si>
    <t>복수기 진공펌프</t>
  </si>
  <si>
    <t>CONDENSER VACUUM PUMPS</t>
  </si>
  <si>
    <t>M203</t>
  </si>
  <si>
    <t>이물질여과기 및 복수기 세정설비</t>
  </si>
  <si>
    <t>DEBRIS FILTERS &amp; CONDENSER TUBE CLEANING SYSTEM</t>
  </si>
  <si>
    <t>CP-Y1</t>
  </si>
  <si>
    <t>M204A</t>
  </si>
  <si>
    <t>주급수펌프</t>
  </si>
  <si>
    <t>MAIN FEEDWATER PUMPS</t>
  </si>
  <si>
    <t>M204B</t>
  </si>
  <si>
    <t>가동급수펌프</t>
  </si>
  <si>
    <t>START-UP FEEDWATER PUMPS</t>
  </si>
  <si>
    <t>M205</t>
  </si>
  <si>
    <t>급수펌프터빈</t>
  </si>
  <si>
    <t>FEEDWATER PUMP TURBINES </t>
  </si>
  <si>
    <t>M206</t>
  </si>
  <si>
    <t>보조급수펌프 및 구동기</t>
  </si>
  <si>
    <t>AUXILIARY FEEDWATER PUMPS &amp; DRIVERS</t>
  </si>
  <si>
    <t>M208</t>
  </si>
  <si>
    <t>복수펌프 및 급수승압펌프</t>
  </si>
  <si>
    <t>CONDENSATE PUMPS &amp; FEEDWATER BOOSTER PUMPS</t>
  </si>
  <si>
    <t>M210</t>
  </si>
  <si>
    <t>염소해수공급펌프 및 스크린세척펌프</t>
  </si>
  <si>
    <t>CL SEAWATER SUPPLY PUMPS &amp; CIRCULATING WATER SCREEN WASH PUMPS</t>
  </si>
  <si>
    <t>M212</t>
  </si>
  <si>
    <t>원심펌프</t>
  </si>
  <si>
    <t>CENTRIFUGAL PUMPS</t>
  </si>
  <si>
    <t>A,S </t>
  </si>
  <si>
    <t>M214</t>
  </si>
  <si>
    <t>디젤(연료)유 및 윤활유 이송펌프</t>
  </si>
  <si>
    <t>DIESEL FUEL OIL PUMPS &amp; LUBE OIL TRANSFER PUMPS</t>
  </si>
  <si>
    <t>M217</t>
  </si>
  <si>
    <t>수직배수펌프</t>
  </si>
  <si>
    <t>VERTICAL SUMP PUMPS</t>
  </si>
  <si>
    <t>M218</t>
  </si>
  <si>
    <t>수중배수펌프</t>
  </si>
  <si>
    <t>SUBMERSIBLE SUMP PUMPS</t>
  </si>
  <si>
    <t>M220</t>
  </si>
  <si>
    <t>순환수펌프</t>
  </si>
  <si>
    <t>CIRCULATING WATER PUMPS</t>
  </si>
  <si>
    <t>M222</t>
  </si>
  <si>
    <t>공작기계</t>
  </si>
  <si>
    <t>MACHINE SHOP EQUIPMENT</t>
  </si>
  <si>
    <t>M224</t>
  </si>
  <si>
    <t>공기압축기 및 보조기기</t>
  </si>
  <si>
    <t>AIR COMPRESSORS &amp; AUXILIARIES</t>
  </si>
  <si>
    <t>M226</t>
  </si>
  <si>
    <t>비안전성 냉동기</t>
  </si>
  <si>
    <t>NON-SAFETY-RELATED CHILLERS</t>
  </si>
  <si>
    <t>M227</t>
  </si>
  <si>
    <t>안전성 냉동기</t>
  </si>
  <si>
    <t>SAFETY-RELATED CHILLERS</t>
  </si>
  <si>
    <t>M228</t>
  </si>
  <si>
    <t>급수가열기 및 탈기기</t>
  </si>
  <si>
    <t>FEEDWATER HEATERS &amp; DEAERATOR</t>
  </si>
  <si>
    <t>M229A</t>
  </si>
  <si>
    <t>비안전성 판형 열교환기</t>
  </si>
  <si>
    <t>NON-SAFETY-RELATED HEAT EXCHANGERS (PLATE TYPE)</t>
  </si>
  <si>
    <t>M229B</t>
  </si>
  <si>
    <t>비안전성 관형 열교환기</t>
  </si>
  <si>
    <t>NON-SAFETY-RELATED HEAT EXCHANGERS(SHELL &amp; TUBE TYPE)</t>
  </si>
  <si>
    <t>M233</t>
  </si>
  <si>
    <t>용수처리설비</t>
  </si>
  <si>
    <t>CONDENSATE POLISHING SYSTEM, WATER TREATMENT SYSTEM, CHLORINATION SYSTEM, CHEMICAL FEED PUMPS AND TANKS</t>
  </si>
  <si>
    <t>M239</t>
  </si>
  <si>
    <t>서비스가스 저장설비</t>
  </si>
  <si>
    <t>HYDROGEN, BREATHING AIR &amp; LIQUID NITROGEN STORAGE FACILITIES</t>
  </si>
  <si>
    <t>M241</t>
  </si>
  <si>
    <t>트레블링 스크린 및 취수구 부속설비</t>
  </si>
  <si>
    <t>TRAVELING SCREENS &amp; INTAKE STRUCTURE ACCESSORIES</t>
  </si>
  <si>
    <t>M243</t>
  </si>
  <si>
    <t>주증기 및 주급수 격리밸브</t>
  </si>
  <si>
    <t>(신고리 5,6만) MAIN STEAM ISOLATION VALVES &amp; MAIN FEEDWATER ISOLATION VALVES</t>
  </si>
  <si>
    <t xml:space="preserve">MAIN STEAM ISOLATION VALVES &amp; MAIN FEEDWATER ISOLATION VALVES </t>
  </si>
  <si>
    <t>M244</t>
  </si>
  <si>
    <t>주증기 안전밸브</t>
  </si>
  <si>
    <t>MAIN STEAM SAFETY VALVES</t>
  </si>
  <si>
    <t>M245</t>
  </si>
  <si>
    <t>안전방출밸브</t>
  </si>
  <si>
    <t>SAFETY RELIEF VALVES</t>
  </si>
  <si>
    <t>M246</t>
  </si>
  <si>
    <t>터빈건믈 핵연료취급지역 크레인</t>
  </si>
  <si>
    <t>TURBINE GENERATOR BUILDING MAIN CRANE &amp; FUEL HANDLING AREA CRANE</t>
  </si>
  <si>
    <t>M248</t>
  </si>
  <si>
    <t>원자로건물 천정크레인</t>
  </si>
  <si>
    <t>REACTOR CONTAINMENT BUILDING POLAR CRANE</t>
  </si>
  <si>
    <t>M249</t>
  </si>
  <si>
    <t>오버헤드크레인 및 기타크레인</t>
  </si>
  <si>
    <t>OVERHEAD CRANE &amp; MISCELLANEOUS CRANES(15 TO 150ton)</t>
  </si>
  <si>
    <t>M250</t>
  </si>
  <si>
    <t>호이스트 및 기타 크레인</t>
  </si>
  <si>
    <t>HOISTS &amp; MISCELLANEOUS CRANES (LESS THAN 15TON)</t>
  </si>
  <si>
    <t>M251</t>
  </si>
  <si>
    <t>안전성 공기조화기</t>
  </si>
  <si>
    <t>SAFETY RELATED AIR HANDLING UNITS, CUBICLE COOLERS AND NON-SAFETY-RELATED RCFCS </t>
  </si>
  <si>
    <t>CP-M4</t>
  </si>
  <si>
    <t>M252</t>
  </si>
  <si>
    <t>안전성 공기정화기</t>
  </si>
  <si>
    <t>SAFETY-RELATED AIR CLEANING UNITS &amp; DUCT HEATERS</t>
  </si>
  <si>
    <t>M253</t>
  </si>
  <si>
    <t>비안전 공기조화기 및 지역냉방기</t>
  </si>
  <si>
    <t>NON-SAFETY-RELATED AIR HANDLING UNITS &amp; CUBICLE COOLERS</t>
  </si>
  <si>
    <t>M254</t>
  </si>
  <si>
    <t>댐퍼 및 덕트용 부속설비</t>
  </si>
  <si>
    <t>DAMPERS  &amp; DUCTWORK  ACCESSORIES</t>
  </si>
  <si>
    <t>M255A</t>
  </si>
  <si>
    <t>비안전성 공기정화기</t>
  </si>
  <si>
    <t>NON-SAFETY-RELATED AIR CLEANING UNITS</t>
  </si>
  <si>
    <t>M255B</t>
  </si>
  <si>
    <t>(안전등급)송풍기</t>
  </si>
  <si>
    <t>FANS</t>
  </si>
  <si>
    <t>M255C</t>
  </si>
  <si>
    <t>MOBILE FAN &amp; DUCT</t>
  </si>
  <si>
    <t>M258</t>
  </si>
  <si>
    <t>소화펌프 및 구동기기</t>
  </si>
  <si>
    <t>FIRE PUMPS &amp; DRIVERS</t>
  </si>
  <si>
    <t>M259</t>
  </si>
  <si>
    <t>화재감지설비 및 소화설비</t>
  </si>
  <si>
    <t>FIRE DETECTION, PROTECTION SYSTEM AND GASEOUS FIRE PROTECTION SYSTEM</t>
  </si>
  <si>
    <t>M260</t>
  </si>
  <si>
    <t>공기호흡장비</t>
  </si>
  <si>
    <t>SELF CONTAINED BREATHING APPARATUS</t>
  </si>
  <si>
    <t>M262</t>
  </si>
  <si>
    <t>대체교류전원 대젤발전기</t>
  </si>
  <si>
    <t>SEISMIC CATEGORY ⅠALTERNATE DIESEL GENERATOR</t>
  </si>
  <si>
    <t>M262B</t>
  </si>
  <si>
    <t>이동형 디젤구동펌프</t>
  </si>
  <si>
    <t>MOBILE DIESEL DRIVEN PUMP</t>
  </si>
  <si>
    <t>M263</t>
  </si>
  <si>
    <t>비상디젤발전기</t>
  </si>
  <si>
    <t>EMERGENCY DIESEL GENERATORS</t>
  </si>
  <si>
    <t>M264</t>
  </si>
  <si>
    <t>비안전등급 디젤발전기</t>
  </si>
  <si>
    <t>NON-CLASS 1E DIESEL GENERATORS</t>
  </si>
  <si>
    <t>M265</t>
  </si>
  <si>
    <t>원자로헤드 개폐용 스터드신장기</t>
  </si>
  <si>
    <t>SINGLE-STUD TENSIONERS</t>
  </si>
  <si>
    <t>M266</t>
  </si>
  <si>
    <t>이동형 가스터빈 발전기</t>
  </si>
  <si>
    <t>MOBILE GAS TURBINE GENERATOR (100kW, 10kW, 30kW)</t>
  </si>
  <si>
    <t>M273</t>
  </si>
  <si>
    <t>유량제한기 및 벤츄리</t>
  </si>
  <si>
    <t>FLOW RESTRICTION ELEMENTS &amp; VENTURIES</t>
  </si>
  <si>
    <t>M280</t>
  </si>
  <si>
    <t>NUCLEAR GRADE BLANKET TYPE INSULATION</t>
  </si>
  <si>
    <t>M281</t>
  </si>
  <si>
    <t>COMMERCIAL GRADE INSULATION</t>
  </si>
  <si>
    <t>M290</t>
  </si>
  <si>
    <t>FIELD ERECTED TANKS</t>
  </si>
  <si>
    <t>CP-M6</t>
  </si>
  <si>
    <t>M284</t>
  </si>
  <si>
    <t>NON-SAFETY-RELATED MANUAL DAMPERS AND DUCTWORK ACCESSORIES</t>
  </si>
  <si>
    <t>N201</t>
  </si>
  <si>
    <t>1차기기 냉각해수 및 스크린세척펌프</t>
  </si>
  <si>
    <t>ESSENTIAL SERVICE WATER PUMPS &amp; SCREEN WASH PUMPS</t>
  </si>
  <si>
    <t>N201A</t>
  </si>
  <si>
    <t>고유량 이동형펌프</t>
  </si>
  <si>
    <t>MOBILE SERVICE WATER PUMP</t>
  </si>
  <si>
    <t>N202</t>
  </si>
  <si>
    <t>안전등급 원심펌프</t>
  </si>
  <si>
    <t>SAFETY-RELATED CENTRIFUGAL PUMPS</t>
  </si>
  <si>
    <t>N203</t>
  </si>
  <si>
    <t>격납건물 살수펌프</t>
  </si>
  <si>
    <t>CONTAINMENT SPRAY PUMPS</t>
  </si>
  <si>
    <t>N204</t>
  </si>
  <si>
    <t>안전등급 열교환기</t>
  </si>
  <si>
    <t>SAFETY-RELATED HEAT EXCHANGERS</t>
  </si>
  <si>
    <t>N205</t>
  </si>
  <si>
    <t>안전성 공장제작 압력용기 및 탱크</t>
  </si>
  <si>
    <t>SAFETY-RELATED SHOP FABRICATED PRESSURE VESSELS &amp; TANKS</t>
  </si>
  <si>
    <t>N206</t>
  </si>
  <si>
    <t>IRWST 집수조 스트레이너</t>
  </si>
  <si>
    <t>IRWST SUMP STRAINERS</t>
  </si>
  <si>
    <t>N207</t>
  </si>
  <si>
    <t>기체폐기물계통</t>
  </si>
  <si>
    <t>GASEOUS RADWASTE SYSTEM</t>
  </si>
  <si>
    <t>N208</t>
  </si>
  <si>
    <t>액체방사성폐기물계통</t>
  </si>
  <si>
    <t>LIQUID RADWASTE SYSTEM (R/O PACKAGE)</t>
  </si>
  <si>
    <t>N209</t>
  </si>
  <si>
    <t>농축폐액처리설비</t>
  </si>
  <si>
    <t>R/O CONCENTRATE TREATMENT SYSTEM</t>
  </si>
  <si>
    <t>N210</t>
  </si>
  <si>
    <t>비안전성 등급 압력용기 및 탱크</t>
  </si>
  <si>
    <t>NON-SAFETY-RELATED PRESSURE VESSELS &amp; TANKS</t>
  </si>
  <si>
    <t>N211</t>
  </si>
  <si>
    <t>방사성 폐기물 필터</t>
  </si>
  <si>
    <t>RADWASTE FILTERS</t>
  </si>
  <si>
    <t>N212</t>
  </si>
  <si>
    <t>폴리머고화설비</t>
  </si>
  <si>
    <t>POLYMER SOLIDIFICATION SYSTEM</t>
  </si>
  <si>
    <t>N214</t>
  </si>
  <si>
    <t>화학약품 및 이온교환수지</t>
  </si>
  <si>
    <t>CHEMICAL AND RESINS</t>
  </si>
  <si>
    <t>N215</t>
  </si>
  <si>
    <t>원자로건물 살수노즐</t>
  </si>
  <si>
    <t>CONTAINMENT SPRAY NOZZLES</t>
  </si>
  <si>
    <t>N216</t>
  </si>
  <si>
    <t>보건물리장비</t>
  </si>
  <si>
    <t>HEALTH PHYSICS EQUIPMENT</t>
  </si>
  <si>
    <t>N217</t>
  </si>
  <si>
    <t>필터취급장비 및 고체폐기물 압축기</t>
  </si>
  <si>
    <t>FILTER HANDLING EQUIPMENT &amp; SOLID WASTE COMPACTOR</t>
  </si>
  <si>
    <t>N221</t>
  </si>
  <si>
    <t>제염장비</t>
  </si>
  <si>
    <t>DECONTAMINATION EQUIPMENT</t>
  </si>
  <si>
    <t>N222</t>
  </si>
  <si>
    <t>보조충전펌프 흡입안정기 및 맥동압력완충기</t>
  </si>
  <si>
    <t>POSITIVE DISPLACEMENT PUMP SUCTION STABILIZER &amp; PULSATION DAMPNERS</t>
  </si>
  <si>
    <t>N223</t>
  </si>
  <si>
    <t>기기냉각해수 이물질여과기</t>
  </si>
  <si>
    <t>ESSENTIAL SERVICE WATER DEBRIS FILTERS</t>
  </si>
  <si>
    <t> ₩                                                       2,123,000,000 </t>
  </si>
  <si>
    <t>N224</t>
  </si>
  <si>
    <t>신연료 및 사용후핵연료 저장대</t>
  </si>
  <si>
    <t>NEW &amp; SPENT FUEL STORAGE RACKS</t>
  </si>
  <si>
    <t>N227</t>
  </si>
  <si>
    <t>연료검사장비</t>
  </si>
  <si>
    <t>FUEL INSPECTION EQUIPMENT</t>
  </si>
  <si>
    <t>N228</t>
  </si>
  <si>
    <t>수소점화기</t>
  </si>
  <si>
    <t>HYDROGEN IGNITERS</t>
  </si>
  <si>
    <t>N229</t>
  </si>
  <si>
    <t>피동형 자동촉메 재결합기</t>
  </si>
  <si>
    <t>PASSIVE AUTOCATALYTIC RECOMBINERS</t>
  </si>
  <si>
    <t>N231</t>
  </si>
  <si>
    <t>안전감압 및 배기계통 스파저</t>
  </si>
  <si>
    <t>SAFETY DEPRESSURIZATION &amp; VENT SYSTEM SPARGERS</t>
  </si>
  <si>
    <t>배관</t>
  </si>
  <si>
    <t>P202A</t>
  </si>
  <si>
    <t>안전등급 공장제작배관</t>
  </si>
  <si>
    <t>SAFETY RELATED SHOP FABRICATED PIPING</t>
  </si>
  <si>
    <t>○ </t>
  </si>
  <si>
    <t>P202B</t>
  </si>
  <si>
    <t>공장제작배관 14" 이상</t>
  </si>
  <si>
    <t>SHOP FABRICATED POWER PIPING, 14" AND LARGER </t>
  </si>
  <si>
    <t>P202C</t>
  </si>
  <si>
    <t>공장제작배관 12" 이하</t>
  </si>
  <si>
    <t>SHOP FABRICATED POWER PIPING, 12" AND SMALLER</t>
  </si>
  <si>
    <t>P202D</t>
  </si>
  <si>
    <t>공장제작 벤딩배관</t>
  </si>
  <si>
    <t>SHOP FABRICATED POWER BENDING PIPING</t>
  </si>
  <si>
    <t>P202E</t>
  </si>
  <si>
    <t>SHOP FABRICATED POWER PIPING, 12" AND SMALLER (신한울 1,2 성일에스아이엠 )</t>
  </si>
  <si>
    <t>P204</t>
  </si>
  <si>
    <t>안전등급 대구경 주강수동밸브</t>
  </si>
  <si>
    <t>SAFETY-RELATED MANUAL STEEL GATE, GLOBE, AND CHECK VALVES, 2 - 1/2" &amp; LARGER</t>
  </si>
  <si>
    <t>P206A</t>
  </si>
  <si>
    <t>안전성 동력구동 게이트, 글로브 밸브</t>
  </si>
  <si>
    <t>SAFETY-RELATED STEEL GATE &amp; GLOBE VALVES WITH ACTUATOR</t>
  </si>
  <si>
    <t>Q </t>
  </si>
  <si>
    <t>P206B</t>
  </si>
  <si>
    <t>동력구동 게이트 및 글로브밸브</t>
  </si>
  <si>
    <t>STEEL GATE &amp; GLOBE VALVES WITH ACTUATOR</t>
  </si>
  <si>
    <t>P206C</t>
  </si>
  <si>
    <t>안전등급 제어체크밸브</t>
  </si>
  <si>
    <t>SAFETY-RELATED CONTROLLED CLOSURE CHECK VALVES</t>
  </si>
  <si>
    <t>P206D</t>
  </si>
  <si>
    <t>틸팅디스크 체크밸브</t>
  </si>
  <si>
    <t>TILTING DISC CHECK VALVES</t>
  </si>
  <si>
    <t>P207</t>
  </si>
  <si>
    <t>소구경 단조수동 게이트, 글로브, 체크밸브</t>
  </si>
  <si>
    <t>MANUAL STEEL GATE, GLOBE AND CHECK VALVES, 2" AND SMALLER</t>
  </si>
  <si>
    <t>P208</t>
  </si>
  <si>
    <t>다이아프램 밸브</t>
  </si>
  <si>
    <t>DIAPHRAGM VALVES</t>
  </si>
  <si>
    <t>P209</t>
  </si>
  <si>
    <t>수동주강 밸브</t>
  </si>
  <si>
    <t>MANUAL STEEL GATE, GLOBE AND CHECK VALVES, 2 - 1/2" AND LARGER</t>
  </si>
  <si>
    <t>P214</t>
  </si>
  <si>
    <t>플러그밸브</t>
  </si>
  <si>
    <t>STEEL PLUG VALVES</t>
  </si>
  <si>
    <t>P216</t>
  </si>
  <si>
    <t>스트레이너</t>
  </si>
  <si>
    <t>STRAINERS</t>
  </si>
  <si>
    <t>P217</t>
  </si>
  <si>
    <t>증기 및 배수트랩</t>
  </si>
  <si>
    <t>STEAM TRAPS AND DRAIN TRAPS</t>
  </si>
  <si>
    <t>P218</t>
  </si>
  <si>
    <t>밸브 원격조작장치</t>
  </si>
  <si>
    <t>VALVE EXTENSION RODS</t>
  </si>
  <si>
    <t>P220</t>
  </si>
  <si>
    <t>금속신축이음관 및 호스</t>
  </si>
  <si>
    <t>METALLIC EXPANSION JOINTS &amp; FLEXIBLE METAL HOSES</t>
  </si>
  <si>
    <t>P222</t>
  </si>
  <si>
    <t>급수펌프 터빈 배기턱트</t>
  </si>
  <si>
    <t>F.W. PUMP TURBINE EXHAUST DUCTS</t>
  </si>
  <si>
    <t>P223</t>
  </si>
  <si>
    <t>격납건물 배관관통부</t>
  </si>
  <si>
    <t>CONTAINMENT PIPING PENETRATIONS</t>
  </si>
  <si>
    <t>P251</t>
  </si>
  <si>
    <t>SAFETY RELATED FIELD FABRICATED PIPES, PIPE FITTINGS, AND FLANGES</t>
  </si>
  <si>
    <t>P252</t>
  </si>
  <si>
    <t>NON-SAFETY RELATED FIELD FABRICATED PIPES, PIPE FITTINGS, AND FLANGES</t>
  </si>
  <si>
    <t>P260</t>
  </si>
  <si>
    <t>SAFETY-RELATED WELDING MATERIALS</t>
  </si>
  <si>
    <t>P263</t>
  </si>
  <si>
    <t>FIELD FABRICATED PIPE SUPPORT MATERIALS</t>
  </si>
  <si>
    <t>P264</t>
  </si>
  <si>
    <t>NON-METALLIC EXPANSION JOINTS</t>
  </si>
  <si>
    <t>P265</t>
  </si>
  <si>
    <t>TEMPORARY STRAINERS FOR STARTUP</t>
  </si>
  <si>
    <t>전기 및 환경</t>
  </si>
  <si>
    <t>E201</t>
  </si>
  <si>
    <t>전력용변압기</t>
  </si>
  <si>
    <t>POWER TRANSFORMERS</t>
  </si>
  <si>
    <t>CP-E1</t>
  </si>
  <si>
    <t>E204</t>
  </si>
  <si>
    <t>배전용변압기</t>
  </si>
  <si>
    <t>DISTRIBUTION TRANSFORMERS</t>
  </si>
  <si>
    <t>E207</t>
  </si>
  <si>
    <t>고압차단기반</t>
  </si>
  <si>
    <t>MEDIUM VOLTAGE METAL-CLAD SWITCHGEARS</t>
  </si>
  <si>
    <t>E208</t>
  </si>
  <si>
    <t>480V 저압차단기반</t>
  </si>
  <si>
    <t>480V LOAD CENTERS </t>
  </si>
  <si>
    <t>E209</t>
  </si>
  <si>
    <t>480V 전동기제어반</t>
  </si>
  <si>
    <t>480V MOTOR CONTROL CENTERS</t>
  </si>
  <si>
    <t>E210</t>
  </si>
  <si>
    <t>상분리모선</t>
  </si>
  <si>
    <t>ISOLATED PHASE BUS DUCTS</t>
  </si>
  <si>
    <t>E211</t>
  </si>
  <si>
    <t>발전기 차단기</t>
  </si>
  <si>
    <t>GENERATOR CIRCUIT BREAKERS</t>
  </si>
  <si>
    <t>E212</t>
  </si>
  <si>
    <t>축전지 및 가대</t>
  </si>
  <si>
    <t>BATTERIES WITH RACKS</t>
  </si>
  <si>
    <t>Q,A,S </t>
  </si>
  <si>
    <t>E214</t>
  </si>
  <si>
    <t>안전등급 충전기 및 전압조절용 변압기</t>
  </si>
  <si>
    <t>CLASS 1E BATTERY CHARGERS &amp; REGULATING TRANSFORMERS</t>
  </si>
  <si>
    <t>E215</t>
  </si>
  <si>
    <t>비안전등급 충전기 및 전압조절용 변압기</t>
  </si>
  <si>
    <t>NON-CLASS 1E BATTERY CHARGERS &amp; REGULATING TRANSFORMERS</t>
  </si>
  <si>
    <t>E216</t>
  </si>
  <si>
    <t>직류전동기제어반</t>
  </si>
  <si>
    <t>DC MOTOR CONTROL CENTERS</t>
  </si>
  <si>
    <t>E218A</t>
  </si>
  <si>
    <t>800kV 가스절연모선</t>
  </si>
  <si>
    <t>800KV GIB INSULATED BUS</t>
  </si>
  <si>
    <t>E218B</t>
  </si>
  <si>
    <t>362kV 가스절연개폐장치</t>
  </si>
  <si>
    <t>362KV GAS INSULATED SUBSTATION</t>
  </si>
  <si>
    <t>E218C</t>
  </si>
  <si>
    <t>170kV 가스절연개폐장치</t>
  </si>
  <si>
    <t>170KV GAS INSULATED SUBSTATION</t>
  </si>
  <si>
    <t>E218</t>
  </si>
  <si>
    <t>SWITCHYARD CONTROL &amp; MONITERING SYSTEM</t>
  </si>
  <si>
    <t>E223</t>
  </si>
  <si>
    <t>스위치야드 보호반</t>
  </si>
  <si>
    <t>SWITCHYARD PROTECTION PANELS </t>
  </si>
  <si>
    <t>E225</t>
  </si>
  <si>
    <t>345kV CV Cable</t>
  </si>
  <si>
    <t>345KV CV CABLE</t>
  </si>
  <si>
    <t>CP-E2</t>
  </si>
  <si>
    <t>E225A</t>
  </si>
  <si>
    <t>154kV CV Cable</t>
  </si>
  <si>
    <t>154KV CV CABLE</t>
  </si>
  <si>
    <t>E226</t>
  </si>
  <si>
    <t>급전자동화 단말장치</t>
  </si>
  <si>
    <t>EMERGY MANAGEMENT SYSTEM LOCAL PANELS</t>
  </si>
  <si>
    <t>E230</t>
  </si>
  <si>
    <t>전기관통부집합체</t>
  </si>
  <si>
    <t>ELECTRICAL PENETRATION ASSEMBLIES</t>
  </si>
  <si>
    <t>E231</t>
  </si>
  <si>
    <t>제어 및 계전기반</t>
  </si>
  <si>
    <t>ELECTRICAL CONTROL &amp; RELAY PANELS </t>
  </si>
  <si>
    <t>E233</t>
  </si>
  <si>
    <t>분전반 및 축전지 부하저항기</t>
  </si>
  <si>
    <t>ELECTRICAL DISTRIBUTION PANELS AND BATTERY LOAD BANK</t>
  </si>
  <si>
    <t>E234</t>
  </si>
  <si>
    <t>스위치야드 고장기록계</t>
  </si>
  <si>
    <t>SWITCHYARD FAULT RECORDER</t>
  </si>
  <si>
    <t>E236</t>
  </si>
  <si>
    <t>전기보수장비</t>
  </si>
  <si>
    <t>ELECTRICAL MAINTENANCE EQUIPMENT</t>
  </si>
  <si>
    <t>E239</t>
  </si>
  <si>
    <t>전기보온자재</t>
  </si>
  <si>
    <t>HEAT TRACING CABLES AND PANELS</t>
  </si>
  <si>
    <t>E240</t>
  </si>
  <si>
    <t>전기도체 밀봉집합체</t>
  </si>
  <si>
    <t>ELECTRICAL CONDUCTOR SEALING ASSEMBLES</t>
  </si>
  <si>
    <t>E241</t>
  </si>
  <si>
    <t>안전등급 전력, 제어 및 계장용 케이블</t>
  </si>
  <si>
    <t>CLASS 1E POWER, CONTROL AND INSTRUMENTATION CABLES</t>
  </si>
  <si>
    <t>E242</t>
  </si>
  <si>
    <t>비안전등급 전력 및 조명케이블</t>
  </si>
  <si>
    <t>NON-CLASS 1E POWER &amp; LIGHTING CABLES </t>
  </si>
  <si>
    <t>E243</t>
  </si>
  <si>
    <t>비안전등급 제어 및 계장용 케이블</t>
  </si>
  <si>
    <t>NON-CLASS 1E CONTROL &amp; INSTRUMENTATION CABLES (JS 전선 불량납품분)</t>
  </si>
  <si>
    <t xml:space="preserve">NON-CLASS 1E CONTROL &amp; INSTRUMENTATION CABLES </t>
  </si>
  <si>
    <t>E244A</t>
  </si>
  <si>
    <t>통신용 케이블 A</t>
  </si>
  <si>
    <t>COMMUNICATION CABLES A</t>
  </si>
  <si>
    <t>E244B</t>
  </si>
  <si>
    <t>통신용 케이블 B</t>
  </si>
  <si>
    <t>COMMUNICATION CABLES B</t>
  </si>
  <si>
    <t>E244C</t>
  </si>
  <si>
    <t>통신용 케이블 C</t>
  </si>
  <si>
    <t>COMMUNICATION CABLES C</t>
  </si>
  <si>
    <t>E245</t>
  </si>
  <si>
    <t>접지케이블</t>
  </si>
  <si>
    <t>GROUNDING CABLES </t>
  </si>
  <si>
    <t>E246</t>
  </si>
  <si>
    <t>전기방식설비</t>
  </si>
  <si>
    <t>CATHODIC PROTECTION  EQUIPMENT</t>
  </si>
  <si>
    <t>E247</t>
  </si>
  <si>
    <t>특수케이블</t>
  </si>
  <si>
    <t>SPECIAL CABLES </t>
  </si>
  <si>
    <t>E248</t>
  </si>
  <si>
    <t>조립케이블</t>
  </si>
  <si>
    <t>PREFABRICATED CABLE ASSEMBLIES</t>
  </si>
  <si>
    <t>E249</t>
  </si>
  <si>
    <t>SWITCHYARD OVERHEAD CONDUCTOR</t>
  </si>
  <si>
    <t>E250</t>
  </si>
  <si>
    <t>케이블트레이 및 부속류</t>
  </si>
  <si>
    <t>CABLE TRAYS &amp; FITTINGS</t>
  </si>
  <si>
    <t>E251</t>
  </si>
  <si>
    <t>중앙경보 및 출입통제설비</t>
  </si>
  <si>
    <t>CENTRAL ALARM STATION &amp; ACCESS CONTROL SYSTEM</t>
  </si>
  <si>
    <t>CP-E5</t>
  </si>
  <si>
    <t>E252</t>
  </si>
  <si>
    <t>울타리 침투 감지 및 감시설비</t>
  </si>
  <si>
    <t>SECURITY CCTV SYSTEM &amp; PERIMETER DETECTOR SYSTEM</t>
  </si>
  <si>
    <t>E253</t>
  </si>
  <si>
    <t>탐색설비</t>
  </si>
  <si>
    <t>X-RAY &amp; METAL DETECTOR SYSTEM</t>
  </si>
  <si>
    <t>E254</t>
  </si>
  <si>
    <t>보안설비용 전원설비</t>
  </si>
  <si>
    <t>POWER SUPPLY SYSTEM FOR SECURITY SYSTEM</t>
  </si>
  <si>
    <t>E257A</t>
  </si>
  <si>
    <t>운전용 교환설비</t>
  </si>
  <si>
    <t>PRIVATE AUTOMATIC BRANCH EXCHANGE</t>
  </si>
  <si>
    <t>E257B</t>
  </si>
  <si>
    <t>시각동기화 및 사운드파워설비</t>
  </si>
  <si>
    <t>TIME SYNCHRONIZING &amp; SOUND POWER SYSTEM</t>
  </si>
  <si>
    <t>E257C</t>
  </si>
  <si>
    <t>페이지폰설비</t>
  </si>
  <si>
    <t>PAGING PHONE SYSTEM</t>
  </si>
  <si>
    <t>E257D</t>
  </si>
  <si>
    <t>무선통신시스템</t>
  </si>
  <si>
    <t>WIRELESS COMMUNICATION  SYSTEM</t>
  </si>
  <si>
    <t>E257E</t>
  </si>
  <si>
    <t>비상방재 및 구내 방송설비</t>
  </si>
  <si>
    <t>EVACUATION ALARM AND PUBLIC ADDRESS SYSTEM</t>
  </si>
  <si>
    <t>E260</t>
  </si>
  <si>
    <t>SPECIAL RACEWAY MATERIALS, FITTINGS &amp; RECEPTACLES WITH PLUGS </t>
  </si>
  <si>
    <t>E261</t>
  </si>
  <si>
    <t>RIGID STEEL CONDUITS</t>
  </si>
  <si>
    <t>E262</t>
  </si>
  <si>
    <t>FIRE RETARDANT BOARDS AND BLANKETS </t>
  </si>
  <si>
    <t>E264</t>
  </si>
  <si>
    <t>CABLE AND WIRE MARKERS</t>
  </si>
  <si>
    <t>E265</t>
  </si>
  <si>
    <t>RACEWAY MARKERS AND ACCESSORIES </t>
  </si>
  <si>
    <t>E266</t>
  </si>
  <si>
    <t>HEAT SHRINKABLE TERMINATING MATERIALS </t>
  </si>
  <si>
    <t>E267</t>
  </si>
  <si>
    <t>SPECIAL TERMINATING TOOLS</t>
  </si>
  <si>
    <t>E268</t>
  </si>
  <si>
    <t>CABLE TIES</t>
  </si>
  <si>
    <t>E269</t>
  </si>
  <si>
    <t>PVC CONDUITS, FITTINGS, AND MISC. </t>
  </si>
  <si>
    <t>E270</t>
  </si>
  <si>
    <t>CONDUIT FITTINGS, FLEXIBLE CONDUITS AND MISCELLANEOUS EQUIPMENT</t>
  </si>
  <si>
    <t>E271</t>
  </si>
  <si>
    <t>RACEWAY AND ELECTRICAL EQUIPMENT SUPPORTING MATERIALS</t>
  </si>
  <si>
    <t>E272A</t>
  </si>
  <si>
    <t>나트륨,할로겐 및 세라믹메탈할라이드 등기구</t>
  </si>
  <si>
    <t>SODIUM, HALOGEN AND CERAMIC METAL HALIDE LIGHTING FIXTURES</t>
  </si>
  <si>
    <t>E272C</t>
  </si>
  <si>
    <t>OBSTRUCTION MARKER LIGHTS, EXIT LIGHT, ROADWAY &amp; SECURITY LIGHTING POLES WITH FIXTURES AND LAMPS</t>
  </si>
  <si>
    <t>E272D</t>
  </si>
  <si>
    <t>저방사선지역 LED램프 및 등기구</t>
  </si>
  <si>
    <t>LED LAMPS AND FIXTURES FOR LOW RADIATION AREA </t>
  </si>
  <si>
    <t>E272E</t>
  </si>
  <si>
    <t>고방사선지역 LED램프 및 등기구</t>
  </si>
  <si>
    <t>LED LAMPS AND FIXTURES FOR HIGH RADIATION AREA </t>
  </si>
  <si>
    <t>E273</t>
  </si>
  <si>
    <t>LIGHTNING PROTECTION</t>
  </si>
  <si>
    <t>E274</t>
  </si>
  <si>
    <t>GENERAL CABLE TERMINATING MATERIALS </t>
  </si>
  <si>
    <t>E275</t>
  </si>
  <si>
    <t>GROUNDING FITTINGS</t>
  </si>
  <si>
    <t>E276</t>
  </si>
  <si>
    <t>INSULATION TAPE </t>
  </si>
  <si>
    <t>E277</t>
  </si>
  <si>
    <t>비상등 및 수중등기구</t>
  </si>
  <si>
    <t>EMERGENCY &amp; UNDERWATER LIGHTING FIXTURES</t>
  </si>
  <si>
    <t>E278</t>
  </si>
  <si>
    <t>SWITCHYARD CONNECTORS</t>
  </si>
  <si>
    <t>E279</t>
  </si>
  <si>
    <t>345/161kV 강압용변압기</t>
  </si>
  <si>
    <t>(신고리 5,6만) SWITCHYARD CONNECTORS</t>
  </si>
  <si>
    <t>계측제어</t>
  </si>
  <si>
    <t>H285</t>
  </si>
  <si>
    <t>폐수처리설비</t>
  </si>
  <si>
    <t>WASTE WATER TREATMENT SYSTEM</t>
  </si>
  <si>
    <t>CP-E4</t>
  </si>
  <si>
    <t>J201</t>
  </si>
  <si>
    <t>수소감시설비</t>
  </si>
  <si>
    <t>HYDROGEN MONITORING SYSTEM &amp; COMBUSTIBLE GAS MONITORS</t>
  </si>
  <si>
    <t>J202</t>
  </si>
  <si>
    <t>방사선감시설비</t>
  </si>
  <si>
    <t>RADIATION MONITORING SYSTEM</t>
  </si>
  <si>
    <t>J203</t>
  </si>
  <si>
    <t>지진감시설비</t>
  </si>
  <si>
    <t>SEISMIC MONITORING SYSTEM</t>
  </si>
  <si>
    <t>J204</t>
  </si>
  <si>
    <t>시료채취 설비</t>
  </si>
  <si>
    <t>SAMPLING SYSTEM</t>
  </si>
  <si>
    <t>J205</t>
  </si>
  <si>
    <t>운전용 CCTV 시스템</t>
  </si>
  <si>
    <t>CCTV SYSTEM FOR PLANT OPERATION</t>
  </si>
  <si>
    <t>J206</t>
  </si>
  <si>
    <t>진동감시설비</t>
  </si>
  <si>
    <t>VIBRATION MONITORING SYSTEM</t>
  </si>
  <si>
    <t>J207</t>
  </si>
  <si>
    <t>밸브누설감시설비</t>
  </si>
  <si>
    <t>VALVE LEAK MONITORING SYSTEM</t>
  </si>
  <si>
    <t>J209</t>
  </si>
  <si>
    <t>공기조화설비 제어반</t>
  </si>
  <si>
    <t>HVAC CONTROL PANELS </t>
  </si>
  <si>
    <t>J210</t>
  </si>
  <si>
    <t>보조기기 및 현장제어반</t>
  </si>
  <si>
    <t>AUX/LOCAL CONTROL PANELS </t>
  </si>
  <si>
    <t>J216</t>
  </si>
  <si>
    <t>초음파 수위 측정 설비</t>
  </si>
  <si>
    <t>ULTRASONIC LEVEL MEASUREMENT SYSTEM</t>
  </si>
  <si>
    <t>J217A</t>
  </si>
  <si>
    <t>공기식 제어기 및 레벨스위치</t>
  </si>
  <si>
    <t>PNEUMATIC CONTROLLERS &amp; LEVEL SWITCHES</t>
  </si>
  <si>
    <t>J217C</t>
  </si>
  <si>
    <t>초음파식 레벨스위치 및 전송기</t>
  </si>
  <si>
    <t>ULTRASONIC TYPE LEVEL SWITCHES &amp; TRANSMITTERS</t>
  </si>
  <si>
    <t>J218</t>
  </si>
  <si>
    <t>액위측정계기 및 오리피스</t>
  </si>
  <si>
    <t>LEVEL GAUGE GLASSES &amp; FLOW MEASURING ORIFICE PLATES</t>
  </si>
  <si>
    <t>J219</t>
  </si>
  <si>
    <t>압력스위치, 차압스위치 및 지시계</t>
  </si>
  <si>
    <t>PRESSURE SWITCHES,DIFFERENTIAL PRESSURE SWITCHES/INDICATORS </t>
  </si>
  <si>
    <t>J221</t>
  </si>
  <si>
    <t>압력계, 온도계 및 온도스위치</t>
  </si>
  <si>
    <t>PRESSURE GAUGES, TEMPERATURE SWITCHES AND INDICATING THERMOMETERS</t>
  </si>
  <si>
    <t>J224</t>
  </si>
  <si>
    <t>평균피토튜브</t>
  </si>
  <si>
    <t>AVERAGING PIPOT TUBES </t>
  </si>
  <si>
    <t>J225</t>
  </si>
  <si>
    <t>직독식 유량측정계기</t>
  </si>
  <si>
    <t>ROTAMETERS AND MISCELLANEOUS FLOW DEVICES</t>
  </si>
  <si>
    <t>J226</t>
  </si>
  <si>
    <t>열확산식 기체유량측정계기</t>
  </si>
  <si>
    <t>THERMAL DISPERSION TYPE INSTRUMENTS</t>
  </si>
  <si>
    <t>J227</t>
  </si>
  <si>
    <t>안전등급 온도측정소자</t>
  </si>
  <si>
    <t>TEMPERATURE ELEMENTS &amp; THERMOWELLS FOR NUCLEAR SERVICE</t>
  </si>
  <si>
    <t>J228</t>
  </si>
  <si>
    <t>일반등급 온도측정소자</t>
  </si>
  <si>
    <t>TEMPERATURE ELEMENTS &amp; THERMOWELLS FOR  GENERAL SERVICE </t>
  </si>
  <si>
    <t>J230A</t>
  </si>
  <si>
    <t>일반형 전송기</t>
  </si>
  <si>
    <t>GENERAL TYPE FIELD  INSTRUMENTS</t>
  </si>
  <si>
    <t>J230B</t>
  </si>
  <si>
    <t>변위식 전송기</t>
  </si>
  <si>
    <t>DISPLACER TYPE TRANSMITTER</t>
  </si>
  <si>
    <t>J230C</t>
  </si>
  <si>
    <t>지능형 전송기</t>
  </si>
  <si>
    <t>INTELLIGENT TYPE FIELD INSTRUMENTS</t>
  </si>
  <si>
    <t>J231</t>
  </si>
  <si>
    <t>안전등급 제어밸브</t>
  </si>
  <si>
    <t>CONTROL VALVES FOR GENERAL SERVICE</t>
  </si>
  <si>
    <t>J232A</t>
  </si>
  <si>
    <t>고온고압 제어밸브</t>
  </si>
  <si>
    <t>CONTROL VALVES FOR STANDARD SEVERE SERVICES</t>
  </si>
  <si>
    <t>J232B</t>
  </si>
  <si>
    <t>안전등급 및 고온고압 제어밸브</t>
  </si>
  <si>
    <t>CONTROL VALVES FOR SAFETY-RELATED &amp; SEVERE SERVICE</t>
  </si>
  <si>
    <t>J233</t>
  </si>
  <si>
    <t>안전등급 나비형밸브</t>
  </si>
  <si>
    <t>BUTTERFLY VALVES FOR NUCLEAR SERVICE</t>
  </si>
  <si>
    <t>J234</t>
  </si>
  <si>
    <t>순환수계통 나비형밸브</t>
  </si>
  <si>
    <t>BUTTERFLY VALVES FOR CIRCULATING WATER SYSTEM</t>
  </si>
  <si>
    <t>J235</t>
  </si>
  <si>
    <t>일반등급 나비형밸브</t>
  </si>
  <si>
    <t>BUTTERFLY VALVES FOR GENERAL SERVICE</t>
  </si>
  <si>
    <t>J236</t>
  </si>
  <si>
    <t>터빈추기 역류방지밸브</t>
  </si>
  <si>
    <t>BLEEDER TRIP VALVES </t>
  </si>
  <si>
    <t>J239</t>
  </si>
  <si>
    <t>솔레노이드 밸브</t>
  </si>
  <si>
    <t>SOLOENOID VALVES </t>
  </si>
  <si>
    <t>J240</t>
  </si>
  <si>
    <t>계기용밸브</t>
  </si>
  <si>
    <t>INSTRUMENT VALVES</t>
  </si>
  <si>
    <t>J241</t>
  </si>
  <si>
    <t>건설용 계기정비 시험장비</t>
  </si>
  <si>
    <t>INSTRUMENT MAINTENANCE EQUIPMENT FOR CONSTRUCTION</t>
  </si>
  <si>
    <t>J242</t>
  </si>
  <si>
    <t>운전용 계기 및 정비시험장비</t>
  </si>
  <si>
    <t>INSTRUMENT MAINTENANCE EQUIPMENT FOR OPERATION</t>
  </si>
  <si>
    <t>J243</t>
  </si>
  <si>
    <t>화학실험실 장비</t>
  </si>
  <si>
    <t>CHEMICAL LABORATORY EQUIPMENT</t>
  </si>
  <si>
    <t>J252</t>
  </si>
  <si>
    <t>INSTRUMENT TUBE CLAMPS</t>
  </si>
  <si>
    <t>J253</t>
  </si>
  <si>
    <t>INSTRUMENT COPPER TUBES</t>
  </si>
  <si>
    <t>J254</t>
  </si>
  <si>
    <t>INSTRUMENT STAINLESS STEEL AND MONEL TUBES</t>
  </si>
  <si>
    <t>J263</t>
  </si>
  <si>
    <t>INSTRUMENT TUBE FITTINGS</t>
  </si>
  <si>
    <t>J264</t>
  </si>
  <si>
    <t>INSTRUMENT TUBING SUPPORTS AND SUPPORT FITTINGS</t>
  </si>
  <si>
    <t>Q,A </t>
  </si>
  <si>
    <t>J265</t>
  </si>
  <si>
    <t>INSTRUMENT PIPE AND PIPE FITTINGS</t>
  </si>
  <si>
    <t>J213</t>
  </si>
  <si>
    <t>MMIS-BOP SYSTEM</t>
  </si>
  <si>
    <t>시공비</t>
  </si>
  <si>
    <t>대비 공사</t>
  </si>
  <si>
    <t>시운전 정비공사 (계측분야)</t>
  </si>
  <si>
    <t>대비공사 - 모의제어훈련원</t>
  </si>
  <si>
    <t>대비공사 - 콘크리트 실험실</t>
  </si>
  <si>
    <t>대비공사 - 철근인장 실험실</t>
  </si>
  <si>
    <t>대비공사 - 조경 및 준공대비공사</t>
  </si>
  <si>
    <t>대비공사 - EAB 우회도로 (군도 20호선)</t>
  </si>
  <si>
    <t>대비공사 - 공사용동력 배전선로 공급공사</t>
  </si>
  <si>
    <t>대비공사 - 지역</t>
  </si>
  <si>
    <t>대비공사 - 스마트안전관제 시스템 구축 (안전통합관제실)</t>
  </si>
  <si>
    <t>대비공사</t>
  </si>
  <si>
    <t>기기공급자 설치공사 - 전력용 변압기</t>
  </si>
  <si>
    <t>기기공급자 설치공사 - 800kV 가스절연 모선 (GIB)</t>
  </si>
  <si>
    <t>기기공급자 설치공사 - 362kV 가스절연개폐설비</t>
  </si>
  <si>
    <t>기기공급자 설치공사 - 154kV/345kV CV Cable</t>
  </si>
  <si>
    <t>Indirect</t>
  </si>
  <si>
    <t>용역비</t>
  </si>
  <si>
    <t>종합설계</t>
  </si>
  <si>
    <t>A/E (종합설계용역)</t>
  </si>
  <si>
    <t>기타 용역</t>
  </si>
  <si>
    <t>비파괴검사 용역 (NDE)</t>
  </si>
  <si>
    <t>시운전 정비공사 (기전분야)</t>
  </si>
  <si>
    <t>기자재 품질검사 용역 (QA/QC)</t>
  </si>
  <si>
    <t>사업주비</t>
  </si>
  <si>
    <t>일반관리비</t>
  </si>
  <si>
    <t>외자조작비</t>
  </si>
  <si>
    <t>용지비</t>
  </si>
  <si>
    <t>기초굴착, 되메우기 및 기타 주설비 관련 공사</t>
  </si>
  <si>
    <t>콘크리트 생산공사</t>
  </si>
  <si>
    <t>옥외매설물 설치공사</t>
  </si>
  <si>
    <t>냉각수계통 구조물 공사</t>
  </si>
  <si>
    <t>수중취배수 구조물 공사</t>
  </si>
  <si>
    <t>본관건물 신축공사</t>
  </si>
  <si>
    <t>건축 마감공사</t>
  </si>
  <si>
    <t>도장공사</t>
  </si>
  <si>
    <t>일반기기 설치공사</t>
  </si>
  <si>
    <t>복수기 설치공사</t>
  </si>
  <si>
    <t>터빈발전기 설치공사</t>
  </si>
  <si>
    <t>공기조화설비(HVAC) 설치공사</t>
  </si>
  <si>
    <t>원자로설비 설치공사</t>
  </si>
  <si>
    <t>배관공사</t>
  </si>
  <si>
    <t>보온공사</t>
  </si>
  <si>
    <t>전자기기 설치공사</t>
  </si>
  <si>
    <t>전선포설 및 결선공사</t>
  </si>
  <si>
    <t>옥외개폐소 기기 설치공사</t>
  </si>
  <si>
    <t>계장장비 설치공사</t>
  </si>
  <si>
    <t>보안, 통신장비 설치공사</t>
  </si>
  <si>
    <t>시운전 지원공사</t>
  </si>
  <si>
    <t>CP-C2</t>
  </si>
  <si>
    <t>CP-C3</t>
  </si>
  <si>
    <t>CP-C4</t>
  </si>
  <si>
    <t>CP-A3</t>
  </si>
  <si>
    <t>CP-P2</t>
  </si>
  <si>
    <t>CP-E3</t>
  </si>
  <si>
    <t>CP-S1</t>
  </si>
  <si>
    <t>Description</t>
  </si>
  <si>
    <t>CP_List</t>
  </si>
  <si>
    <t>N/A</t>
  </si>
  <si>
    <t>MISC</t>
  </si>
  <si>
    <t>ELECTRIC</t>
  </si>
  <si>
    <t>REACTOR/BOILER</t>
  </si>
  <si>
    <t>T/G</t>
  </si>
  <si>
    <t>MAIN CONDENSER</t>
  </si>
  <si>
    <t>CONST SERVICES</t>
  </si>
  <si>
    <t>HOME ENGINEERING</t>
  </si>
  <si>
    <t>O</t>
  </si>
  <si>
    <t>Exponent</t>
  </si>
  <si>
    <t>x</t>
  </si>
  <si>
    <t>MODULE_FACTOR</t>
  </si>
  <si>
    <t>POWER_SCALING</t>
  </si>
  <si>
    <t>DESIGN_SIMPLIFICATIONS</t>
  </si>
  <si>
    <t>COUNTRY-SPECIFIC</t>
  </si>
  <si>
    <t>PIPING</t>
  </si>
  <si>
    <t>MECH</t>
  </si>
  <si>
    <t>VALVES</t>
  </si>
  <si>
    <t>PUMPS</t>
  </si>
  <si>
    <t>VLAVES</t>
  </si>
  <si>
    <t>CABLES</t>
  </si>
  <si>
    <t>NAME_Scaling</t>
  </si>
  <si>
    <t>Country</t>
  </si>
  <si>
    <t>USA</t>
  </si>
  <si>
    <t>China</t>
  </si>
  <si>
    <t>Japan</t>
  </si>
  <si>
    <t>Germany</t>
  </si>
  <si>
    <t>UK</t>
  </si>
  <si>
    <t>France</t>
  </si>
  <si>
    <t>India</t>
  </si>
  <si>
    <t>Italy</t>
  </si>
  <si>
    <t>Brazil</t>
  </si>
  <si>
    <t>Canada</t>
  </si>
  <si>
    <t>South Korea</t>
  </si>
  <si>
    <t>Australia</t>
  </si>
  <si>
    <t>Russia</t>
  </si>
  <si>
    <t xml:space="preserve">Spain </t>
  </si>
  <si>
    <t>Mexico</t>
  </si>
  <si>
    <t>Czech</t>
  </si>
  <si>
    <t>EQ</t>
  </si>
  <si>
    <t>LABOR</t>
  </si>
  <si>
    <t>TOTAL</t>
  </si>
  <si>
    <t>MODULE</t>
  </si>
  <si>
    <t>ARCH</t>
  </si>
  <si>
    <t>APR1400_CONSTRUCTIONcost_2025USD</t>
  </si>
  <si>
    <t>POWER_SCALING_CAPACITY</t>
  </si>
  <si>
    <t>STRUCTURES</t>
  </si>
  <si>
    <t>START</t>
  </si>
  <si>
    <t>END</t>
  </si>
  <si>
    <t>Actual Start</t>
  </si>
  <si>
    <t>Actual End</t>
  </si>
  <si>
    <t>Duration (Months)</t>
  </si>
  <si>
    <t>Concrete Volume (CY)</t>
  </si>
  <si>
    <t>Installation Rate</t>
  </si>
  <si>
    <t>Actual Start from First Concrete</t>
  </si>
  <si>
    <t>Actual End from First Concrete</t>
  </si>
  <si>
    <t>Elevation Start</t>
  </si>
  <si>
    <t>Elevation End</t>
  </si>
  <si>
    <t>BASEMAT</t>
  </si>
  <si>
    <t>FR&amp;P BASEMAT EL.55'</t>
  </si>
  <si>
    <t>FR&amp;P BASEMAT EL.66'</t>
  </si>
  <si>
    <t xml:space="preserve">FR&amp;P BASEMAT EL.78' </t>
  </si>
  <si>
    <t>Level 1-1 (66ft)</t>
  </si>
  <si>
    <t>FR&amp;P PRI. SHIELD WALL TO EL.100'</t>
  </si>
  <si>
    <t>Level 1-2 (78ft)</t>
  </si>
  <si>
    <t>FR&amp;P IRWST WALL</t>
  </si>
  <si>
    <t>FR&amp;P SEC. SHIELD WALL TO EL.100'</t>
  </si>
  <si>
    <t>Level 2 (100ft)</t>
  </si>
  <si>
    <t>FR&amp;P IRWST TOP SLAB EL.100'</t>
  </si>
  <si>
    <t>FR&amp;P SEC. SHIELD WALL TO EL.114'</t>
  </si>
  <si>
    <t>FR&amp;P PRI. SHIELD WALL TO EL.114'</t>
  </si>
  <si>
    <t>Level 3 (114ft)</t>
  </si>
  <si>
    <t>FR&amp;P SEC. SHIELD WALL TO EL.136'-6"</t>
  </si>
  <si>
    <t>FR&amp;P PRI. SHIELD WALL TO EL.130'</t>
  </si>
  <si>
    <t>Level 4 (135ft)</t>
  </si>
  <si>
    <t>FR&amp;P SEC. SHIELD WALL TO EL.156'</t>
  </si>
  <si>
    <t>ERECT STRUCTURAL STEEL EL.156'</t>
  </si>
  <si>
    <t>FR&amp;P REFUELING POOL WALL TO EL.156'</t>
  </si>
  <si>
    <t>Level 5 (153ft)</t>
  </si>
  <si>
    <t>FR&amp;P SEC. SHIELD WALL TO EL.200'(EXCLUDE SURFACING 15DAYS BEFORE RV)</t>
  </si>
  <si>
    <t>CNT</t>
  </si>
  <si>
    <t>ERECT &amp; TEST POLAR CRANE</t>
  </si>
  <si>
    <t>CNT Dome</t>
  </si>
  <si>
    <t>Sub-Class</t>
  </si>
  <si>
    <t>FR&amp;P IRWST BOTTOM SLAB EL.80'-4"</t>
  </si>
  <si>
    <t>FR&amp;P LINER COVER FILL SLAB EL.81'</t>
  </si>
  <si>
    <t>FR&amp;P LINER COVER FILL SLAB EL.69'</t>
  </si>
  <si>
    <t>FR&amp;P SLAB EL.114'</t>
  </si>
  <si>
    <t>FR&amp;P SLAB EL.136'-6"</t>
  </si>
  <si>
    <t>FR&amp;P SLAB EL.156'</t>
  </si>
  <si>
    <t>FR&amp;P EXTERIOR WALL TO SPRING LINE (LOWER HALF)</t>
  </si>
  <si>
    <t>FR&amp;P EXTERIOR WALL TO SPRING LINE (UPPER HALF)</t>
  </si>
  <si>
    <t>절반으로 가정</t>
  </si>
  <si>
    <t>DURATION</t>
  </si>
  <si>
    <t>CP Package</t>
  </si>
  <si>
    <t>IN-CV</t>
  </si>
  <si>
    <t>CNT (LOWER HALF)</t>
  </si>
  <si>
    <t>CNT (UPPER HALF)</t>
  </si>
  <si>
    <t>POLAR CRANE</t>
  </si>
  <si>
    <t>CNT (DOME)</t>
  </si>
  <si>
    <t>PREDECESSOR</t>
  </si>
  <si>
    <t>FR&amp;P SEC. SHIELD WALL TO EL.114',FR&amp;P PRI. SHIELD WALL TO EL.114'</t>
  </si>
  <si>
    <t>FR&amp;P IRWST BOTTOM SLAB EL.80'-4",FR&amp;P LINER COVER FILL SLAB EL.81',</t>
  </si>
  <si>
    <t>FR&amp;P SEC. SHIELD WALL TO EL.100',FR&amp;P PRI. SHIELD WALL TO EL.100',FR&amp;P IRWST WALL</t>
  </si>
  <si>
    <t>FR&amp;P SEC. SHIELD WALL TO EL.136'-6",FR&amp;P PRI. SHIELD WALL TO EL.130'</t>
  </si>
  <si>
    <t>FR&amp;P SEC. SHIELD WALL TO EL.156',FR&amp;P REFUELING POOL WALL TO EL.156'</t>
  </si>
  <si>
    <t>NAME</t>
  </si>
  <si>
    <t>NSSS Installation</t>
  </si>
  <si>
    <t>INSTALL NSSS</t>
  </si>
  <si>
    <t>ERECT &amp; TEST POLAR CRANE,FR&amp;P SEC. SHIELD WALL TO EL.200'(EXCLUDE SURFACING 15DAYS BEFORE RV)</t>
  </si>
  <si>
    <t>FOUNDATION</t>
  </si>
  <si>
    <t>Under CV_78_6</t>
  </si>
  <si>
    <t>Under_CV_82_6</t>
  </si>
  <si>
    <t>Under_CV_87_6</t>
  </si>
  <si>
    <t>Under_CV_90_6_E</t>
  </si>
  <si>
    <t>Under_CV_92_6_E</t>
  </si>
  <si>
    <t>Under_CV_100_0_E</t>
  </si>
  <si>
    <t>Under_CV_94_6_W</t>
  </si>
  <si>
    <t>Under_CV_103_0_W</t>
  </si>
  <si>
    <t>In_CV_71_6</t>
  </si>
  <si>
    <t>In_CV_78_0</t>
  </si>
  <si>
    <t>In_CV_80_6</t>
  </si>
  <si>
    <t>In_CV_83_0</t>
  </si>
  <si>
    <t>In_CV_87_6_E</t>
  </si>
  <si>
    <t>In_CV_94_0_E</t>
  </si>
  <si>
    <t>In_CV_96_0_E</t>
  </si>
  <si>
    <t>In_CV_87_6_W</t>
  </si>
  <si>
    <t>In_CV_96_0_W</t>
  </si>
  <si>
    <t>In_CV_98_0_CVT</t>
  </si>
  <si>
    <t>In_CV_103_0_IRWST</t>
  </si>
  <si>
    <t>In_CV_105_2</t>
  </si>
  <si>
    <t>In_CV_96_0_E,In_CV_98_0_CVT</t>
  </si>
  <si>
    <t>SC Course 1</t>
  </si>
  <si>
    <t>SC Course 2</t>
  </si>
  <si>
    <t>SC Course 3</t>
  </si>
  <si>
    <t>SC Course 4</t>
  </si>
  <si>
    <t>SC Course 5</t>
  </si>
  <si>
    <t>SC Course 6</t>
  </si>
  <si>
    <t>SC Course 7</t>
  </si>
  <si>
    <t>SC Course 8</t>
  </si>
  <si>
    <t>CP-A4</t>
  </si>
  <si>
    <t>CP-A5</t>
  </si>
  <si>
    <t>CP-A6</t>
  </si>
  <si>
    <t>SC Course 9</t>
  </si>
  <si>
    <t>SC Course 10</t>
  </si>
  <si>
    <t>SC Course 11</t>
  </si>
  <si>
    <t>SC Course 12</t>
  </si>
  <si>
    <t>SC Course 13</t>
  </si>
  <si>
    <t>SC Course 14</t>
  </si>
  <si>
    <t>SC Course 15</t>
  </si>
  <si>
    <t>SC Course 16</t>
  </si>
  <si>
    <t>Shield_Cylinder</t>
  </si>
  <si>
    <t>Shield_Conical</t>
  </si>
  <si>
    <t>Shield_PCCWST</t>
  </si>
  <si>
    <t>CP-A7</t>
  </si>
  <si>
    <t>CP-A8</t>
  </si>
  <si>
    <t>CP-A9</t>
  </si>
  <si>
    <t>CP-A10</t>
  </si>
  <si>
    <t>In_CV_103_0_IRWST,SC Course 8</t>
  </si>
  <si>
    <t>기본 벽: 00_External Wall 1F (24-50)</t>
  </si>
  <si>
    <t>기본 벽: 00_External Wall 2F (50-75)</t>
  </si>
  <si>
    <t>기본 벽: 00_External Wall 3F (75-100)</t>
  </si>
  <si>
    <t>기본 벽: 00_External Wall 4F (100-145'6")</t>
  </si>
  <si>
    <t>기본 벽: 00_External Wall 5F (126-145'6")</t>
  </si>
  <si>
    <t>기본 벽: 00_External Wall 6F (145'6"-181)</t>
  </si>
  <si>
    <t>기본 벽: 00_NPM Support Wall (1F)</t>
  </si>
  <si>
    <t>기본 벽: 00_Pool Wall_North (1F)</t>
  </si>
  <si>
    <t>바닥: 00_Floor (2F)</t>
  </si>
  <si>
    <t>기본 벽: 00_NPM Support Wall (2F)</t>
  </si>
  <si>
    <t>기본 벽: 00_Pool Wall_North (2F)</t>
  </si>
  <si>
    <t>바닥: 00_Floor (3F)</t>
  </si>
  <si>
    <t>기본 벽: 00_NPM Support Wall (3F)</t>
  </si>
  <si>
    <t>기본 벽: 00_Pool Wall_North (3F)</t>
  </si>
  <si>
    <t>바닥: 00_Floor (4F)</t>
  </si>
  <si>
    <t>기본 벽: 00_NPM Support Wall (4F)</t>
  </si>
  <si>
    <t>기본 벽: 00_Pool Wall_North (4F)</t>
  </si>
  <si>
    <t>기본 벽: 00_Pool Wall_North (5F)</t>
  </si>
  <si>
    <t>기본 벽: 00_NPM Support Wall (1F),기본 벽: 00_Pool Wall_North (1F)</t>
  </si>
  <si>
    <t>기본 벽: 00_NPM Support Wall (2F),기본 벽: 00_Pool Wall_North (2F)</t>
  </si>
  <si>
    <t>기본 벽: 00_NPM Support Wall (3F),기본 벽: 00_Pool Wall_North (3F)</t>
  </si>
  <si>
    <t>기본 벽: 00_NPM Support Wall (4F),기본 벽: 00_Pool Wall_North (4F)</t>
  </si>
  <si>
    <t>00_RCA_PSW (1F)</t>
  </si>
  <si>
    <t>00_RCA_SSW (1F)</t>
  </si>
  <si>
    <t>00_RCA_PSW (1.5F)</t>
  </si>
  <si>
    <t>00_RCA_SSW (1.5F)</t>
  </si>
  <si>
    <t>00_RCA_INT (1.5F)</t>
  </si>
  <si>
    <t>00_RCA_PSW (2F)</t>
  </si>
  <si>
    <t>00_RCA_SSW (2F)</t>
  </si>
  <si>
    <t>00_RCA_INT (2F)</t>
  </si>
  <si>
    <t>00_RCA_PSW (3F)</t>
  </si>
  <si>
    <t>00_RCA_INT (3F)</t>
  </si>
  <si>
    <t>00_RCA_SSW (3F)</t>
  </si>
  <si>
    <t>00_RCA_PSW (3.5F)</t>
  </si>
  <si>
    <t>00_RCA_SSW (3.5F)</t>
  </si>
  <si>
    <t>00_RCA_INT (3.5F)</t>
  </si>
  <si>
    <t>00_RCA_SSW (4F)</t>
  </si>
  <si>
    <t>00_RCA_INT_RFP (4F)</t>
  </si>
  <si>
    <t>00_RCA_INT (4F)</t>
  </si>
  <si>
    <t>00_RCA_SSW (5F)</t>
  </si>
  <si>
    <t>00_RCA_SSW (6F)</t>
  </si>
  <si>
    <t>00_RCA_SSW (7F)</t>
  </si>
  <si>
    <t>00_RCA_CNT (1F)</t>
  </si>
  <si>
    <t>00_RCA_CNT (1.5F)</t>
  </si>
  <si>
    <t>00_RCA_CNT (2F)</t>
  </si>
  <si>
    <t>00_RCA_CNT (3F)</t>
  </si>
  <si>
    <t>00_RCA_CNT (3.5F)</t>
  </si>
  <si>
    <t>00_RCA_CNT (4F)</t>
  </si>
  <si>
    <t>00_RCA_CNT (5F)</t>
  </si>
  <si>
    <t>00_RCA_CNT (6F)</t>
  </si>
  <si>
    <t>00_RCA_CNT (7F)</t>
  </si>
  <si>
    <t>00_RCA_CNT (8F)</t>
  </si>
  <si>
    <t>00_RCA_CNT_Roof (9F)</t>
  </si>
  <si>
    <t>00_RCA_CNT_Roof (9F) -West</t>
  </si>
  <si>
    <t>00_RCA_CNT_Roof (9F) -West1</t>
  </si>
  <si>
    <t>바닥(1F)</t>
  </si>
  <si>
    <t>00_RCA_PSW (1F),00_RCA_SSW (1F)</t>
  </si>
  <si>
    <t>00_RCA_PSW (1.5F),00_RCA_SSW (1.5F),00_RCA_INT (1.5F)</t>
  </si>
  <si>
    <t>00_RCA_PSW (2F),00_RCA_SSW (2F),00_RCA_INT (2F)</t>
  </si>
  <si>
    <t>바닥(3F)</t>
  </si>
  <si>
    <t>바닥(3.5F)</t>
  </si>
  <si>
    <t>바닥(4F)</t>
  </si>
  <si>
    <t>바닥(45F)</t>
  </si>
  <si>
    <t>00_RCA_PSW (3F),00_RCA_SSW (3F),00_RCA_INT (3F)</t>
  </si>
  <si>
    <t>00_RCA_PSW (3.5F),00_RCA_SSW (3.5F),00_RCA_INT (3.5F)</t>
  </si>
  <si>
    <t>00_RCA_PSW (4F),00_RCA_SSW (4F),00_RCA_INT (4F)</t>
  </si>
  <si>
    <t>00_RCA_CNT (7F),00_RCA_SSW (7F)</t>
  </si>
  <si>
    <t>Data Availability</t>
    <phoneticPr fontId="28" type="noConversion"/>
  </si>
  <si>
    <t>TopCategory_8</t>
  </si>
  <si>
    <t>SubCategory_8</t>
  </si>
  <si>
    <t>KeywordHits</t>
  </si>
  <si>
    <t>왜 이 8분류인가(근거)</t>
  </si>
  <si>
    <t>왜 이 소분류인가(근거)</t>
  </si>
  <si>
    <t>Scaling_Factor_nonPower_vs_APR1400</t>
  </si>
  <si>
    <t>전체 토건은 소형화 및 일부 구조 단순화로 감소. → 순감소(0.90)</t>
    <phoneticPr fontId="33" type="noConversion"/>
  </si>
  <si>
    <t>NSSS</t>
    <phoneticPr fontId="33" type="noConversion"/>
  </si>
  <si>
    <t>전체 토건은 소형화로 감소. 다만 차폐·배관 관통 증가 요인이 일부 상쇄 → 순감소(0.90)</t>
  </si>
  <si>
    <t>Heat Transport Systems</t>
  </si>
  <si>
    <t>B1 Turbine–Generator Island</t>
  </si>
  <si>
    <t>터빈, 발전기</t>
  </si>
  <si>
    <t>자재명에서 터빈/복수/급수/냉각수 등 2·3차계통 표현 확인 → BOP. (매칭: 터빈, 발전기)</t>
  </si>
  <si>
    <t>소분류는 상위 대분류 내 키워드/규칙에 따라 결정. (근거: KW_BOP; 매칭: 터빈, 발전기)</t>
  </si>
  <si>
    <t>Power Scaling에 의해 따로 처리</t>
    <phoneticPr fontId="33" type="noConversion"/>
  </si>
  <si>
    <t>Miscellaneous</t>
  </si>
  <si>
    <t>M1 Civil / Structural Materials</t>
  </si>
  <si>
    <t>자재명만으로 특정 계통 단정이 어려워 Miscellaneous로 처리. (근거: DEFAULT)</t>
  </si>
  <si>
    <t>소분류는 상위 대분류 내 키워드/규칙에 따라 결정. (근거: DEFAULT; 매칭: )</t>
  </si>
  <si>
    <t>STRUCTURAL STEEL</t>
    <phoneticPr fontId="28" type="noConversion"/>
  </si>
  <si>
    <t>REINFORCING STEEL BAR, UP TO #10 BAR SIZES</t>
    <phoneticPr fontId="28" type="noConversion"/>
  </si>
  <si>
    <t>REINFORCING STEEL BAR, #11, #14 &amp; #18 BAR SIZES</t>
    <phoneticPr fontId="28" type="noConversion"/>
  </si>
  <si>
    <t>REINFORCING STEEL BAR, KS BARS</t>
    <phoneticPr fontId="28" type="noConversion"/>
  </si>
  <si>
    <t>원자로건물 철판</t>
    <phoneticPr fontId="33" type="noConversion"/>
  </si>
  <si>
    <t>CONTAINMENT LINER PLATES</t>
    <phoneticPr fontId="28" type="noConversion"/>
  </si>
  <si>
    <t>M4 Containment &amp; Shielding</t>
  </si>
  <si>
    <t>containment, liner</t>
  </si>
  <si>
    <t>자재명에서 containment/격납(라이너·관통부 등) 표현 확인. 비상작동 계통이 아니라 구조/경계 성격이므로 Miscellaneous 내 M4로 분리. (매칭: containment, liner)</t>
  </si>
  <si>
    <t>소분류는 상위 대분류 내 키워드/규칙에 따라 결정. (근거: CONTAINMENT_TO_MISC; 매칭: containment, liner)</t>
  </si>
  <si>
    <t>CONTAINMENT POST- TENSIONING SYSTEM</t>
    <phoneticPr fontId="28" type="noConversion"/>
  </si>
  <si>
    <t>containment, 격납</t>
  </si>
  <si>
    <t>자재명에서 containment/격납(라이너·관통부 등) 표현 확인. 비상작동 계통이 아니라 구조/경계 성격이므로 Miscellaneous 내 M4로 분리. (매칭: containment, 격납)</t>
  </si>
  <si>
    <t>소분류는 상위 대분류 내 키워드/규칙에 따라 결정. (근거: CONTAINMENT_TO_MISC; 매칭: containment, 격납)</t>
  </si>
  <si>
    <t>STAINLESS STEEL LINER  WORKS</t>
    <phoneticPr fontId="28" type="noConversion"/>
  </si>
  <si>
    <t>liner, 라이너</t>
  </si>
  <si>
    <t>자재명에서 containment/격납(라이너·관통부 등) 표현 확인. 비상작동 계통이 아니라 구조/경계 성격이므로 Miscellaneous 내 M4로 분리. (매칭: liner, 라이너)</t>
  </si>
  <si>
    <t>소분류는 상위 대분류 내 키워드/규칙에 따라 결정. (근거: CONTAINMENT_TO_MISC; 매칭: liner, 라이너)</t>
  </si>
  <si>
    <t>GLASS FIBER REINFORCED PLASTIC PIPE &amp; FITTINGS</t>
    <phoneticPr fontId="28" type="noConversion"/>
  </si>
  <si>
    <t>M0 (unspecified)</t>
  </si>
  <si>
    <t>STORM DRAIN PIPING &amp; FITTINGS</t>
    <phoneticPr fontId="28" type="noConversion"/>
  </si>
  <si>
    <t>SAFETY-RELATED SHOP FABRICATED PIPE SUPPORTS</t>
    <phoneticPr fontId="28" type="noConversion"/>
  </si>
  <si>
    <t>Safety</t>
  </si>
  <si>
    <t>S0 (unspecified)</t>
  </si>
  <si>
    <t>안전, \bsafety\b</t>
  </si>
  <si>
    <t>자재명에 '안전' 또는 'safety'가 명시되어 Safety로 강제 분류. (매칭: 안전, \bsafety\b)</t>
  </si>
  <si>
    <t>소분류는 상위 대분류 내 키워드/규칙에 따라 결정. (근거: NAME_HAS_SAFETY; 매칭: 안전, \bsafety\b)</t>
  </si>
  <si>
    <t>구역 최소화 및 배치 단순화로 덕트/필터링 물량 일부 감소 가능 → 감소(0.90)</t>
  </si>
  <si>
    <t>SHOP FABRICATED POWER PIPE SUPPORTS</t>
    <phoneticPr fontId="28" type="noConversion"/>
  </si>
  <si>
    <t>M2 General Facilities</t>
  </si>
  <si>
    <t>B2 Heat Rejection</t>
  </si>
  <si>
    <t>condenser, 복수기</t>
  </si>
  <si>
    <t>자재명에서 터빈/복수/급수/냉각수 등 2·3차계통 표현 확인 → BOP. (매칭: condenser, 복수기)</t>
  </si>
  <si>
    <t>소분류는 상위 대분류 내 키워드/규칙에 따라 결정. (근거: KW_BOP; 매칭: condenser, 복수기)</t>
  </si>
  <si>
    <t>HVAC</t>
  </si>
  <si>
    <t>H0 (unspecified)</t>
  </si>
  <si>
    <t>filter</t>
  </si>
  <si>
    <t>자재명에서 공조/환기/HVAC 관련 표현 확인 → HVAC. (매칭: filter)</t>
  </si>
  <si>
    <t>소분류는 상위 대분류 내 키워드/규칙에 따라 결정. (근거: KW_HVAC; 매칭: filter)</t>
  </si>
  <si>
    <t>연료취급/저장 전용 구역의 환기·여과 요구가 감소(또는 제거)</t>
  </si>
  <si>
    <t>B0 (unspecified)</t>
  </si>
  <si>
    <t>feedwater, 급수</t>
  </si>
  <si>
    <t>자재명에서 터빈/복수/급수/냉각수 등 2·3차계통 표현 확인 → BOP. (매칭: feedwater, 급수)</t>
  </si>
  <si>
    <t>소분류는 상위 대분류 내 키워드/규칙에 따라 결정. (근거: KW_BOP; 매칭: feedwater, 급수)</t>
  </si>
  <si>
    <t>turbine, 터빈, feedwater, 급수</t>
  </si>
  <si>
    <t>자재명에서 터빈/복수/급수/냉각수 등 2·3차계통 표현 확인 → BOP. (매칭: turbine, 터빈, feedwater, 급수)</t>
  </si>
  <si>
    <t>소분류는 상위 대분류 내 키워드/규칙에 따라 결정. (근거: KW_BOP; 매칭: turbine, 터빈, feedwater, 급수)</t>
  </si>
  <si>
    <t>circulating</t>
  </si>
  <si>
    <t>자재명에서 터빈/복수/급수/냉각수 등 2·3차계통 표현 확인 → BOP. (매칭: circulating)</t>
  </si>
  <si>
    <t>소분류는 상위 대분류 내 키워드/규칙에 따라 결정. (근거: KW_BOP; 매칭: circulating)</t>
  </si>
  <si>
    <t>circulating, 순환수</t>
  </si>
  <si>
    <t>자재명에서 터빈/복수/급수/냉각수 등 2·3차계통 표현 확인 → BOP. (매칭: circulating, 순환수)</t>
  </si>
  <si>
    <t>소분류는 상위 대분류 내 키워드/규칙에 따라 결정. (근거: KW_BOP; 매칭: circulating, 순환수)</t>
  </si>
  <si>
    <t>M3 Common Industrial</t>
  </si>
  <si>
    <t>NON-SAFETY-RELATED HEAT EXCHANGERS (PLATE TYPE)</t>
    <phoneticPr fontId="33" type="noConversion"/>
  </si>
  <si>
    <t>Safety</t>
    <phoneticPr fontId="33" type="noConversion"/>
  </si>
  <si>
    <t>isolation\s*valve, 격리밸브</t>
  </si>
  <si>
    <t>자재명에서 containment/격납(라이너·관통부 등) 표현 확인. 비상작동 계통이 아니라 구조/경계 성격이므로 Miscellaneous 내 M4로 분리. (매칭: isolation\s*valve, 격리밸브)</t>
  </si>
  <si>
    <t>소분류는 상위 대분류 내 키워드/규칙에 따라 결정. (근거: CONTAINMENT_TO_MISC; 매칭: isolation\s*valve, 격리밸브)</t>
  </si>
  <si>
    <t>Heat Transport Systems</t>
    <phoneticPr fontId="33" type="noConversion"/>
  </si>
  <si>
    <t>Fuel Handling &amp; Spent Fuel</t>
  </si>
  <si>
    <t>F2 Refueling Equipment</t>
  </si>
  <si>
    <t>fuel\s*handling, 연료취급, 핵연료</t>
  </si>
  <si>
    <t>자재명에서 핵연료/사용후핵연료/연료취급·저장 표현이 직접 확인됨 → Fuel Handling &amp; Spent Fuel. (매칭: fuel\s*handling, 연료취급, 핵연료)</t>
  </si>
  <si>
    <t>소분류는 상위 대분류 내 키워드/규칙에 따라 결정. (근거: FUEL_NUCLEAR; 매칭: fuel\s*handling, 연료취급, 핵연료)</t>
  </si>
  <si>
    <t>containment</t>
  </si>
  <si>
    <t>자재명에서 containment/격납(라이너·관통부 등) 표현 확인. 비상작동 계통이 아니라 구조/경계 성격이므로 Miscellaneous 내 M4로 분리. (매칭: containment)</t>
  </si>
  <si>
    <t>소분류는 상위 대분류 내 키워드/규칙에 따라 결정. (근거: CONTAINMENT_TO_MISC; 매칭: containment)</t>
  </si>
  <si>
    <t>안전</t>
  </si>
  <si>
    <t>자재명에 '안전' 또는 'safety'가 명시되어 Safety로 강제 분류. (매칭: 안전)</t>
  </si>
  <si>
    <t>소분류는 상위 대분류 내 키워드/규칙에 따라 결정. (근거: NAME_HAS_SAFETY; 매칭: 안전)</t>
  </si>
  <si>
    <t>I&amp;C</t>
  </si>
  <si>
    <t>I1 Protection / Trip</t>
  </si>
  <si>
    <t>protection</t>
  </si>
  <si>
    <t>자재명에서 계측/제어/보호(I&amp;C) 관련 표현 확인 → I&amp;C. (매칭: protection)</t>
  </si>
  <si>
    <t>소분류는 상위 대분류 내 키워드/규칙에 따라 결정. (근거: KW_IC; 매칭: protection)</t>
  </si>
  <si>
    <t>출력 감소에 따라 계측 대상 수가 일부 감소할 수 있으나, 보호·제어 기능 범위는 APR1400과 유사하여 설비 구성의 질적 변화는 제한적이다.</t>
    <phoneticPr fontId="33" type="noConversion"/>
  </si>
  <si>
    <t>generator, 발전기</t>
  </si>
  <si>
    <t>자재명에서 터빈/복수/급수/냉각수 등 2·3차계통 표현 확인 → BOP. (매칭: generator, 발전기)</t>
  </si>
  <si>
    <t>소분류는 상위 대분류 내 키워드/규칙에 따라 결정. (근거: KW_BOP; 매칭: generator, 발전기)</t>
  </si>
  <si>
    <t>S2 Safety Support</t>
  </si>
  <si>
    <t>turbine, 터빈, generator, 발전기</t>
  </si>
  <si>
    <t>자재명에서 터빈/복수/급수/냉각수 등 2·3차계통 표현 확인 → BOP. (매칭: turbine, 터빈, generator, 발전기)</t>
  </si>
  <si>
    <t>소분류는 상위 대분류 내 키워드/규칙에 따라 결정. (근거: KW_BOP; 매칭: turbine, 터빈, generator, 발전기)</t>
  </si>
  <si>
    <t>vent</t>
  </si>
  <si>
    <t>자재명에서 공조/환기/HVAC 관련 표현 확인 → HVAC. (매칭: vent)</t>
  </si>
  <si>
    <t>소분류는 상위 대분류 내 키워드/규칙에 따라 결정. (근거: KW_HVAC; 매칭: vent)</t>
  </si>
  <si>
    <t>1차</t>
  </si>
  <si>
    <t>자재명에서 1차계통(NSSS) 핵심 기기/배관 표현 확인 → NSSS. (매칭: 1차)</t>
  </si>
  <si>
    <t>소분류는 상위 대분류 내 키워드/규칙에 따라 결정. (근거: KW_NSSS; 매칭: 1차)</t>
  </si>
  <si>
    <t>Decay heat removal 제거</t>
    <phoneticPr fontId="33" type="noConversion"/>
  </si>
  <si>
    <t>H1 Nuclear HVAC / Filtered Exhaust</t>
  </si>
  <si>
    <t>filter, 필터</t>
  </si>
  <si>
    <t>자재명에서 공조/환기/HVAC 관련 표현 확인 → HVAC. (매칭: filter, 필터)</t>
  </si>
  <si>
    <t>소분류는 상위 대분류 내 키워드/규칙에 따라 결정. (근거: KW_HVAC; 매칭: filter, 필터)</t>
  </si>
  <si>
    <t>F1 Fresh Fuel Handling</t>
  </si>
  <si>
    <t>spent\s*fuel, fuel\s*storage, storage\s*rack, 사용후, 신연료, 저장대, 핵연료</t>
  </si>
  <si>
    <t>자재명에서 핵연료/사용후핵연료/연료취급·저장 표현이 직접 확인됨 → Fuel Handling &amp; Spent Fuel. (매칭: spent\s*fuel, fuel\s*storage, storage\s*rack, 사용후, 신연료, 저장대, 핵연료)</t>
  </si>
  <si>
    <t>소분류는 상위 대분류 내 키워드/규칙에 따라 결정. (근거: FUEL_NUCLEAR; 매칭: spent\s*fuel, fuel\s*storage, storage\s*rack, 사용후, 신연료, 저장대, 핵연료)</t>
  </si>
  <si>
    <t>fuel\s*inspection, 연료\s*검사, 연료검사</t>
  </si>
  <si>
    <t>자재명에서 핵연료/사용후핵연료/연료취급·저장 표현이 직접 확인됨 → Fuel Handling &amp; Spent Fuel. (매칭: fuel\s*inspection, 연료\s*검사, 연료검사)</t>
  </si>
  <si>
    <t>소분류는 상위 대분류 내 키워드/규칙에 따라 결정. (근거: FUEL_NUCLEAR; 매칭: fuel\s*inspection, 연료\s*검사, 연료검사)</t>
  </si>
  <si>
    <t>배기</t>
  </si>
  <si>
    <t>자재명에서 공조/환기/HVAC 관련 표현 확인 → HVAC. (매칭: 배기)</t>
  </si>
  <si>
    <t>소분류는 상위 대분류 내 키워드/규칙에 따라 결정. (근거: KW_HVAC; 매칭: 배기)</t>
  </si>
  <si>
    <t>containment, penetration, 격납, 관통부</t>
  </si>
  <si>
    <t>자재명에서 containment/격납(라이너·관통부 등) 표현 확인. 비상작동 계통이 아니라 구조/경계 성격이므로 Miscellaneous 내 M4로 분리. (매칭: containment, penetration, 격납, 관통부)</t>
  </si>
  <si>
    <t>소분류는 상위 대분류 내 키워드/규칙에 따라 결정. (근거: CONTAINMENT_TO_MISC; 매칭: containment, penetration, 격납, 관통부)</t>
  </si>
  <si>
    <t>Electrical</t>
  </si>
  <si>
    <t>E1 Main &amp; Auxiliary Power</t>
  </si>
  <si>
    <t>transformer, 변압기, 전력</t>
  </si>
  <si>
    <t>자재명에서 전력 변환/분배 구성요소 표현 확인 → Electrical. (매칭: transformer, 변압기, 전력)</t>
  </si>
  <si>
    <t>소분류는 상위 대분류 내 키워드/규칙에 따라 결정. (근거: KW_ELEC; 매칭: transformer, 변압기, 전력)</t>
  </si>
  <si>
    <t>보호/이중화 최소 구성은 유지되나 배치 단순화로 케이블/패널 일부 감소 → 소폭 감소(0.95)</t>
  </si>
  <si>
    <t>transformer, 변압기, 배전</t>
  </si>
  <si>
    <t>자재명에서 전력 변환/분배 구성요소 표현 확인 → Electrical. (매칭: transformer, 변압기, 배전)</t>
  </si>
  <si>
    <t>소분류는 상위 대분류 내 키워드/규칙에 따라 결정. (근거: KW_ELEC; 매칭: transformer, 변압기, 배전)</t>
  </si>
  <si>
    <t>switchgear, 차단기</t>
  </si>
  <si>
    <t>자재명에서 전력 변환/분배 구성요소 표현 확인 → Electrical. (매칭: switchgear, 차단기)</t>
  </si>
  <si>
    <t>소분류는 상위 대분류 내 키워드/규칙에 따라 결정. (근거: KW_ELEC; 매칭: switchgear, 차단기)</t>
  </si>
  <si>
    <t>차단기</t>
  </si>
  <si>
    <t>자재명에서 전력 변환/분배 구성요소 표현 확인 → Electrical. (매칭: 차단기)</t>
  </si>
  <si>
    <t>소분류는 상위 대분류 내 키워드/규칙에 따라 결정. (근거: KW_ELEC; 매칭: 차단기)</t>
  </si>
  <si>
    <t>bus</t>
  </si>
  <si>
    <t>자재명에서 전력 변환/분배 구성요소 표현 확인 → Electrical. (매칭: bus)</t>
  </si>
  <si>
    <t>소분류는 상위 대분류 내 키워드/규칙에 따라 결정. (근거: KW_ELEC; 매칭: bus)</t>
  </si>
  <si>
    <t>breaker, 차단기</t>
  </si>
  <si>
    <t>자재명에서 전력 변환/분배 구성요소 표현 확인 → Electrical. (매칭: breaker, 차단기)</t>
  </si>
  <si>
    <t>소분류는 상위 대분류 내 키워드/규칙에 따라 결정. (근거: KW_ELEC; 매칭: breaker, 차단기)</t>
  </si>
  <si>
    <t>I&amp;C</t>
    <phoneticPr fontId="33" type="noConversion"/>
  </si>
  <si>
    <t>수동안전/Walk-away safe 개념으로 능동안전 설비 일부 제거·단순화 → 감소(0.75)</t>
  </si>
  <si>
    <t>protection, 보호</t>
  </si>
  <si>
    <t>자재명에서 계측/제어/보호(I&amp;C) 관련 표현 확인 → I&amp;C. (매칭: protection, 보호)</t>
  </si>
  <si>
    <t>소분류는 상위 대분류 내 키워드/규칙에 따라 결정. (근거: KW_IC; 매칭: protection, 보호)</t>
  </si>
  <si>
    <t>cable</t>
  </si>
  <si>
    <t>자재명에서 전력 변환/분배 구성요소 표현 확인 → Electrical. (매칭: cable)</t>
  </si>
  <si>
    <t>소분류는 상위 대분류 내 키워드/규칙에 따라 결정. (근거: KW_ELEC; 매칭: cable)</t>
  </si>
  <si>
    <t>penetration, 관통부</t>
  </si>
  <si>
    <t>자재명에서 containment/격납(라이너·관통부 등) 표현 확인. 비상작동 계통이 아니라 구조/경계 성격이므로 Miscellaneous 내 M4로 분리. (매칭: penetration, 관통부)</t>
  </si>
  <si>
    <t>소분류는 상위 대분류 내 키워드/규칙에 따라 결정. (근거: CONTAINMENT_TO_MISC; 매칭: penetration, 관통부)</t>
  </si>
  <si>
    <t>panel</t>
  </si>
  <si>
    <t>자재명에서 전력 변환/분배 구성요소 표현 확인 → Electrical. (매칭: panel)</t>
  </si>
  <si>
    <t>소분류는 상위 대분류 내 키워드/규칙에 따라 결정. (근거: KW_ELEC; 매칭: panel)</t>
  </si>
  <si>
    <t>cable, panel</t>
  </si>
  <si>
    <t>자재명에서 전력 변환/분배 구성요소 표현 확인 → Electrical. (매칭: cable, panel)</t>
  </si>
  <si>
    <t>소분류는 상위 대분류 내 키워드/규칙에 따라 결정. (근거: KW_ELEC; 매칭: cable, panel)</t>
  </si>
  <si>
    <t>cable, 케이블</t>
  </si>
  <si>
    <t>자재명에서 전력 변환/분배 구성요소 표현 확인 → Electrical. (매칭: cable, 케이블)</t>
  </si>
  <si>
    <t>소분류는 상위 대분류 내 키워드/규칙에 따라 결정. (근거: KW_ELEC; 매칭: cable, 케이블)</t>
  </si>
  <si>
    <t>변압기</t>
  </si>
  <si>
    <t>자재명에서 전력 변환/분배 구성요소 표현 확인 → Electrical. (매칭: 변압기)</t>
  </si>
  <si>
    <t>소분류는 상위 대분류 내 키워드/규칙에 따라 결정. (근거: KW_ELEC; 매칭: 변압기)</t>
  </si>
  <si>
    <t>leak, 누설</t>
  </si>
  <si>
    <t>자재명에서 containment/격납(라이너·관통부 등) 표현 확인. 비상작동 계통이 아니라 구조/경계 성격이므로 Miscellaneous 내 M4로 분리. (매칭: leak, 누설)</t>
  </si>
  <si>
    <t>소분류는 상위 대분류 내 키워드/규칙에 따라 결정. (근거: CONTAINMENT_TO_MISC; 매칭: leak, 누설)</t>
  </si>
  <si>
    <t>\bhvac\b</t>
  </si>
  <si>
    <t>자재명에서 공조/환기/HVAC 관련 표현 확인 → HVAC. (매칭: \bhvac\b)</t>
  </si>
  <si>
    <t>소분류는 상위 대분류 내 키워드/규칙에 따라 결정. (근거: KW_HVAC; 매칭: \bhvac\b)</t>
  </si>
  <si>
    <t>I0 (unspecified)</t>
  </si>
  <si>
    <t>transmitter</t>
  </si>
  <si>
    <t>자재명에서 계측/제어/보호(I&amp;C) 관련 표현 확인 → I&amp;C. (매칭: transmitter)</t>
  </si>
  <si>
    <t>소분류는 상위 대분류 내 키워드/규칙에 따라 결정. (근거: KW_IC; 매칭: transmitter)</t>
  </si>
  <si>
    <t>instrument</t>
  </si>
  <si>
    <t>자재명에서 계측/제어/보호(I&amp;C) 관련 표현 확인 → I&amp;C. (매칭: instrument)</t>
  </si>
  <si>
    <t>소분류는 상위 대분류 내 키워드/규칙에 따라 결정. (근거: KW_IC; 매칭: instrument)</t>
  </si>
  <si>
    <t>VALVES</t>
    <phoneticPr fontId="28" type="noConversion"/>
  </si>
  <si>
    <t>trip</t>
  </si>
  <si>
    <t>자재명에서 계측/제어/보호(I&amp;C) 관련 표현 확인 → I&amp;C. (매칭: trip)</t>
  </si>
  <si>
    <t>소분류는 상위 대분류 내 키워드/규칙에 따라 결정. (근거: KW_IC; 매칭: trip)</t>
  </si>
  <si>
    <t>계측</t>
  </si>
  <si>
    <t>자재명에서 계측/제어/보호(I&amp;C) 관련 표현 확인 → I&amp;C. (매칭: 계측)</t>
  </si>
  <si>
    <t>소분류는 상위 대분류 내 키워드/규칙에 따라 결정. (근거: KW_IC; 매칭: 계측)</t>
  </si>
  <si>
    <t>* Refueling pool 및 spent fuel storage 제거로 인해
관련 구역/설비가 감소할 수 있으며,
이는 결과적으로 배치 단순화로 해석될 수 있다.</t>
    <phoneticPr fontId="33" type="noConversion"/>
  </si>
  <si>
    <t>RATIONAL</t>
    <phoneticPr fontId="33" type="noConversion"/>
  </si>
  <si>
    <t>패시브 계통 추가로 인한 pipe 단순화</t>
    <phoneticPr fontId="33" type="noConversion"/>
  </si>
  <si>
    <t>단일배치 초장주기(+60y)로 refueling pool/연료교체 설비 최소화, 건식저장 통합 → 대폭 감소(0.30)</t>
    <phoneticPr fontId="33" type="noConversion"/>
  </si>
  <si>
    <t>단일배치 초장주기(+60y)로 refueling pool/연료교체 설비 최소화, 건식저장 통합, 교체를 안하기에 00</t>
    <phoneticPr fontId="33" type="noConversion"/>
  </si>
  <si>
    <t>단일배치 초장주기(+60y)로 refueling pool/연료교체 설비 최소화, 건식저장 통합, 현장 인수 검사만 남김</t>
    <phoneticPr fontId="33" type="noConversion"/>
  </si>
  <si>
    <t>수동안전/Walk-away safe 개념으로 능동안전 설비 일부 제거·단순화 (0.85)</t>
    <phoneticPr fontId="33" type="noConversion"/>
  </si>
  <si>
    <t>procurement_SK34_original</t>
    <phoneticPr fontId="28" type="noConversion"/>
  </si>
  <si>
    <t>contractDate_SK34_original</t>
    <phoneticPr fontId="28" type="noConversion"/>
  </si>
  <si>
    <t>procurement_SH12_original</t>
    <phoneticPr fontId="28" type="noConversion"/>
  </si>
  <si>
    <t>contractDate_SH12_original</t>
    <phoneticPr fontId="28" type="noConversion"/>
  </si>
  <si>
    <t>procurement_SK56_original</t>
    <phoneticPr fontId="28" type="noConversion"/>
  </si>
  <si>
    <t>contractDate_SK56_original</t>
    <phoneticPr fontId="28" type="noConversion"/>
  </si>
  <si>
    <t>procurement_SH34_original</t>
    <phoneticPr fontId="28" type="noConversion"/>
  </si>
  <si>
    <t>contractDate_SH34_original</t>
    <phoneticPr fontId="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</si>
</sst>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&quot;₩&quot;* #,##0_);_(&quot;₩&quot;* \(#,##0\);_(&quot;₩&quot;* &quot;-&quot;_);_(@_)"/>
    <numFmt numFmtId="177" formatCode="_(* #,##0_);_(* \(#,##0\);_(* &quot;-&quot;_);_(@_)"/>
    <numFmt numFmtId="178" formatCode="yyyy\-mm\-dd;@"/>
    <numFmt numFmtId="179" formatCode="_(&quot;₩&quot;* #,##0.0_);_(&quot;₩&quot;* \(#,##0.0\);_(&quot;₩&quot;* &quot;-&quot;?_);_(@_)"/>
  </numFmts>
  <fonts count="39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2"/>
      <color theme="1"/>
      <name val="맑은 고딕"/>
      <family val="2"/>
      <scheme val="minor"/>
    </font>
    <font>
      <b/>
      <sz val="12"/>
      <color theme="1"/>
      <name val="맑은 고딕"/>
      <family val="2"/>
      <scheme val="minor"/>
    </font>
    <font>
      <b/>
      <sz val="9"/>
      <color theme="1"/>
      <name val="Aptos Narrow (Body)"/>
    </font>
    <font>
      <sz val="9"/>
      <color theme="1"/>
      <name val="Aptos Narrow (Body)"/>
    </font>
    <font>
      <b/>
      <sz val="9"/>
      <color theme="1"/>
      <name val="Aptos Narrow"/>
      <family val="2"/>
    </font>
    <font>
      <i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strike/>
      <sz val="9"/>
      <color theme="1"/>
      <name val="맑은 고딕"/>
      <family val="3"/>
      <charset val="129"/>
      <scheme val="minor"/>
    </font>
    <font>
      <i/>
      <sz val="9"/>
      <color theme="1"/>
      <name val="Aptos Narrow (Body)"/>
    </font>
    <font>
      <sz val="8"/>
      <name val="맑은 고딕"/>
      <family val="2"/>
      <scheme val="minor"/>
    </font>
    <font>
      <b/>
      <sz val="10"/>
      <color theme="1"/>
      <name val="Aptos Narrow (Body)"/>
    </font>
    <font>
      <b/>
      <i/>
      <sz val="10"/>
      <color theme="1"/>
      <name val="Aptos Narrow (Body)"/>
    </font>
    <font>
      <b/>
      <i/>
      <sz val="10"/>
      <color rgb="FF000000"/>
      <name val="맑은 고딕"/>
      <family val="2"/>
      <scheme val="minor"/>
    </font>
    <font>
      <b/>
      <sz val="10"/>
      <color theme="1"/>
      <name val="맑은 고딕"/>
      <family val="2"/>
      <scheme val="minor"/>
    </font>
    <font>
      <b/>
      <sz val="12"/>
      <color theme="1"/>
      <name val="Aptos Narrow (Body)"/>
    </font>
    <font>
      <b/>
      <sz val="9"/>
      <color theme="1"/>
      <name val="맑은 고딕"/>
      <family val="2"/>
      <scheme val="minor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b/>
      <sz val="9"/>
      <color theme="1"/>
      <name val="맑은 고딕"/>
      <family val="2"/>
      <scheme val="minor"/>
    </font>
    <font>
      <b/>
      <sz val="12"/>
      <color theme="0"/>
      <name val="맑은 고딕"/>
      <family val="2"/>
      <scheme val="minor"/>
    </font>
    <font>
      <sz val="12"/>
      <color rgb="FFFF0000"/>
      <name val="맑은 고딕"/>
      <family val="2"/>
      <scheme val="minor"/>
    </font>
    <font>
      <sz val="12"/>
      <color theme="1"/>
      <name val="Calibri (Body)"/>
    </font>
    <font>
      <sz val="12"/>
      <color rgb="FF000000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i/>
      <sz val="11"/>
      <color theme="1"/>
      <name val="맑은 고딕"/>
      <scheme val="minor"/>
    </font>
    <font>
      <i/>
      <sz val="11"/>
      <color theme="1"/>
      <name val="맑은 고딕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b/>
      <i/>
      <sz val="11"/>
      <color theme="1"/>
      <name val="맑은 고딕"/>
      <family val="2"/>
      <scheme val="minor"/>
    </font>
    <font>
      <i/>
      <sz val="11"/>
      <color theme="1"/>
      <name val="맑은 고딕"/>
      <family val="2"/>
      <scheme val="minor"/>
    </font>
    <font>
      <b/>
      <sz val="9"/>
      <color theme="1"/>
      <name val="맑은 고딕"/>
      <family val="3"/>
      <charset val="129"/>
      <scheme val="minor"/>
    </font>
    <font>
      <b/>
      <sz val="11"/>
      <color theme="1"/>
      <name val="맑은 고딕"/>
      <scheme val="minor"/>
    </font>
    <font>
      <b/>
      <i/>
      <sz val="9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177" fontId="27" fillId="0" borderId="0" applyFont="0" applyFill="0" applyBorder="0" applyAlignment="0" applyProtection="0"/>
    <xf numFmtId="0" fontId="27" fillId="6" borderId="16" applyNumberFormat="0" applyFont="0" applyAlignment="0" applyProtection="0">
      <alignment vertical="center"/>
    </xf>
    <xf numFmtId="0" fontId="2" fillId="0" borderId="0"/>
  </cellStyleXfs>
  <cellXfs count="315">
    <xf numFmtId="0" fontId="0" fillId="0" borderId="0" xfId="0"/>
    <xf numFmtId="17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0" borderId="0" xfId="0" applyFont="1"/>
    <xf numFmtId="176" fontId="8" fillId="0" borderId="0" xfId="0" applyNumberFormat="1" applyFont="1" applyAlignment="1">
      <alignment horizontal="right" vertical="center"/>
    </xf>
    <xf numFmtId="9" fontId="6" fillId="0" borderId="0" xfId="0" applyNumberFormat="1" applyFont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0" borderId="0" xfId="0" applyFont="1"/>
    <xf numFmtId="2" fontId="10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/>
    </xf>
    <xf numFmtId="176" fontId="8" fillId="0" borderId="7" xfId="0" applyNumberFormat="1" applyFont="1" applyBorder="1" applyAlignment="1">
      <alignment horizontal="center" vertical="center"/>
    </xf>
    <xf numFmtId="178" fontId="9" fillId="0" borderId="7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2" fontId="10" fillId="0" borderId="7" xfId="0" applyNumberFormat="1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2" fontId="10" fillId="0" borderId="5" xfId="0" applyNumberFormat="1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17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76" fontId="9" fillId="0" borderId="0" xfId="0" applyNumberFormat="1" applyFont="1" applyAlignment="1">
      <alignment horizontal="left" vertical="center"/>
    </xf>
    <xf numFmtId="14" fontId="9" fillId="0" borderId="0" xfId="0" applyNumberFormat="1" applyFont="1" applyAlignment="1">
      <alignment horizontal="center" vertical="center"/>
    </xf>
    <xf numFmtId="176" fontId="8" fillId="0" borderId="0" xfId="0" quotePrefix="1" applyNumberFormat="1" applyFont="1" applyAlignment="1">
      <alignment horizontal="center" vertical="center"/>
    </xf>
    <xf numFmtId="14" fontId="10" fillId="0" borderId="0" xfId="0" applyNumberFormat="1" applyFont="1"/>
    <xf numFmtId="178" fontId="9" fillId="0" borderId="0" xfId="0" applyNumberFormat="1" applyFont="1" applyAlignment="1">
      <alignment horizontal="left" vertical="center"/>
    </xf>
    <xf numFmtId="179" fontId="9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6" fontId="12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0" fontId="6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/>
    </xf>
    <xf numFmtId="176" fontId="8" fillId="0" borderId="8" xfId="0" applyNumberFormat="1" applyFont="1" applyBorder="1" applyAlignment="1">
      <alignment horizontal="right" vertical="center"/>
    </xf>
    <xf numFmtId="178" fontId="9" fillId="0" borderId="8" xfId="0" applyNumberFormat="1" applyFont="1" applyBorder="1" applyAlignment="1">
      <alignment horizontal="center" vertical="center"/>
    </xf>
    <xf numFmtId="176" fontId="5" fillId="0" borderId="8" xfId="0" applyNumberFormat="1" applyFont="1" applyBorder="1" applyAlignment="1">
      <alignment horizontal="right" vertical="center"/>
    </xf>
    <xf numFmtId="178" fontId="5" fillId="0" borderId="8" xfId="0" applyNumberFormat="1" applyFont="1" applyBorder="1" applyAlignment="1">
      <alignment horizontal="center" vertical="center"/>
    </xf>
    <xf numFmtId="9" fontId="6" fillId="0" borderId="8" xfId="0" applyNumberFormat="1" applyFont="1" applyBorder="1" applyAlignment="1">
      <alignment horizontal="center" vertical="center"/>
    </xf>
    <xf numFmtId="2" fontId="10" fillId="0" borderId="8" xfId="0" applyNumberFormat="1" applyFont="1" applyBorder="1" applyAlignment="1">
      <alignment horizontal="center" vertical="center"/>
    </xf>
    <xf numFmtId="2" fontId="10" fillId="0" borderId="6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9" fontId="6" fillId="0" borderId="7" xfId="0" applyNumberFormat="1" applyFont="1" applyBorder="1" applyAlignment="1">
      <alignment horizontal="center" vertical="center"/>
    </xf>
    <xf numFmtId="9" fontId="10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9" fontId="18" fillId="0" borderId="0" xfId="0" applyNumberFormat="1" applyFont="1" applyAlignment="1">
      <alignment horizontal="right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/>
    </xf>
    <xf numFmtId="9" fontId="5" fillId="0" borderId="11" xfId="0" applyNumberFormat="1" applyFont="1" applyBorder="1" applyAlignment="1">
      <alignment horizontal="center" vertical="center"/>
    </xf>
    <xf numFmtId="0" fontId="19" fillId="0" borderId="12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0" fillId="0" borderId="8" xfId="0" applyFont="1" applyBorder="1"/>
    <xf numFmtId="0" fontId="10" fillId="0" borderId="8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20" fillId="0" borderId="4" xfId="0" applyFont="1" applyBorder="1"/>
    <xf numFmtId="0" fontId="20" fillId="0" borderId="5" xfId="0" applyFont="1" applyBorder="1"/>
    <xf numFmtId="0" fontId="20" fillId="0" borderId="6" xfId="0" applyFont="1" applyBorder="1"/>
    <xf numFmtId="0" fontId="4" fillId="0" borderId="0" xfId="0" applyFont="1" applyAlignment="1">
      <alignment horizontal="center"/>
    </xf>
    <xf numFmtId="0" fontId="22" fillId="0" borderId="11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10" fillId="0" borderId="7" xfId="0" applyFont="1" applyBorder="1"/>
    <xf numFmtId="0" fontId="10" fillId="0" borderId="4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0" borderId="6" xfId="0" applyFont="1" applyBorder="1"/>
    <xf numFmtId="0" fontId="19" fillId="0" borderId="9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2" fontId="0" fillId="0" borderId="0" xfId="0" applyNumberFormat="1"/>
    <xf numFmtId="178" fontId="0" fillId="2" borderId="7" xfId="0" applyNumberFormat="1" applyFill="1" applyBorder="1"/>
    <xf numFmtId="2" fontId="0" fillId="2" borderId="7" xfId="0" applyNumberFormat="1" applyFill="1" applyBorder="1"/>
    <xf numFmtId="0" fontId="0" fillId="2" borderId="7" xfId="0" applyFill="1" applyBorder="1"/>
    <xf numFmtId="0" fontId="0" fillId="2" borderId="4" xfId="0" applyFill="1" applyBorder="1"/>
    <xf numFmtId="0" fontId="0" fillId="0" borderId="5" xfId="0" applyBorder="1"/>
    <xf numFmtId="178" fontId="0" fillId="0" borderId="8" xfId="0" applyNumberFormat="1" applyBorder="1"/>
    <xf numFmtId="2" fontId="0" fillId="0" borderId="8" xfId="0" applyNumberFormat="1" applyBorder="1"/>
    <xf numFmtId="0" fontId="0" fillId="0" borderId="8" xfId="0" applyBorder="1"/>
    <xf numFmtId="0" fontId="0" fillId="0" borderId="6" xfId="0" applyBorder="1"/>
    <xf numFmtId="178" fontId="0" fillId="3" borderId="7" xfId="0" applyNumberFormat="1" applyFill="1" applyBorder="1"/>
    <xf numFmtId="2" fontId="0" fillId="3" borderId="7" xfId="0" applyNumberFormat="1" applyFill="1" applyBorder="1"/>
    <xf numFmtId="0" fontId="0" fillId="3" borderId="7" xfId="0" applyFill="1" applyBorder="1"/>
    <xf numFmtId="0" fontId="0" fillId="3" borderId="4" xfId="0" applyFill="1" applyBorder="1"/>
    <xf numFmtId="178" fontId="25" fillId="0" borderId="8" xfId="0" applyNumberFormat="1" applyFont="1" applyBorder="1" applyAlignment="1">
      <alignment horizontal="right" vertical="center"/>
    </xf>
    <xf numFmtId="2" fontId="25" fillId="0" borderId="8" xfId="0" applyNumberFormat="1" applyFont="1" applyBorder="1" applyAlignment="1">
      <alignment vertical="center"/>
    </xf>
    <xf numFmtId="0" fontId="25" fillId="0" borderId="8" xfId="0" applyFont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178" fontId="0" fillId="0" borderId="0" xfId="0" applyNumberFormat="1"/>
    <xf numFmtId="2" fontId="0" fillId="0" borderId="0" xfId="0" applyNumberFormat="1" applyAlignment="1">
      <alignment horizontal="center" vertical="center"/>
    </xf>
    <xf numFmtId="2" fontId="0" fillId="3" borderId="4" xfId="0" applyNumberFormat="1" applyFill="1" applyBorder="1"/>
    <xf numFmtId="2" fontId="0" fillId="4" borderId="0" xfId="0" applyNumberFormat="1" applyFill="1"/>
    <xf numFmtId="0" fontId="4" fillId="0" borderId="1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24" fillId="0" borderId="0" xfId="0" applyNumberFormat="1" applyFont="1"/>
    <xf numFmtId="2" fontId="0" fillId="3" borderId="1" xfId="0" applyNumberFormat="1" applyFill="1" applyBorder="1"/>
    <xf numFmtId="0" fontId="3" fillId="0" borderId="9" xfId="0" applyFont="1" applyBorder="1" applyAlignment="1">
      <alignment horizontal="center" vertical="center"/>
    </xf>
    <xf numFmtId="2" fontId="0" fillId="3" borderId="13" xfId="0" applyNumberFormat="1" applyFill="1" applyBorder="1"/>
    <xf numFmtId="2" fontId="0" fillId="0" borderId="13" xfId="0" applyNumberFormat="1" applyBorder="1"/>
    <xf numFmtId="2" fontId="0" fillId="0" borderId="1" xfId="0" applyNumberFormat="1" applyBorder="1"/>
    <xf numFmtId="2" fontId="0" fillId="0" borderId="7" xfId="0" applyNumberFormat="1" applyBorder="1"/>
    <xf numFmtId="2" fontId="0" fillId="0" borderId="4" xfId="0" applyNumberFormat="1" applyBorder="1"/>
    <xf numFmtId="2" fontId="0" fillId="0" borderId="14" xfId="0" applyNumberFormat="1" applyBorder="1"/>
    <xf numFmtId="2" fontId="0" fillId="0" borderId="2" xfId="0" applyNumberFormat="1" applyBorder="1"/>
    <xf numFmtId="2" fontId="0" fillId="0" borderId="5" xfId="0" applyNumberFormat="1" applyBorder="1"/>
    <xf numFmtId="2" fontId="0" fillId="0" borderId="15" xfId="0" applyNumberFormat="1" applyBorder="1"/>
    <xf numFmtId="2" fontId="0" fillId="0" borderId="3" xfId="0" applyNumberFormat="1" applyBorder="1"/>
    <xf numFmtId="2" fontId="0" fillId="0" borderId="6" xfId="0" applyNumberFormat="1" applyBorder="1"/>
    <xf numFmtId="2" fontId="0" fillId="0" borderId="14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0" fontId="25" fillId="0" borderId="15" xfId="0" applyFont="1" applyBorder="1" applyAlignment="1">
      <alignment vertical="center"/>
    </xf>
    <xf numFmtId="0" fontId="25" fillId="0" borderId="3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78" fontId="0" fillId="5" borderId="7" xfId="0" applyNumberFormat="1" applyFill="1" applyBorder="1"/>
    <xf numFmtId="2" fontId="0" fillId="5" borderId="7" xfId="0" applyNumberFormat="1" applyFill="1" applyBorder="1"/>
    <xf numFmtId="2" fontId="0" fillId="5" borderId="13" xfId="0" applyNumberFormat="1" applyFill="1" applyBorder="1"/>
    <xf numFmtId="2" fontId="0" fillId="5" borderId="1" xfId="0" applyNumberFormat="1" applyFill="1" applyBorder="1"/>
    <xf numFmtId="2" fontId="0" fillId="5" borderId="4" xfId="0" applyNumberFormat="1" applyFill="1" applyBorder="1"/>
    <xf numFmtId="0" fontId="0" fillId="5" borderId="7" xfId="0" applyFill="1" applyBorder="1"/>
    <xf numFmtId="0" fontId="0" fillId="5" borderId="4" xfId="0" applyFill="1" applyBorder="1"/>
    <xf numFmtId="0" fontId="4" fillId="0" borderId="11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/>
    <xf numFmtId="178" fontId="24" fillId="0" borderId="0" xfId="0" applyNumberFormat="1" applyFont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3" borderId="14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/>
    <xf numFmtId="0" fontId="23" fillId="2" borderId="13" xfId="0" applyFont="1" applyFill="1" applyBorder="1"/>
    <xf numFmtId="0" fontId="0" fillId="3" borderId="13" xfId="0" applyFill="1" applyBorder="1"/>
    <xf numFmtId="0" fontId="0" fillId="5" borderId="13" xfId="0" applyFill="1" applyBorder="1"/>
    <xf numFmtId="0" fontId="25" fillId="0" borderId="15" xfId="0" applyFont="1" applyBorder="1" applyAlignment="1">
      <alignment horizontal="left" vertical="center"/>
    </xf>
    <xf numFmtId="0" fontId="0" fillId="0" borderId="13" xfId="0" applyBorder="1"/>
    <xf numFmtId="0" fontId="0" fillId="0" borderId="4" xfId="0" applyBorder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/>
    <xf numFmtId="0" fontId="0" fillId="0" borderId="12" xfId="0" applyBorder="1"/>
    <xf numFmtId="0" fontId="0" fillId="0" borderId="7" xfId="0" applyBorder="1"/>
    <xf numFmtId="0" fontId="23" fillId="2" borderId="4" xfId="0" applyFont="1" applyFill="1" applyBorder="1"/>
    <xf numFmtId="0" fontId="26" fillId="0" borderId="14" xfId="0" applyFont="1" applyBorder="1"/>
    <xf numFmtId="177" fontId="19" fillId="0" borderId="11" xfId="1" applyFont="1" applyBorder="1" applyAlignment="1">
      <alignment horizontal="center"/>
    </xf>
    <xf numFmtId="177" fontId="10" fillId="0" borderId="0" xfId="1" applyFont="1"/>
    <xf numFmtId="177" fontId="20" fillId="0" borderId="0" xfId="1" applyFont="1"/>
    <xf numFmtId="177" fontId="20" fillId="0" borderId="8" xfId="1" applyFont="1" applyBorder="1"/>
    <xf numFmtId="0" fontId="14" fillId="6" borderId="16" xfId="2" applyFont="1" applyAlignment="1">
      <alignment horizontal="center" vertical="center"/>
    </xf>
    <xf numFmtId="9" fontId="5" fillId="6" borderId="16" xfId="2" applyNumberFormat="1" applyFont="1" applyAlignment="1">
      <alignment horizontal="center" vertical="center"/>
    </xf>
    <xf numFmtId="0" fontId="19" fillId="6" borderId="16" xfId="2" applyFont="1" applyAlignment="1">
      <alignment horizontal="center"/>
    </xf>
    <xf numFmtId="0" fontId="17" fillId="6" borderId="16" xfId="2" applyFont="1" applyAlignment="1">
      <alignment horizontal="center"/>
    </xf>
    <xf numFmtId="0" fontId="30" fillId="0" borderId="17" xfId="3" applyFont="1" applyBorder="1" applyAlignment="1">
      <alignment horizontal="center" vertical="top"/>
    </xf>
    <xf numFmtId="0" fontId="31" fillId="0" borderId="17" xfId="3" applyFont="1" applyBorder="1" applyAlignment="1">
      <alignment horizontal="center" vertical="top"/>
    </xf>
    <xf numFmtId="0" fontId="32" fillId="0" borderId="17" xfId="3" applyFont="1" applyBorder="1" applyAlignment="1">
      <alignment horizontal="center" vertical="top"/>
    </xf>
    <xf numFmtId="0" fontId="2" fillId="0" borderId="0" xfId="3"/>
    <xf numFmtId="176" fontId="0" fillId="0" borderId="0" xfId="0" applyNumberFormat="1"/>
    <xf numFmtId="0" fontId="0" fillId="0" borderId="0" xfId="0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34" fillId="0" borderId="0" xfId="3" applyFont="1" applyAlignment="1">
      <alignment horizontal="center"/>
    </xf>
    <xf numFmtId="0" fontId="35" fillId="0" borderId="0" xfId="3" applyFont="1"/>
    <xf numFmtId="0" fontId="2" fillId="0" borderId="0" xfId="3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35" fillId="0" borderId="0" xfId="3" applyFont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5" fillId="7" borderId="0" xfId="0" applyFont="1" applyFill="1" applyAlignment="1">
      <alignment horizontal="center" vertical="center"/>
    </xf>
    <xf numFmtId="178" fontId="9" fillId="7" borderId="0" xfId="0" applyNumberFormat="1" applyFont="1" applyFill="1" applyAlignment="1">
      <alignment horizontal="center" vertical="center"/>
    </xf>
    <xf numFmtId="9" fontId="10" fillId="7" borderId="0" xfId="0" applyNumberFormat="1" applyFont="1" applyFill="1" applyAlignment="1">
      <alignment horizontal="center" vertical="center"/>
    </xf>
    <xf numFmtId="2" fontId="10" fillId="7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horizontal="center"/>
    </xf>
    <xf numFmtId="2" fontId="10" fillId="7" borderId="5" xfId="0" applyNumberFormat="1" applyFont="1" applyFill="1" applyBorder="1" applyAlignment="1">
      <alignment horizontal="center" vertical="center"/>
    </xf>
    <xf numFmtId="0" fontId="9" fillId="7" borderId="0" xfId="0" applyFont="1" applyFill="1" applyAlignment="1">
      <alignment vertical="center"/>
    </xf>
    <xf numFmtId="9" fontId="6" fillId="7" borderId="0" xfId="0" applyNumberFormat="1" applyFont="1" applyFill="1" applyAlignment="1">
      <alignment horizontal="center" vertical="center"/>
    </xf>
    <xf numFmtId="0" fontId="36" fillId="7" borderId="0" xfId="0" applyFont="1" applyFill="1" applyAlignment="1">
      <alignment horizontal="center" vertical="center"/>
    </xf>
    <xf numFmtId="0" fontId="36" fillId="7" borderId="0" xfId="0" applyFont="1" applyFill="1" applyAlignment="1">
      <alignment horizontal="left" vertical="center"/>
    </xf>
    <xf numFmtId="0" fontId="36" fillId="7" borderId="0" xfId="0" applyFont="1" applyFill="1" applyAlignment="1">
      <alignment vertical="center"/>
    </xf>
    <xf numFmtId="178" fontId="36" fillId="7" borderId="0" xfId="0" applyNumberFormat="1" applyFont="1" applyFill="1" applyAlignment="1">
      <alignment horizontal="center" vertical="center"/>
    </xf>
    <xf numFmtId="0" fontId="5" fillId="7" borderId="0" xfId="0" applyFont="1" applyFill="1" applyAlignment="1">
      <alignment horizontal="left" vertical="center"/>
    </xf>
    <xf numFmtId="9" fontId="5" fillId="7" borderId="0" xfId="0" applyNumberFormat="1" applyFont="1" applyFill="1" applyAlignment="1">
      <alignment horizontal="center" vertical="center"/>
    </xf>
    <xf numFmtId="2" fontId="19" fillId="7" borderId="0" xfId="0" applyNumberFormat="1" applyFont="1" applyFill="1" applyAlignment="1">
      <alignment horizontal="center" vertical="center"/>
    </xf>
    <xf numFmtId="0" fontId="19" fillId="7" borderId="0" xfId="0" applyFont="1" applyFill="1" applyAlignment="1">
      <alignment horizontal="center"/>
    </xf>
    <xf numFmtId="2" fontId="19" fillId="7" borderId="5" xfId="0" applyNumberFormat="1" applyFont="1" applyFill="1" applyBorder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3" fillId="0" borderId="0" xfId="0" applyFont="1"/>
    <xf numFmtId="0" fontId="5" fillId="5" borderId="2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/>
    </xf>
    <xf numFmtId="0" fontId="9" fillId="5" borderId="0" xfId="0" applyFont="1" applyFill="1" applyAlignment="1">
      <alignment vertical="center"/>
    </xf>
    <xf numFmtId="178" fontId="9" fillId="5" borderId="0" xfId="0" applyNumberFormat="1" applyFont="1" applyFill="1" applyAlignment="1">
      <alignment horizontal="center" vertical="center"/>
    </xf>
    <xf numFmtId="9" fontId="6" fillId="5" borderId="0" xfId="0" applyNumberFormat="1" applyFont="1" applyFill="1" applyAlignment="1">
      <alignment horizontal="center" vertical="center"/>
    </xf>
    <xf numFmtId="2" fontId="10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/>
    </xf>
    <xf numFmtId="2" fontId="10" fillId="5" borderId="5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36" fillId="5" borderId="0" xfId="0" applyFont="1" applyFill="1" applyAlignment="1">
      <alignment horizontal="center" vertical="center"/>
    </xf>
    <xf numFmtId="0" fontId="36" fillId="5" borderId="0" xfId="0" applyFont="1" applyFill="1" applyAlignment="1">
      <alignment horizontal="left" vertical="center"/>
    </xf>
    <xf numFmtId="0" fontId="36" fillId="5" borderId="0" xfId="0" applyFont="1" applyFill="1" applyAlignment="1">
      <alignment vertical="center"/>
    </xf>
    <xf numFmtId="178" fontId="36" fillId="5" borderId="0" xfId="0" applyNumberFormat="1" applyFont="1" applyFill="1" applyAlignment="1">
      <alignment horizontal="center" vertical="center"/>
    </xf>
    <xf numFmtId="9" fontId="5" fillId="5" borderId="0" xfId="0" applyNumberFormat="1" applyFont="1" applyFill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0" fontId="19" fillId="5" borderId="0" xfId="0" applyFont="1" applyFill="1" applyAlignment="1">
      <alignment horizontal="center"/>
    </xf>
    <xf numFmtId="2" fontId="19" fillId="5" borderId="5" xfId="0" applyNumberFormat="1" applyFont="1" applyFill="1" applyBorder="1" applyAlignment="1">
      <alignment horizontal="center" vertical="center"/>
    </xf>
    <xf numFmtId="14" fontId="10" fillId="5" borderId="0" xfId="0" applyNumberFormat="1" applyFont="1" applyFill="1"/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center"/>
    </xf>
    <xf numFmtId="178" fontId="36" fillId="0" borderId="0" xfId="0" applyNumberFormat="1" applyFont="1" applyAlignment="1">
      <alignment horizontal="center" vertical="center"/>
    </xf>
    <xf numFmtId="2" fontId="19" fillId="0" borderId="5" xfId="0" applyNumberFormat="1" applyFont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/>
    </xf>
    <xf numFmtId="0" fontId="9" fillId="8" borderId="0" xfId="0" applyFont="1" applyFill="1" applyAlignment="1">
      <alignment vertical="center"/>
    </xf>
    <xf numFmtId="178" fontId="9" fillId="8" borderId="0" xfId="0" applyNumberFormat="1" applyFont="1" applyFill="1" applyAlignment="1">
      <alignment horizontal="center" vertical="center"/>
    </xf>
    <xf numFmtId="9" fontId="6" fillId="8" borderId="0" xfId="0" applyNumberFormat="1" applyFont="1" applyFill="1" applyAlignment="1">
      <alignment horizontal="center" vertical="center"/>
    </xf>
    <xf numFmtId="2" fontId="10" fillId="8" borderId="0" xfId="0" applyNumberFormat="1" applyFont="1" applyFill="1" applyAlignment="1">
      <alignment horizontal="center" vertical="center"/>
    </xf>
    <xf numFmtId="0" fontId="10" fillId="8" borderId="0" xfId="0" applyFont="1" applyFill="1" applyAlignment="1">
      <alignment horizontal="center"/>
    </xf>
    <xf numFmtId="2" fontId="10" fillId="8" borderId="5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36" fillId="8" borderId="0" xfId="0" applyFont="1" applyFill="1" applyAlignment="1">
      <alignment horizontal="center" vertical="center"/>
    </xf>
    <xf numFmtId="0" fontId="36" fillId="8" borderId="0" xfId="0" applyFont="1" applyFill="1" applyAlignment="1">
      <alignment horizontal="left" vertical="center"/>
    </xf>
    <xf numFmtId="0" fontId="36" fillId="8" borderId="0" xfId="0" applyFont="1" applyFill="1" applyAlignment="1">
      <alignment vertical="center"/>
    </xf>
    <xf numFmtId="178" fontId="36" fillId="8" borderId="0" xfId="0" applyNumberFormat="1" applyFont="1" applyFill="1" applyAlignment="1">
      <alignment horizontal="center" vertical="center"/>
    </xf>
    <xf numFmtId="9" fontId="5" fillId="8" borderId="0" xfId="0" applyNumberFormat="1" applyFont="1" applyFill="1" applyAlignment="1">
      <alignment horizontal="center" vertical="center"/>
    </xf>
    <xf numFmtId="2" fontId="19" fillId="8" borderId="0" xfId="0" applyNumberFormat="1" applyFont="1" applyFill="1" applyAlignment="1">
      <alignment horizontal="center" vertical="center"/>
    </xf>
    <xf numFmtId="0" fontId="19" fillId="8" borderId="0" xfId="0" applyFont="1" applyFill="1" applyAlignment="1">
      <alignment horizontal="center"/>
    </xf>
    <xf numFmtId="2" fontId="19" fillId="8" borderId="5" xfId="0" applyNumberFormat="1" applyFont="1" applyFill="1" applyBorder="1" applyAlignment="1">
      <alignment horizontal="center" vertical="center"/>
    </xf>
    <xf numFmtId="0" fontId="32" fillId="0" borderId="0" xfId="3" applyFont="1"/>
    <xf numFmtId="0" fontId="29" fillId="0" borderId="0" xfId="0" applyFont="1"/>
    <xf numFmtId="14" fontId="9" fillId="8" borderId="0" xfId="0" applyNumberFormat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49" fontId="9" fillId="5" borderId="0" xfId="0" applyNumberFormat="1" applyFont="1" applyFill="1" applyAlignment="1">
      <alignment horizontal="center" vertical="center"/>
    </xf>
    <xf numFmtId="49" fontId="36" fillId="5" borderId="0" xfId="0" applyNumberFormat="1" applyFont="1" applyFill="1" applyAlignment="1">
      <alignment horizontal="center" vertical="center"/>
    </xf>
    <xf numFmtId="0" fontId="34" fillId="0" borderId="0" xfId="0" applyFont="1" applyAlignment="1">
      <alignment horizontal="center"/>
    </xf>
    <xf numFmtId="0" fontId="3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35" fillId="0" borderId="0" xfId="0" applyFont="1" applyAlignment="1">
      <alignment horizontal="center"/>
    </xf>
    <xf numFmtId="176" fontId="15" fillId="6" borderId="16" xfId="2" applyNumberFormat="1" applyFont="1" applyAlignment="1">
      <alignment horizontal="center" vertical="center"/>
    </xf>
    <xf numFmtId="176" fontId="16" fillId="6" borderId="16" xfId="2" applyNumberFormat="1" applyFont="1" applyAlignment="1">
      <alignment horizontal="center" vertical="center"/>
    </xf>
    <xf numFmtId="0" fontId="37" fillId="0" borderId="0" xfId="3" applyFont="1"/>
    <xf numFmtId="176" fontId="8" fillId="7" borderId="0" xfId="0" applyNumberFormat="1" applyFont="1" applyFill="1" applyAlignment="1">
      <alignment horizontal="center" vertical="center"/>
    </xf>
    <xf numFmtId="176" fontId="9" fillId="7" borderId="0" xfId="0" applyNumberFormat="1" applyFont="1" applyFill="1" applyAlignment="1">
      <alignment horizontal="center" vertical="center"/>
    </xf>
    <xf numFmtId="176" fontId="9" fillId="7" borderId="0" xfId="0" applyNumberFormat="1" applyFont="1" applyFill="1" applyAlignment="1">
      <alignment horizontal="left" vertical="center"/>
    </xf>
    <xf numFmtId="14" fontId="9" fillId="7" borderId="0" xfId="0" applyNumberFormat="1" applyFont="1" applyFill="1" applyAlignment="1">
      <alignment horizontal="center" vertical="center"/>
    </xf>
    <xf numFmtId="0" fontId="1" fillId="0" borderId="0" xfId="3" applyFont="1"/>
    <xf numFmtId="176" fontId="38" fillId="7" borderId="0" xfId="0" applyNumberFormat="1" applyFont="1" applyFill="1" applyAlignment="1">
      <alignment horizontal="center" vertical="center"/>
    </xf>
    <xf numFmtId="176" fontId="8" fillId="5" borderId="0" xfId="0" applyNumberFormat="1" applyFont="1" applyFill="1" applyAlignment="1">
      <alignment horizontal="center" vertical="center"/>
    </xf>
    <xf numFmtId="176" fontId="9" fillId="5" borderId="0" xfId="0" applyNumberFormat="1" applyFont="1" applyFill="1" applyAlignment="1">
      <alignment horizontal="left" vertical="center"/>
    </xf>
    <xf numFmtId="176" fontId="9" fillId="5" borderId="0" xfId="0" applyNumberFormat="1" applyFont="1" applyFill="1" applyAlignment="1">
      <alignment horizontal="center" vertical="center"/>
    </xf>
    <xf numFmtId="14" fontId="9" fillId="5" borderId="0" xfId="0" applyNumberFormat="1" applyFont="1" applyFill="1" applyAlignment="1">
      <alignment horizontal="center" vertical="center"/>
    </xf>
    <xf numFmtId="176" fontId="38" fillId="5" borderId="0" xfId="0" applyNumberFormat="1" applyFont="1" applyFill="1" applyAlignment="1">
      <alignment horizontal="center" vertical="center"/>
    </xf>
    <xf numFmtId="176" fontId="36" fillId="5" borderId="0" xfId="0" applyNumberFormat="1" applyFont="1" applyFill="1" applyAlignment="1">
      <alignment horizontal="center" vertical="center"/>
    </xf>
    <xf numFmtId="176" fontId="36" fillId="5" borderId="0" xfId="0" applyNumberFormat="1" applyFont="1" applyFill="1" applyAlignment="1">
      <alignment horizontal="left" vertical="center"/>
    </xf>
    <xf numFmtId="0" fontId="10" fillId="5" borderId="0" xfId="0" applyFont="1" applyFill="1"/>
    <xf numFmtId="176" fontId="38" fillId="0" borderId="0" xfId="0" applyNumberFormat="1" applyFont="1" applyAlignment="1">
      <alignment horizontal="center" vertical="center"/>
    </xf>
    <xf numFmtId="176" fontId="36" fillId="0" borderId="0" xfId="0" applyNumberFormat="1" applyFont="1" applyAlignment="1">
      <alignment horizontal="left" vertical="center"/>
    </xf>
    <xf numFmtId="176" fontId="36" fillId="0" borderId="0" xfId="0" applyNumberFormat="1" applyFont="1" applyAlignment="1">
      <alignment horizontal="center" vertical="center"/>
    </xf>
    <xf numFmtId="176" fontId="8" fillId="8" borderId="0" xfId="0" applyNumberFormat="1" applyFont="1" applyFill="1" applyAlignment="1">
      <alignment horizontal="center" vertical="center"/>
    </xf>
    <xf numFmtId="176" fontId="9" fillId="8" borderId="0" xfId="0" applyNumberFormat="1" applyFont="1" applyFill="1" applyAlignment="1">
      <alignment horizontal="left" vertical="center"/>
    </xf>
    <xf numFmtId="176" fontId="9" fillId="8" borderId="0" xfId="0" applyNumberFormat="1" applyFont="1" applyFill="1" applyAlignment="1">
      <alignment horizontal="center" vertical="center"/>
    </xf>
    <xf numFmtId="176" fontId="38" fillId="8" borderId="0" xfId="0" applyNumberFormat="1" applyFont="1" applyFill="1" applyAlignment="1">
      <alignment horizontal="center" vertical="center"/>
    </xf>
    <xf numFmtId="176" fontId="36" fillId="8" borderId="0" xfId="0" applyNumberFormat="1" applyFont="1" applyFill="1" applyAlignment="1">
      <alignment horizontal="center" vertical="center"/>
    </xf>
    <xf numFmtId="178" fontId="36" fillId="8" borderId="0" xfId="0" applyNumberFormat="1" applyFont="1" applyFill="1" applyAlignment="1">
      <alignment horizontal="left" vertical="center"/>
    </xf>
    <xf numFmtId="179" fontId="9" fillId="8" borderId="0" xfId="0" applyNumberFormat="1" applyFont="1" applyFill="1" applyAlignment="1">
      <alignment horizontal="center" vertical="center"/>
    </xf>
  </cellXfs>
  <cellStyles count="4">
    <cellStyle name="메모" xfId="2" builtinId="10"/>
    <cellStyle name="쉼표 [0]" xfId="1" builtinId="6"/>
    <cellStyle name="표준" xfId="0" builtinId="0"/>
    <cellStyle name="표준 3" xfId="3" xr:uid="{1AED5618-B27A-42FA-A0C3-5BC220F696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4B9DC-29E0-E34C-8CEC-D1A4B0D6F591}">
  <dimension ref="A1:Z325"/>
  <sheetViews>
    <sheetView topLeftCell="I1" workbookViewId="0">
      <selection activeCell="U1" sqref="U1:U1048576"/>
    </sheetView>
  </sheetViews>
  <sheetFormatPr defaultColWidth="11.5546875" defaultRowHeight="17.25"/>
  <cols>
    <col min="1" max="1" width="11" bestFit="1" customWidth="1"/>
    <col min="7" max="8" width="30.6640625" customWidth="1"/>
    <col min="14" max="14" width="19.44140625" customWidth="1"/>
    <col min="15" max="15" width="15.109375" customWidth="1"/>
    <col min="16" max="16" width="19.44140625" customWidth="1"/>
    <col min="17" max="17" width="15.109375" customWidth="1"/>
    <col min="18" max="18" width="19.44140625" customWidth="1"/>
    <col min="19" max="19" width="15.109375" customWidth="1"/>
    <col min="20" max="20" width="19.44140625" customWidth="1"/>
    <col min="21" max="21" width="15.109375" customWidth="1"/>
    <col min="23" max="23" width="18.44140625" customWidth="1"/>
    <col min="24" max="24" width="21.109375" customWidth="1"/>
    <col min="25" max="25" width="23" style="13" customWidth="1"/>
    <col min="26" max="26" width="19.44140625" customWidth="1"/>
  </cols>
  <sheetData>
    <row r="1" spans="1:26" s="20" customFormat="1" ht="14.25" thickBot="1">
      <c r="A1" s="17" t="s">
        <v>4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  <c r="L1" s="17" t="s">
        <v>13</v>
      </c>
      <c r="M1" s="17" t="s">
        <v>15</v>
      </c>
      <c r="N1" s="18" t="s">
        <v>16</v>
      </c>
      <c r="O1" s="17" t="s">
        <v>17</v>
      </c>
      <c r="P1" s="18" t="s">
        <v>18</v>
      </c>
      <c r="Q1" s="17" t="s">
        <v>19</v>
      </c>
      <c r="R1" s="19" t="s">
        <v>20</v>
      </c>
      <c r="S1" s="17" t="s">
        <v>21</v>
      </c>
      <c r="T1" s="19" t="s">
        <v>22</v>
      </c>
      <c r="U1" s="17" t="s">
        <v>23</v>
      </c>
      <c r="V1" s="17" t="s">
        <v>24</v>
      </c>
      <c r="W1" s="16" t="s">
        <v>891</v>
      </c>
      <c r="X1" s="16" t="s">
        <v>890</v>
      </c>
      <c r="Y1" s="65" t="s">
        <v>892</v>
      </c>
      <c r="Z1" s="62" t="s">
        <v>893</v>
      </c>
    </row>
    <row r="2" spans="1:26">
      <c r="A2" s="22">
        <v>1</v>
      </c>
      <c r="B2" s="23" t="s">
        <v>25</v>
      </c>
      <c r="C2" s="23" t="s">
        <v>26</v>
      </c>
      <c r="D2" s="23" t="s">
        <v>27</v>
      </c>
      <c r="E2" s="24" t="s">
        <v>28</v>
      </c>
      <c r="F2" s="24" t="s">
        <v>28</v>
      </c>
      <c r="G2" s="25" t="s">
        <v>27</v>
      </c>
      <c r="H2" s="25" t="s">
        <v>27</v>
      </c>
      <c r="I2" s="24" t="s">
        <v>28</v>
      </c>
      <c r="J2" s="24" t="s">
        <v>28</v>
      </c>
      <c r="K2" s="24" t="s">
        <v>28</v>
      </c>
      <c r="L2" s="24" t="s">
        <v>28</v>
      </c>
      <c r="M2" s="24" t="s">
        <v>28</v>
      </c>
      <c r="N2" s="26">
        <v>955817500000.00012</v>
      </c>
      <c r="O2" s="27">
        <v>38957</v>
      </c>
      <c r="P2" s="26">
        <v>1382488800000</v>
      </c>
      <c r="Q2" s="27">
        <v>40025</v>
      </c>
      <c r="R2" s="26">
        <v>1852587000000</v>
      </c>
      <c r="S2" s="27">
        <v>41879</v>
      </c>
      <c r="T2" s="26">
        <v>2571929000000</v>
      </c>
      <c r="U2" s="27">
        <v>45380</v>
      </c>
      <c r="V2" s="28" t="s">
        <v>29</v>
      </c>
      <c r="W2" s="63" t="s">
        <v>882</v>
      </c>
      <c r="X2" s="29" t="s">
        <v>887</v>
      </c>
      <c r="Y2" s="66" t="s">
        <v>68</v>
      </c>
      <c r="Z2" s="30" t="s">
        <v>68</v>
      </c>
    </row>
    <row r="3" spans="1:26">
      <c r="A3" s="31">
        <v>2</v>
      </c>
      <c r="B3" s="8" t="s">
        <v>25</v>
      </c>
      <c r="C3" s="8" t="s">
        <v>26</v>
      </c>
      <c r="D3" s="8" t="s">
        <v>30</v>
      </c>
      <c r="E3" s="7" t="s">
        <v>28</v>
      </c>
      <c r="F3" s="7" t="s">
        <v>28</v>
      </c>
      <c r="G3" s="32" t="s">
        <v>30</v>
      </c>
      <c r="H3" s="32" t="s">
        <v>30</v>
      </c>
      <c r="I3" s="7" t="s">
        <v>28</v>
      </c>
      <c r="J3" s="7" t="s">
        <v>28</v>
      </c>
      <c r="K3" s="7" t="s">
        <v>28</v>
      </c>
      <c r="L3" s="7" t="s">
        <v>28</v>
      </c>
      <c r="M3" s="7" t="s">
        <v>28</v>
      </c>
      <c r="N3" s="9">
        <v>245408900000.00003</v>
      </c>
      <c r="O3" s="10">
        <v>38957</v>
      </c>
      <c r="P3" s="9">
        <v>475737900000.00006</v>
      </c>
      <c r="Q3" s="10">
        <v>39987</v>
      </c>
      <c r="R3" s="9">
        <v>456122000000</v>
      </c>
      <c r="S3" s="10">
        <v>41879</v>
      </c>
      <c r="T3" s="9">
        <v>585244000000</v>
      </c>
      <c r="U3" s="10">
        <v>45380</v>
      </c>
      <c r="V3" s="11" t="s">
        <v>31</v>
      </c>
      <c r="W3" s="15" t="s">
        <v>883</v>
      </c>
      <c r="X3" s="21" t="s">
        <v>887</v>
      </c>
      <c r="Y3" s="67" t="s">
        <v>68</v>
      </c>
      <c r="Z3" s="33" t="s">
        <v>68</v>
      </c>
    </row>
    <row r="4" spans="1:26">
      <c r="A4" s="31">
        <v>3</v>
      </c>
      <c r="B4" s="8" t="s">
        <v>25</v>
      </c>
      <c r="C4" s="8" t="s">
        <v>26</v>
      </c>
      <c r="D4" s="12" t="s">
        <v>32</v>
      </c>
      <c r="E4" s="12" t="s">
        <v>33</v>
      </c>
      <c r="F4" s="34" t="s">
        <v>34</v>
      </c>
      <c r="G4" s="11" t="s">
        <v>35</v>
      </c>
      <c r="H4" s="11" t="s">
        <v>36</v>
      </c>
      <c r="I4" s="7" t="s">
        <v>37</v>
      </c>
      <c r="J4" s="12" t="s">
        <v>38</v>
      </c>
      <c r="K4" s="12" t="s">
        <v>28</v>
      </c>
      <c r="L4" s="12" t="s">
        <v>28</v>
      </c>
      <c r="M4" s="12" t="s">
        <v>38</v>
      </c>
      <c r="N4" s="9">
        <v>23645600000.000004</v>
      </c>
      <c r="O4" s="10">
        <v>39419</v>
      </c>
      <c r="P4" s="35">
        <v>0</v>
      </c>
      <c r="Q4" s="12" t="s">
        <v>28</v>
      </c>
      <c r="R4" s="9">
        <v>30942000000</v>
      </c>
      <c r="S4" s="10">
        <v>42200</v>
      </c>
      <c r="T4" s="9">
        <v>36650000000</v>
      </c>
      <c r="U4" s="10">
        <v>45230</v>
      </c>
      <c r="V4" s="11" t="s">
        <v>39</v>
      </c>
      <c r="W4" s="64" t="s">
        <v>879</v>
      </c>
      <c r="X4" s="21" t="s">
        <v>68</v>
      </c>
      <c r="Y4" s="67" t="s">
        <v>68</v>
      </c>
      <c r="Z4" s="33" t="s">
        <v>887</v>
      </c>
    </row>
    <row r="5" spans="1:26">
      <c r="A5" s="31">
        <v>4</v>
      </c>
      <c r="B5" s="8" t="s">
        <v>25</v>
      </c>
      <c r="C5" s="8" t="s">
        <v>26</v>
      </c>
      <c r="D5" s="12" t="s">
        <v>32</v>
      </c>
      <c r="E5" s="12" t="s">
        <v>33</v>
      </c>
      <c r="F5" s="34" t="s">
        <v>40</v>
      </c>
      <c r="G5" s="34" t="s">
        <v>41</v>
      </c>
      <c r="H5" s="36" t="s">
        <v>42</v>
      </c>
      <c r="I5" s="12" t="s">
        <v>43</v>
      </c>
      <c r="J5" s="12" t="s">
        <v>38</v>
      </c>
      <c r="K5" s="12" t="s">
        <v>28</v>
      </c>
      <c r="L5" s="12" t="s">
        <v>28</v>
      </c>
      <c r="M5" s="12" t="s">
        <v>38</v>
      </c>
      <c r="N5" s="9">
        <v>33513700000.000004</v>
      </c>
      <c r="O5" s="10">
        <v>39254</v>
      </c>
      <c r="P5" s="9">
        <v>44972098600</v>
      </c>
      <c r="Q5" s="10">
        <v>40632</v>
      </c>
      <c r="R5" s="9">
        <v>45098000000</v>
      </c>
      <c r="S5" s="10">
        <v>42251</v>
      </c>
      <c r="T5" s="9">
        <v>61733000000</v>
      </c>
      <c r="U5" s="10">
        <v>45282</v>
      </c>
      <c r="V5" s="11" t="s">
        <v>39</v>
      </c>
      <c r="W5" s="64" t="s">
        <v>879</v>
      </c>
      <c r="X5" s="21" t="s">
        <v>68</v>
      </c>
      <c r="Y5" s="67" t="s">
        <v>68</v>
      </c>
      <c r="Z5" s="33" t="s">
        <v>887</v>
      </c>
    </row>
    <row r="6" spans="1:26">
      <c r="A6" s="31">
        <v>5</v>
      </c>
      <c r="B6" s="8" t="s">
        <v>25</v>
      </c>
      <c r="C6" s="8" t="s">
        <v>26</v>
      </c>
      <c r="D6" s="12" t="s">
        <v>32</v>
      </c>
      <c r="E6" s="12" t="s">
        <v>33</v>
      </c>
      <c r="F6" s="34" t="s">
        <v>44</v>
      </c>
      <c r="G6" s="34" t="s">
        <v>45</v>
      </c>
      <c r="H6" s="36" t="s">
        <v>46</v>
      </c>
      <c r="I6" s="12" t="s">
        <v>37</v>
      </c>
      <c r="J6" s="12" t="s">
        <v>38</v>
      </c>
      <c r="K6" s="12" t="s">
        <v>28</v>
      </c>
      <c r="L6" s="12" t="s">
        <v>28</v>
      </c>
      <c r="M6" s="12" t="s">
        <v>38</v>
      </c>
      <c r="N6" s="9">
        <v>35998600000</v>
      </c>
      <c r="O6" s="10">
        <v>39409</v>
      </c>
      <c r="P6" s="9">
        <v>58219000000</v>
      </c>
      <c r="Q6" s="10">
        <v>41051</v>
      </c>
      <c r="R6" s="9">
        <v>58560000000</v>
      </c>
      <c r="S6" s="10">
        <v>42401</v>
      </c>
      <c r="T6" s="9">
        <v>82313000000</v>
      </c>
      <c r="U6" s="10">
        <v>45280</v>
      </c>
      <c r="V6" s="11" t="s">
        <v>39</v>
      </c>
      <c r="W6" s="64" t="s">
        <v>879</v>
      </c>
      <c r="X6" s="21" t="s">
        <v>68</v>
      </c>
      <c r="Y6" s="67" t="s">
        <v>68</v>
      </c>
      <c r="Z6" s="33" t="s">
        <v>887</v>
      </c>
    </row>
    <row r="7" spans="1:26">
      <c r="A7" s="31">
        <v>6</v>
      </c>
      <c r="B7" s="8" t="s">
        <v>25</v>
      </c>
      <c r="C7" s="8" t="s">
        <v>26</v>
      </c>
      <c r="D7" s="12" t="s">
        <v>32</v>
      </c>
      <c r="E7" s="12" t="s">
        <v>33</v>
      </c>
      <c r="F7" s="34" t="s">
        <v>47</v>
      </c>
      <c r="G7" s="34" t="s">
        <v>48</v>
      </c>
      <c r="H7" s="36" t="s">
        <v>49</v>
      </c>
      <c r="I7" s="12" t="s">
        <v>37</v>
      </c>
      <c r="J7" s="12" t="s">
        <v>38</v>
      </c>
      <c r="K7" s="12" t="s">
        <v>28</v>
      </c>
      <c r="L7" s="12" t="s">
        <v>28</v>
      </c>
      <c r="M7" s="12" t="s">
        <v>38</v>
      </c>
      <c r="N7" s="9">
        <v>39430600000</v>
      </c>
      <c r="O7" s="10">
        <v>39409</v>
      </c>
      <c r="P7" s="9">
        <v>71640000000</v>
      </c>
      <c r="Q7" s="10">
        <v>41051</v>
      </c>
      <c r="R7" s="9">
        <v>74285000000</v>
      </c>
      <c r="S7" s="10">
        <v>42415</v>
      </c>
      <c r="T7" s="9">
        <v>114986000000</v>
      </c>
      <c r="U7" s="10">
        <v>45280</v>
      </c>
      <c r="V7" s="11" t="s">
        <v>39</v>
      </c>
      <c r="W7" s="64" t="s">
        <v>879</v>
      </c>
      <c r="X7" s="21" t="s">
        <v>68</v>
      </c>
      <c r="Y7" s="67" t="s">
        <v>68</v>
      </c>
      <c r="Z7" s="33" t="s">
        <v>887</v>
      </c>
    </row>
    <row r="8" spans="1:26">
      <c r="A8" s="31">
        <v>7</v>
      </c>
      <c r="B8" s="8" t="s">
        <v>25</v>
      </c>
      <c r="C8" s="8" t="s">
        <v>26</v>
      </c>
      <c r="D8" s="12" t="s">
        <v>32</v>
      </c>
      <c r="E8" s="12" t="s">
        <v>33</v>
      </c>
      <c r="F8" s="34" t="s">
        <v>50</v>
      </c>
      <c r="G8" s="34" t="s">
        <v>51</v>
      </c>
      <c r="H8" s="36" t="s">
        <v>52</v>
      </c>
      <c r="I8" s="12" t="s">
        <v>53</v>
      </c>
      <c r="J8" s="12" t="s">
        <v>38</v>
      </c>
      <c r="K8" s="12" t="s">
        <v>28</v>
      </c>
      <c r="L8" s="12" t="s">
        <v>28</v>
      </c>
      <c r="M8" s="12" t="s">
        <v>38</v>
      </c>
      <c r="N8" s="9">
        <v>2104300000.0000002</v>
      </c>
      <c r="O8" s="10">
        <v>39409</v>
      </c>
      <c r="P8" s="35">
        <v>0</v>
      </c>
      <c r="Q8" s="12" t="s">
        <v>28</v>
      </c>
      <c r="R8" s="35">
        <v>0</v>
      </c>
      <c r="S8" s="10" t="s">
        <v>28</v>
      </c>
      <c r="T8" s="37">
        <v>0</v>
      </c>
      <c r="U8" s="10" t="s">
        <v>28</v>
      </c>
      <c r="V8" s="11" t="s">
        <v>39</v>
      </c>
      <c r="W8" s="64" t="s">
        <v>879</v>
      </c>
      <c r="X8" s="21" t="s">
        <v>68</v>
      </c>
      <c r="Y8" s="67" t="s">
        <v>68</v>
      </c>
      <c r="Z8" s="33" t="s">
        <v>887</v>
      </c>
    </row>
    <row r="9" spans="1:26">
      <c r="A9" s="31">
        <v>8</v>
      </c>
      <c r="B9" s="8" t="s">
        <v>25</v>
      </c>
      <c r="C9" s="8" t="s">
        <v>26</v>
      </c>
      <c r="D9" s="12" t="s">
        <v>32</v>
      </c>
      <c r="E9" s="12" t="s">
        <v>33</v>
      </c>
      <c r="F9" s="34" t="s">
        <v>54</v>
      </c>
      <c r="G9" s="34" t="s">
        <v>55</v>
      </c>
      <c r="H9" s="36" t="s">
        <v>56</v>
      </c>
      <c r="I9" s="12" t="s">
        <v>57</v>
      </c>
      <c r="J9" s="12" t="s">
        <v>38</v>
      </c>
      <c r="K9" s="12" t="s">
        <v>28</v>
      </c>
      <c r="L9" s="12" t="s">
        <v>28</v>
      </c>
      <c r="M9" s="12" t="s">
        <v>38</v>
      </c>
      <c r="N9" s="9">
        <v>31672300000.000004</v>
      </c>
      <c r="O9" s="10">
        <v>39443</v>
      </c>
      <c r="P9" s="9">
        <v>23650000000.000004</v>
      </c>
      <c r="Q9" s="10">
        <v>40378</v>
      </c>
      <c r="R9" s="9">
        <v>28704000000</v>
      </c>
      <c r="S9" s="10">
        <v>42605</v>
      </c>
      <c r="T9" s="37">
        <v>0</v>
      </c>
      <c r="U9" s="10" t="s">
        <v>28</v>
      </c>
      <c r="V9" s="11" t="s">
        <v>39</v>
      </c>
      <c r="W9" s="64" t="s">
        <v>879</v>
      </c>
      <c r="X9" s="21" t="s">
        <v>68</v>
      </c>
      <c r="Y9" s="67" t="s">
        <v>68</v>
      </c>
      <c r="Z9" s="33" t="s">
        <v>887</v>
      </c>
    </row>
    <row r="10" spans="1:26">
      <c r="A10" s="31">
        <v>9</v>
      </c>
      <c r="B10" s="8" t="s">
        <v>25</v>
      </c>
      <c r="C10" s="8" t="s">
        <v>26</v>
      </c>
      <c r="D10" s="12" t="s">
        <v>32</v>
      </c>
      <c r="E10" s="12" t="s">
        <v>33</v>
      </c>
      <c r="F10" s="34" t="s">
        <v>58</v>
      </c>
      <c r="G10" s="34" t="s">
        <v>59</v>
      </c>
      <c r="H10" s="36" t="s">
        <v>60</v>
      </c>
      <c r="I10" s="12" t="s">
        <v>61</v>
      </c>
      <c r="J10" s="12" t="s">
        <v>38</v>
      </c>
      <c r="K10" s="12" t="s">
        <v>28</v>
      </c>
      <c r="L10" s="12" t="s">
        <v>28</v>
      </c>
      <c r="M10" s="12" t="s">
        <v>38</v>
      </c>
      <c r="N10" s="9">
        <v>20255400000</v>
      </c>
      <c r="O10" s="10">
        <v>39386</v>
      </c>
      <c r="P10" s="9">
        <v>23221000000</v>
      </c>
      <c r="Q10" s="10">
        <v>40633</v>
      </c>
      <c r="R10" s="9">
        <v>21890000000</v>
      </c>
      <c r="S10" s="10">
        <v>42439</v>
      </c>
      <c r="T10" s="9">
        <v>35749000000</v>
      </c>
      <c r="U10" s="10">
        <v>45362</v>
      </c>
      <c r="V10" s="11" t="s">
        <v>39</v>
      </c>
      <c r="W10" s="64" t="s">
        <v>879</v>
      </c>
      <c r="X10" s="21" t="s">
        <v>68</v>
      </c>
      <c r="Y10" s="67" t="s">
        <v>68</v>
      </c>
      <c r="Z10" s="33" t="s">
        <v>887</v>
      </c>
    </row>
    <row r="11" spans="1:26">
      <c r="A11" s="31">
        <v>10</v>
      </c>
      <c r="B11" s="8" t="s">
        <v>25</v>
      </c>
      <c r="C11" s="8" t="s">
        <v>26</v>
      </c>
      <c r="D11" s="12" t="s">
        <v>32</v>
      </c>
      <c r="E11" s="12" t="s">
        <v>33</v>
      </c>
      <c r="F11" s="34" t="s">
        <v>62</v>
      </c>
      <c r="G11" s="34" t="s">
        <v>63</v>
      </c>
      <c r="H11" s="36" t="s">
        <v>64</v>
      </c>
      <c r="I11" s="12" t="s">
        <v>57</v>
      </c>
      <c r="J11" s="12" t="s">
        <v>38</v>
      </c>
      <c r="K11" s="12" t="s">
        <v>28</v>
      </c>
      <c r="L11" s="12" t="s">
        <v>28</v>
      </c>
      <c r="M11" s="12" t="s">
        <v>38</v>
      </c>
      <c r="N11" s="9">
        <v>29304000000.000004</v>
      </c>
      <c r="O11" s="10">
        <v>39440</v>
      </c>
      <c r="P11" s="35">
        <v>0</v>
      </c>
      <c r="Q11" s="12" t="s">
        <v>28</v>
      </c>
      <c r="R11" s="9">
        <v>21036000000</v>
      </c>
      <c r="S11" s="10">
        <v>42517</v>
      </c>
      <c r="T11" s="37">
        <v>0</v>
      </c>
      <c r="U11" s="10" t="s">
        <v>28</v>
      </c>
      <c r="V11" s="11" t="s">
        <v>65</v>
      </c>
      <c r="W11" s="64" t="s">
        <v>879</v>
      </c>
      <c r="X11" s="21" t="s">
        <v>68</v>
      </c>
      <c r="Y11" s="67" t="s">
        <v>68</v>
      </c>
      <c r="Z11" s="33" t="s">
        <v>887</v>
      </c>
    </row>
    <row r="12" spans="1:26">
      <c r="A12" s="31">
        <v>11</v>
      </c>
      <c r="B12" s="8" t="s">
        <v>25</v>
      </c>
      <c r="C12" s="8" t="s">
        <v>26</v>
      </c>
      <c r="D12" s="12" t="s">
        <v>32</v>
      </c>
      <c r="E12" s="12" t="s">
        <v>33</v>
      </c>
      <c r="F12" s="34" t="s">
        <v>66</v>
      </c>
      <c r="G12" s="34" t="s">
        <v>28</v>
      </c>
      <c r="H12" s="36" t="s">
        <v>67</v>
      </c>
      <c r="I12" s="12" t="s">
        <v>37</v>
      </c>
      <c r="J12" s="12" t="s">
        <v>28</v>
      </c>
      <c r="K12" s="12" t="s">
        <v>28</v>
      </c>
      <c r="L12" s="12" t="s">
        <v>38</v>
      </c>
      <c r="M12" s="12" t="s">
        <v>38</v>
      </c>
      <c r="N12" s="9">
        <v>0</v>
      </c>
      <c r="O12" s="12" t="s">
        <v>28</v>
      </c>
      <c r="P12" s="35">
        <v>0</v>
      </c>
      <c r="Q12" s="12" t="s">
        <v>28</v>
      </c>
      <c r="R12" s="35">
        <v>0</v>
      </c>
      <c r="S12" s="10" t="s">
        <v>28</v>
      </c>
      <c r="T12" s="37">
        <v>0</v>
      </c>
      <c r="U12" s="10" t="s">
        <v>28</v>
      </c>
      <c r="V12" s="11" t="s">
        <v>68</v>
      </c>
      <c r="W12" s="15" t="s">
        <v>68</v>
      </c>
      <c r="X12" s="21" t="s">
        <v>887</v>
      </c>
      <c r="Y12" s="67" t="s">
        <v>68</v>
      </c>
      <c r="Z12" s="33" t="s">
        <v>887</v>
      </c>
    </row>
    <row r="13" spans="1:26">
      <c r="A13" s="31">
        <v>12</v>
      </c>
      <c r="B13" s="8" t="s">
        <v>25</v>
      </c>
      <c r="C13" s="8" t="s">
        <v>26</v>
      </c>
      <c r="D13" s="12" t="s">
        <v>32</v>
      </c>
      <c r="E13" s="12" t="s">
        <v>33</v>
      </c>
      <c r="F13" s="34" t="s">
        <v>69</v>
      </c>
      <c r="G13" s="34" t="s">
        <v>70</v>
      </c>
      <c r="H13" s="36" t="s">
        <v>71</v>
      </c>
      <c r="I13" s="12" t="s">
        <v>53</v>
      </c>
      <c r="J13" s="12" t="s">
        <v>38</v>
      </c>
      <c r="K13" s="12" t="s">
        <v>28</v>
      </c>
      <c r="L13" s="12" t="s">
        <v>28</v>
      </c>
      <c r="M13" s="12" t="s">
        <v>38</v>
      </c>
      <c r="N13" s="9">
        <v>0</v>
      </c>
      <c r="O13" s="12" t="s">
        <v>28</v>
      </c>
      <c r="P13" s="35">
        <v>4967668603</v>
      </c>
      <c r="Q13" s="38">
        <v>41481</v>
      </c>
      <c r="R13" s="9">
        <v>9655000000</v>
      </c>
      <c r="S13" s="10">
        <v>42662</v>
      </c>
      <c r="T13" s="9">
        <v>12209000000</v>
      </c>
      <c r="U13" s="10">
        <v>45282</v>
      </c>
      <c r="V13" s="34" t="s">
        <v>72</v>
      </c>
      <c r="W13" s="15" t="s">
        <v>880</v>
      </c>
      <c r="X13" s="21" t="s">
        <v>887</v>
      </c>
      <c r="Y13" s="67" t="s">
        <v>68</v>
      </c>
      <c r="Z13" s="33" t="s">
        <v>887</v>
      </c>
    </row>
    <row r="14" spans="1:26">
      <c r="A14" s="31">
        <v>13</v>
      </c>
      <c r="B14" s="8" t="s">
        <v>25</v>
      </c>
      <c r="C14" s="8" t="s">
        <v>26</v>
      </c>
      <c r="D14" s="12" t="s">
        <v>32</v>
      </c>
      <c r="E14" s="12" t="s">
        <v>33</v>
      </c>
      <c r="F14" s="34" t="s">
        <v>73</v>
      </c>
      <c r="G14" s="34" t="s">
        <v>74</v>
      </c>
      <c r="H14" s="36" t="s">
        <v>75</v>
      </c>
      <c r="I14" s="12" t="s">
        <v>53</v>
      </c>
      <c r="J14" s="12" t="s">
        <v>38</v>
      </c>
      <c r="K14" s="12" t="s">
        <v>28</v>
      </c>
      <c r="L14" s="12" t="s">
        <v>28</v>
      </c>
      <c r="M14" s="12" t="s">
        <v>38</v>
      </c>
      <c r="N14" s="9">
        <v>0</v>
      </c>
      <c r="O14" s="12" t="s">
        <v>28</v>
      </c>
      <c r="P14" s="35">
        <v>0</v>
      </c>
      <c r="Q14" s="12" t="s">
        <v>28</v>
      </c>
      <c r="R14" s="35">
        <v>682000000</v>
      </c>
      <c r="S14" s="10" t="s">
        <v>28</v>
      </c>
      <c r="T14" s="37">
        <v>0</v>
      </c>
      <c r="U14" s="10" t="s">
        <v>28</v>
      </c>
      <c r="V14" s="34" t="s">
        <v>72</v>
      </c>
      <c r="W14" s="15" t="s">
        <v>879</v>
      </c>
      <c r="X14" s="21" t="s">
        <v>887</v>
      </c>
      <c r="Y14" s="67" t="s">
        <v>68</v>
      </c>
      <c r="Z14" s="33" t="s">
        <v>887</v>
      </c>
    </row>
    <row r="15" spans="1:26">
      <c r="A15" s="31">
        <v>14</v>
      </c>
      <c r="B15" s="8" t="s">
        <v>25</v>
      </c>
      <c r="C15" s="8" t="s">
        <v>26</v>
      </c>
      <c r="D15" s="12" t="s">
        <v>32</v>
      </c>
      <c r="E15" s="12" t="s">
        <v>33</v>
      </c>
      <c r="F15" s="34" t="s">
        <v>76</v>
      </c>
      <c r="G15" s="34" t="s">
        <v>77</v>
      </c>
      <c r="H15" s="36" t="s">
        <v>78</v>
      </c>
      <c r="I15" s="12" t="s">
        <v>37</v>
      </c>
      <c r="J15" s="12" t="s">
        <v>38</v>
      </c>
      <c r="K15" s="12" t="s">
        <v>28</v>
      </c>
      <c r="L15" s="12" t="s">
        <v>28</v>
      </c>
      <c r="M15" s="12" t="s">
        <v>38</v>
      </c>
      <c r="N15" s="9">
        <v>0</v>
      </c>
      <c r="O15" s="12" t="s">
        <v>28</v>
      </c>
      <c r="P15" s="9">
        <v>8162000000</v>
      </c>
      <c r="Q15" s="10">
        <v>40739</v>
      </c>
      <c r="R15" s="9">
        <v>6465000000</v>
      </c>
      <c r="S15" s="10">
        <v>42478</v>
      </c>
      <c r="T15" s="9">
        <v>10670000000</v>
      </c>
      <c r="U15" s="10">
        <v>45442</v>
      </c>
      <c r="V15" s="11" t="s">
        <v>79</v>
      </c>
      <c r="W15" s="15" t="s">
        <v>882</v>
      </c>
      <c r="X15" s="21" t="s">
        <v>887</v>
      </c>
      <c r="Y15" s="67" t="s">
        <v>894</v>
      </c>
      <c r="Z15" s="33" t="s">
        <v>887</v>
      </c>
    </row>
    <row r="16" spans="1:26">
      <c r="A16" s="31">
        <v>15</v>
      </c>
      <c r="B16" s="8" t="s">
        <v>25</v>
      </c>
      <c r="C16" s="8" t="s">
        <v>26</v>
      </c>
      <c r="D16" s="12" t="s">
        <v>32</v>
      </c>
      <c r="E16" s="12" t="s">
        <v>33</v>
      </c>
      <c r="F16" s="34" t="s">
        <v>80</v>
      </c>
      <c r="G16" s="34" t="s">
        <v>81</v>
      </c>
      <c r="H16" s="36" t="s">
        <v>82</v>
      </c>
      <c r="I16" s="12" t="s">
        <v>53</v>
      </c>
      <c r="J16" s="12" t="s">
        <v>38</v>
      </c>
      <c r="K16" s="12" t="s">
        <v>28</v>
      </c>
      <c r="L16" s="12" t="s">
        <v>28</v>
      </c>
      <c r="M16" s="12" t="s">
        <v>38</v>
      </c>
      <c r="N16" s="9">
        <v>0</v>
      </c>
      <c r="O16" s="12" t="s">
        <v>28</v>
      </c>
      <c r="P16" s="9">
        <v>5868500000</v>
      </c>
      <c r="Q16" s="10">
        <v>40765</v>
      </c>
      <c r="R16" s="35">
        <v>0</v>
      </c>
      <c r="S16" s="10" t="s">
        <v>28</v>
      </c>
      <c r="T16" s="9">
        <v>8542000000</v>
      </c>
      <c r="U16" s="10">
        <v>45537</v>
      </c>
      <c r="V16" s="11" t="s">
        <v>79</v>
      </c>
      <c r="W16" s="15" t="s">
        <v>883</v>
      </c>
      <c r="X16" s="21" t="s">
        <v>887</v>
      </c>
      <c r="Y16" s="67" t="s">
        <v>68</v>
      </c>
      <c r="Z16" s="33" t="s">
        <v>887</v>
      </c>
    </row>
    <row r="17" spans="1:26">
      <c r="A17" s="31">
        <v>16</v>
      </c>
      <c r="B17" s="8" t="s">
        <v>25</v>
      </c>
      <c r="C17" s="8" t="s">
        <v>26</v>
      </c>
      <c r="D17" s="12" t="s">
        <v>32</v>
      </c>
      <c r="E17" s="12" t="s">
        <v>33</v>
      </c>
      <c r="F17" s="34" t="s">
        <v>83</v>
      </c>
      <c r="G17" s="34" t="s">
        <v>84</v>
      </c>
      <c r="H17" s="36" t="s">
        <v>85</v>
      </c>
      <c r="I17" s="12" t="s">
        <v>61</v>
      </c>
      <c r="J17" s="12" t="s">
        <v>38</v>
      </c>
      <c r="K17" s="12" t="s">
        <v>28</v>
      </c>
      <c r="L17" s="12" t="s">
        <v>28</v>
      </c>
      <c r="M17" s="12" t="s">
        <v>38</v>
      </c>
      <c r="N17" s="9">
        <v>0</v>
      </c>
      <c r="O17" s="12" t="s">
        <v>28</v>
      </c>
      <c r="P17" s="35">
        <v>0</v>
      </c>
      <c r="Q17" s="12" t="s">
        <v>28</v>
      </c>
      <c r="R17" s="35">
        <v>0</v>
      </c>
      <c r="S17" s="10" t="s">
        <v>28</v>
      </c>
      <c r="T17" s="37">
        <v>0</v>
      </c>
      <c r="U17" s="10" t="s">
        <v>28</v>
      </c>
      <c r="V17" s="11" t="s">
        <v>68</v>
      </c>
      <c r="W17" s="15" t="s">
        <v>68</v>
      </c>
      <c r="X17" s="21" t="s">
        <v>887</v>
      </c>
      <c r="Y17" s="67" t="s">
        <v>68</v>
      </c>
      <c r="Z17" s="33" t="s">
        <v>887</v>
      </c>
    </row>
    <row r="18" spans="1:26">
      <c r="A18" s="31">
        <v>17</v>
      </c>
      <c r="B18" s="8" t="s">
        <v>25</v>
      </c>
      <c r="C18" s="8" t="s">
        <v>26</v>
      </c>
      <c r="D18" s="12" t="s">
        <v>32</v>
      </c>
      <c r="E18" s="12" t="s">
        <v>33</v>
      </c>
      <c r="F18" s="34" t="s">
        <v>86</v>
      </c>
      <c r="G18" s="34" t="s">
        <v>87</v>
      </c>
      <c r="H18" s="36" t="s">
        <v>88</v>
      </c>
      <c r="I18" s="12" t="s">
        <v>53</v>
      </c>
      <c r="J18" s="12" t="s">
        <v>38</v>
      </c>
      <c r="K18" s="12" t="s">
        <v>28</v>
      </c>
      <c r="L18" s="12" t="s">
        <v>28</v>
      </c>
      <c r="M18" s="12" t="s">
        <v>38</v>
      </c>
      <c r="N18" s="9">
        <v>0</v>
      </c>
      <c r="O18" s="12" t="s">
        <v>28</v>
      </c>
      <c r="P18" s="35">
        <v>0</v>
      </c>
      <c r="Q18" s="12" t="s">
        <v>28</v>
      </c>
      <c r="R18" s="35">
        <v>0</v>
      </c>
      <c r="S18" s="10" t="s">
        <v>28</v>
      </c>
      <c r="T18" s="37">
        <v>0</v>
      </c>
      <c r="U18" s="10" t="s">
        <v>28</v>
      </c>
      <c r="V18" s="11" t="s">
        <v>68</v>
      </c>
      <c r="W18" s="15" t="s">
        <v>68</v>
      </c>
      <c r="X18" s="21" t="s">
        <v>887</v>
      </c>
      <c r="Y18" s="67" t="s">
        <v>68</v>
      </c>
      <c r="Z18" s="33" t="s">
        <v>887</v>
      </c>
    </row>
    <row r="19" spans="1:26">
      <c r="A19" s="31">
        <v>18</v>
      </c>
      <c r="B19" s="8" t="s">
        <v>25</v>
      </c>
      <c r="C19" s="8" t="s">
        <v>26</v>
      </c>
      <c r="D19" s="12" t="s">
        <v>32</v>
      </c>
      <c r="E19" s="12" t="s">
        <v>33</v>
      </c>
      <c r="F19" s="34" t="s">
        <v>89</v>
      </c>
      <c r="G19" s="34" t="s">
        <v>28</v>
      </c>
      <c r="H19" s="36" t="s">
        <v>90</v>
      </c>
      <c r="I19" s="12" t="s">
        <v>43</v>
      </c>
      <c r="J19" s="12" t="s">
        <v>28</v>
      </c>
      <c r="K19" s="12" t="s">
        <v>28</v>
      </c>
      <c r="L19" s="12" t="s">
        <v>38</v>
      </c>
      <c r="M19" s="12" t="s">
        <v>38</v>
      </c>
      <c r="N19" s="9">
        <v>0</v>
      </c>
      <c r="O19" s="12" t="s">
        <v>28</v>
      </c>
      <c r="P19" s="35">
        <v>0</v>
      </c>
      <c r="Q19" s="12" t="s">
        <v>28</v>
      </c>
      <c r="R19" s="35">
        <v>0</v>
      </c>
      <c r="S19" s="10" t="s">
        <v>28</v>
      </c>
      <c r="T19" s="37">
        <v>0</v>
      </c>
      <c r="U19" s="10" t="s">
        <v>28</v>
      </c>
      <c r="V19" s="11" t="s">
        <v>68</v>
      </c>
      <c r="W19" s="15" t="s">
        <v>68</v>
      </c>
      <c r="X19" s="21" t="s">
        <v>887</v>
      </c>
      <c r="Y19" s="67" t="s">
        <v>68</v>
      </c>
      <c r="Z19" s="33" t="s">
        <v>887</v>
      </c>
    </row>
    <row r="20" spans="1:26">
      <c r="A20" s="31">
        <v>19</v>
      </c>
      <c r="B20" s="8" t="s">
        <v>25</v>
      </c>
      <c r="C20" s="8" t="s">
        <v>26</v>
      </c>
      <c r="D20" s="12" t="s">
        <v>32</v>
      </c>
      <c r="E20" s="12" t="s">
        <v>33</v>
      </c>
      <c r="F20" s="34" t="s">
        <v>91</v>
      </c>
      <c r="G20" s="34" t="s">
        <v>28</v>
      </c>
      <c r="H20" s="36" t="s">
        <v>92</v>
      </c>
      <c r="I20" s="12" t="s">
        <v>37</v>
      </c>
      <c r="J20" s="12" t="s">
        <v>28</v>
      </c>
      <c r="K20" s="12" t="s">
        <v>28</v>
      </c>
      <c r="L20" s="12" t="s">
        <v>38</v>
      </c>
      <c r="M20" s="12" t="s">
        <v>38</v>
      </c>
      <c r="N20" s="9">
        <v>0</v>
      </c>
      <c r="O20" s="12" t="s">
        <v>28</v>
      </c>
      <c r="P20" s="35">
        <v>0</v>
      </c>
      <c r="Q20" s="12" t="s">
        <v>28</v>
      </c>
      <c r="R20" s="35">
        <v>0</v>
      </c>
      <c r="S20" s="10" t="s">
        <v>28</v>
      </c>
      <c r="T20" s="37">
        <v>0</v>
      </c>
      <c r="U20" s="10" t="s">
        <v>28</v>
      </c>
      <c r="V20" s="11" t="s">
        <v>68</v>
      </c>
      <c r="W20" s="15" t="s">
        <v>68</v>
      </c>
      <c r="X20" s="21" t="s">
        <v>887</v>
      </c>
      <c r="Y20" s="67" t="s">
        <v>68</v>
      </c>
      <c r="Z20" s="33" t="s">
        <v>887</v>
      </c>
    </row>
    <row r="21" spans="1:26">
      <c r="A21" s="31">
        <v>20</v>
      </c>
      <c r="B21" s="8" t="s">
        <v>25</v>
      </c>
      <c r="C21" s="8" t="s">
        <v>26</v>
      </c>
      <c r="D21" s="12" t="s">
        <v>32</v>
      </c>
      <c r="E21" s="12" t="s">
        <v>33</v>
      </c>
      <c r="F21" s="34" t="s">
        <v>93</v>
      </c>
      <c r="G21" s="34" t="s">
        <v>28</v>
      </c>
      <c r="H21" s="36" t="s">
        <v>94</v>
      </c>
      <c r="I21" s="12" t="s">
        <v>43</v>
      </c>
      <c r="J21" s="12" t="s">
        <v>28</v>
      </c>
      <c r="K21" s="12" t="s">
        <v>28</v>
      </c>
      <c r="L21" s="12" t="s">
        <v>38</v>
      </c>
      <c r="M21" s="12" t="s">
        <v>38</v>
      </c>
      <c r="N21" s="9">
        <v>0</v>
      </c>
      <c r="O21" s="12" t="s">
        <v>28</v>
      </c>
      <c r="P21" s="35">
        <v>0</v>
      </c>
      <c r="Q21" s="12" t="s">
        <v>28</v>
      </c>
      <c r="R21" s="35">
        <v>0</v>
      </c>
      <c r="S21" s="10" t="s">
        <v>28</v>
      </c>
      <c r="T21" s="37">
        <v>0</v>
      </c>
      <c r="U21" s="10" t="s">
        <v>28</v>
      </c>
      <c r="V21" s="11" t="s">
        <v>68</v>
      </c>
      <c r="W21" s="15" t="s">
        <v>68</v>
      </c>
      <c r="X21" s="21" t="s">
        <v>887</v>
      </c>
      <c r="Y21" s="67" t="s">
        <v>68</v>
      </c>
      <c r="Z21" s="33" t="s">
        <v>887</v>
      </c>
    </row>
    <row r="22" spans="1:26">
      <c r="A22" s="31">
        <v>21</v>
      </c>
      <c r="B22" s="8" t="s">
        <v>25</v>
      </c>
      <c r="C22" s="8" t="s">
        <v>26</v>
      </c>
      <c r="D22" s="12" t="s">
        <v>32</v>
      </c>
      <c r="E22" s="12" t="s">
        <v>33</v>
      </c>
      <c r="F22" s="34" t="s">
        <v>95</v>
      </c>
      <c r="G22" s="34" t="s">
        <v>28</v>
      </c>
      <c r="H22" s="36" t="s">
        <v>96</v>
      </c>
      <c r="I22" s="12" t="s">
        <v>53</v>
      </c>
      <c r="J22" s="12" t="s">
        <v>28</v>
      </c>
      <c r="K22" s="12" t="s">
        <v>28</v>
      </c>
      <c r="L22" s="12" t="s">
        <v>38</v>
      </c>
      <c r="M22" s="12" t="s">
        <v>38</v>
      </c>
      <c r="N22" s="9">
        <v>0</v>
      </c>
      <c r="O22" s="12" t="s">
        <v>28</v>
      </c>
      <c r="P22" s="35">
        <v>0</v>
      </c>
      <c r="Q22" s="12" t="s">
        <v>28</v>
      </c>
      <c r="R22" s="35">
        <v>0</v>
      </c>
      <c r="S22" s="10" t="s">
        <v>28</v>
      </c>
      <c r="T22" s="37">
        <v>0</v>
      </c>
      <c r="U22" s="10" t="s">
        <v>28</v>
      </c>
      <c r="V22" s="11" t="s">
        <v>68</v>
      </c>
      <c r="W22" s="15" t="s">
        <v>68</v>
      </c>
      <c r="X22" s="21" t="s">
        <v>887</v>
      </c>
      <c r="Y22" s="67" t="s">
        <v>68</v>
      </c>
      <c r="Z22" s="33" t="s">
        <v>887</v>
      </c>
    </row>
    <row r="23" spans="1:26">
      <c r="A23" s="31">
        <v>22</v>
      </c>
      <c r="B23" s="8" t="s">
        <v>25</v>
      </c>
      <c r="C23" s="8" t="s">
        <v>26</v>
      </c>
      <c r="D23" s="12" t="s">
        <v>32</v>
      </c>
      <c r="E23" s="12" t="s">
        <v>33</v>
      </c>
      <c r="F23" s="34" t="s">
        <v>97</v>
      </c>
      <c r="G23" s="34" t="s">
        <v>28</v>
      </c>
      <c r="H23" s="36" t="s">
        <v>98</v>
      </c>
      <c r="I23" s="12" t="s">
        <v>53</v>
      </c>
      <c r="J23" s="12" t="s">
        <v>28</v>
      </c>
      <c r="K23" s="12" t="s">
        <v>28</v>
      </c>
      <c r="L23" s="12" t="s">
        <v>38</v>
      </c>
      <c r="M23" s="12" t="s">
        <v>38</v>
      </c>
      <c r="N23" s="9">
        <v>0</v>
      </c>
      <c r="O23" s="12" t="s">
        <v>28</v>
      </c>
      <c r="P23" s="35">
        <v>0</v>
      </c>
      <c r="Q23" s="12" t="s">
        <v>28</v>
      </c>
      <c r="R23" s="35">
        <v>0</v>
      </c>
      <c r="S23" s="10" t="s">
        <v>28</v>
      </c>
      <c r="T23" s="37">
        <v>0</v>
      </c>
      <c r="U23" s="10" t="s">
        <v>28</v>
      </c>
      <c r="V23" s="11" t="s">
        <v>68</v>
      </c>
      <c r="W23" s="15" t="s">
        <v>68</v>
      </c>
      <c r="X23" s="21" t="s">
        <v>887</v>
      </c>
      <c r="Y23" s="67" t="s">
        <v>68</v>
      </c>
      <c r="Z23" s="33" t="s">
        <v>887</v>
      </c>
    </row>
    <row r="24" spans="1:26">
      <c r="A24" s="31">
        <v>23</v>
      </c>
      <c r="B24" s="8" t="s">
        <v>25</v>
      </c>
      <c r="C24" s="8" t="s">
        <v>26</v>
      </c>
      <c r="D24" s="12" t="s">
        <v>32</v>
      </c>
      <c r="E24" s="12" t="s">
        <v>33</v>
      </c>
      <c r="F24" s="34" t="s">
        <v>99</v>
      </c>
      <c r="G24" s="34" t="s">
        <v>28</v>
      </c>
      <c r="H24" s="36" t="s">
        <v>100</v>
      </c>
      <c r="I24" s="12" t="s">
        <v>37</v>
      </c>
      <c r="J24" s="12" t="s">
        <v>28</v>
      </c>
      <c r="K24" s="12" t="s">
        <v>28</v>
      </c>
      <c r="L24" s="12" t="s">
        <v>38</v>
      </c>
      <c r="M24" s="12" t="s">
        <v>38</v>
      </c>
      <c r="N24" s="9">
        <v>0</v>
      </c>
      <c r="O24" s="12" t="s">
        <v>28</v>
      </c>
      <c r="P24" s="35">
        <v>0</v>
      </c>
      <c r="Q24" s="12" t="s">
        <v>28</v>
      </c>
      <c r="R24" s="35">
        <v>0</v>
      </c>
      <c r="S24" s="10" t="s">
        <v>28</v>
      </c>
      <c r="T24" s="37">
        <v>0</v>
      </c>
      <c r="U24" s="10" t="s">
        <v>28</v>
      </c>
      <c r="V24" s="11" t="s">
        <v>68</v>
      </c>
      <c r="W24" s="15" t="s">
        <v>68</v>
      </c>
      <c r="X24" s="21" t="s">
        <v>887</v>
      </c>
      <c r="Y24" s="67" t="s">
        <v>68</v>
      </c>
      <c r="Z24" s="33" t="s">
        <v>887</v>
      </c>
    </row>
    <row r="25" spans="1:26">
      <c r="A25" s="31">
        <v>24</v>
      </c>
      <c r="B25" s="8" t="s">
        <v>25</v>
      </c>
      <c r="C25" s="8" t="s">
        <v>26</v>
      </c>
      <c r="D25" s="12" t="s">
        <v>32</v>
      </c>
      <c r="E25" s="12" t="s">
        <v>33</v>
      </c>
      <c r="F25" s="34" t="s">
        <v>101</v>
      </c>
      <c r="G25" s="34" t="s">
        <v>28</v>
      </c>
      <c r="H25" s="36" t="s">
        <v>102</v>
      </c>
      <c r="I25" s="12" t="s">
        <v>37</v>
      </c>
      <c r="J25" s="12" t="s">
        <v>28</v>
      </c>
      <c r="K25" s="12" t="s">
        <v>28</v>
      </c>
      <c r="L25" s="12" t="s">
        <v>38</v>
      </c>
      <c r="M25" s="12" t="s">
        <v>38</v>
      </c>
      <c r="N25" s="9">
        <v>0</v>
      </c>
      <c r="O25" s="12" t="s">
        <v>28</v>
      </c>
      <c r="P25" s="35">
        <v>0</v>
      </c>
      <c r="Q25" s="12" t="s">
        <v>28</v>
      </c>
      <c r="R25" s="35">
        <v>0</v>
      </c>
      <c r="S25" s="10" t="s">
        <v>28</v>
      </c>
      <c r="T25" s="37">
        <v>0</v>
      </c>
      <c r="U25" s="10" t="s">
        <v>28</v>
      </c>
      <c r="V25" s="11" t="s">
        <v>68</v>
      </c>
      <c r="W25" s="15" t="s">
        <v>68</v>
      </c>
      <c r="X25" s="21" t="s">
        <v>887</v>
      </c>
      <c r="Y25" s="67" t="s">
        <v>68</v>
      </c>
      <c r="Z25" s="33" t="s">
        <v>887</v>
      </c>
    </row>
    <row r="26" spans="1:26">
      <c r="A26" s="31">
        <v>25</v>
      </c>
      <c r="B26" s="8" t="s">
        <v>25</v>
      </c>
      <c r="C26" s="8" t="s">
        <v>26</v>
      </c>
      <c r="D26" s="12" t="s">
        <v>32</v>
      </c>
      <c r="E26" s="12" t="s">
        <v>33</v>
      </c>
      <c r="F26" s="34" t="s">
        <v>103</v>
      </c>
      <c r="G26" s="34" t="s">
        <v>28</v>
      </c>
      <c r="H26" s="36" t="s">
        <v>104</v>
      </c>
      <c r="I26" s="12" t="s">
        <v>43</v>
      </c>
      <c r="J26" s="12" t="s">
        <v>28</v>
      </c>
      <c r="K26" s="12" t="s">
        <v>28</v>
      </c>
      <c r="L26" s="12" t="s">
        <v>38</v>
      </c>
      <c r="M26" s="12" t="s">
        <v>38</v>
      </c>
      <c r="N26" s="9">
        <v>0</v>
      </c>
      <c r="O26" s="12" t="s">
        <v>28</v>
      </c>
      <c r="P26" s="35">
        <v>0</v>
      </c>
      <c r="Q26" s="12" t="s">
        <v>28</v>
      </c>
      <c r="R26" s="35">
        <v>0</v>
      </c>
      <c r="S26" s="10" t="s">
        <v>28</v>
      </c>
      <c r="T26" s="37">
        <v>0</v>
      </c>
      <c r="U26" s="10" t="s">
        <v>28</v>
      </c>
      <c r="V26" s="11" t="s">
        <v>68</v>
      </c>
      <c r="W26" s="15" t="s">
        <v>68</v>
      </c>
      <c r="X26" s="21" t="s">
        <v>887</v>
      </c>
      <c r="Y26" s="67" t="s">
        <v>68</v>
      </c>
      <c r="Z26" s="33" t="s">
        <v>887</v>
      </c>
    </row>
    <row r="27" spans="1:26">
      <c r="A27" s="31">
        <v>26</v>
      </c>
      <c r="B27" s="8" t="s">
        <v>25</v>
      </c>
      <c r="C27" s="8" t="s">
        <v>26</v>
      </c>
      <c r="D27" s="12" t="s">
        <v>32</v>
      </c>
      <c r="E27" s="12" t="s">
        <v>33</v>
      </c>
      <c r="F27" s="34" t="s">
        <v>105</v>
      </c>
      <c r="G27" s="34" t="s">
        <v>28</v>
      </c>
      <c r="H27" s="36" t="s">
        <v>106</v>
      </c>
      <c r="I27" s="12" t="s">
        <v>53</v>
      </c>
      <c r="J27" s="12" t="s">
        <v>28</v>
      </c>
      <c r="K27" s="12" t="s">
        <v>28</v>
      </c>
      <c r="L27" s="12" t="s">
        <v>38</v>
      </c>
      <c r="M27" s="12" t="s">
        <v>38</v>
      </c>
      <c r="N27" s="9">
        <v>0</v>
      </c>
      <c r="O27" s="12" t="s">
        <v>28</v>
      </c>
      <c r="P27" s="35">
        <v>0</v>
      </c>
      <c r="Q27" s="12" t="s">
        <v>28</v>
      </c>
      <c r="R27" s="35">
        <v>0</v>
      </c>
      <c r="S27" s="10" t="s">
        <v>28</v>
      </c>
      <c r="T27" s="37">
        <v>0</v>
      </c>
      <c r="U27" s="10" t="s">
        <v>28</v>
      </c>
      <c r="V27" s="11" t="s">
        <v>68</v>
      </c>
      <c r="W27" s="15" t="s">
        <v>68</v>
      </c>
      <c r="X27" s="21" t="s">
        <v>887</v>
      </c>
      <c r="Y27" s="67" t="s">
        <v>68</v>
      </c>
      <c r="Z27" s="33" t="s">
        <v>887</v>
      </c>
    </row>
    <row r="28" spans="1:26">
      <c r="A28" s="31">
        <v>27</v>
      </c>
      <c r="B28" s="8" t="s">
        <v>25</v>
      </c>
      <c r="C28" s="8" t="s">
        <v>26</v>
      </c>
      <c r="D28" s="12" t="s">
        <v>32</v>
      </c>
      <c r="E28" s="12" t="s">
        <v>33</v>
      </c>
      <c r="F28" s="34" t="s">
        <v>107</v>
      </c>
      <c r="G28" s="34" t="s">
        <v>108</v>
      </c>
      <c r="H28" s="36" t="s">
        <v>109</v>
      </c>
      <c r="I28" s="12" t="s">
        <v>53</v>
      </c>
      <c r="J28" s="12" t="s">
        <v>38</v>
      </c>
      <c r="K28" s="12" t="s">
        <v>28</v>
      </c>
      <c r="L28" s="12" t="s">
        <v>28</v>
      </c>
      <c r="M28" s="12" t="s">
        <v>38</v>
      </c>
      <c r="N28" s="9">
        <v>0</v>
      </c>
      <c r="O28" s="12" t="s">
        <v>28</v>
      </c>
      <c r="P28" s="35">
        <v>0</v>
      </c>
      <c r="Q28" s="12" t="s">
        <v>28</v>
      </c>
      <c r="R28" s="9">
        <v>7065000000</v>
      </c>
      <c r="S28" s="10">
        <v>43752</v>
      </c>
      <c r="T28" s="37">
        <v>0</v>
      </c>
      <c r="U28" s="10" t="s">
        <v>28</v>
      </c>
      <c r="V28" s="11" t="s">
        <v>65</v>
      </c>
      <c r="W28" s="15" t="s">
        <v>879</v>
      </c>
      <c r="X28" s="21" t="s">
        <v>887</v>
      </c>
      <c r="Y28" s="67" t="s">
        <v>68</v>
      </c>
      <c r="Z28" s="33" t="s">
        <v>887</v>
      </c>
    </row>
    <row r="29" spans="1:26">
      <c r="A29" s="31">
        <v>28</v>
      </c>
      <c r="B29" s="8" t="s">
        <v>25</v>
      </c>
      <c r="C29" s="8" t="s">
        <v>26</v>
      </c>
      <c r="D29" s="12" t="s">
        <v>32</v>
      </c>
      <c r="E29" s="12" t="s">
        <v>110</v>
      </c>
      <c r="F29" s="34" t="s">
        <v>111</v>
      </c>
      <c r="G29" s="34" t="s">
        <v>28</v>
      </c>
      <c r="H29" s="36" t="s">
        <v>112</v>
      </c>
      <c r="I29" s="12" t="s">
        <v>53</v>
      </c>
      <c r="J29" s="12" t="s">
        <v>28</v>
      </c>
      <c r="K29" s="12" t="s">
        <v>28</v>
      </c>
      <c r="L29" s="12" t="s">
        <v>38</v>
      </c>
      <c r="M29" s="12" t="s">
        <v>38</v>
      </c>
      <c r="N29" s="9">
        <v>0</v>
      </c>
      <c r="O29" s="12" t="s">
        <v>28</v>
      </c>
      <c r="P29" s="35">
        <v>0</v>
      </c>
      <c r="Q29" s="12" t="s">
        <v>28</v>
      </c>
      <c r="R29" s="35">
        <v>0</v>
      </c>
      <c r="S29" s="10" t="s">
        <v>28</v>
      </c>
      <c r="T29" s="37">
        <v>0</v>
      </c>
      <c r="U29" s="10" t="s">
        <v>28</v>
      </c>
      <c r="V29" s="11" t="s">
        <v>68</v>
      </c>
      <c r="W29" s="15" t="s">
        <v>68</v>
      </c>
      <c r="X29" s="21" t="s">
        <v>887</v>
      </c>
      <c r="Y29" s="67" t="s">
        <v>68</v>
      </c>
      <c r="Z29" s="33" t="s">
        <v>887</v>
      </c>
    </row>
    <row r="30" spans="1:26">
      <c r="A30" s="31">
        <v>29</v>
      </c>
      <c r="B30" s="8" t="s">
        <v>25</v>
      </c>
      <c r="C30" s="8" t="s">
        <v>26</v>
      </c>
      <c r="D30" s="12" t="s">
        <v>32</v>
      </c>
      <c r="E30" s="12" t="s">
        <v>110</v>
      </c>
      <c r="F30" s="34" t="s">
        <v>113</v>
      </c>
      <c r="G30" s="34" t="s">
        <v>114</v>
      </c>
      <c r="H30" s="36" t="s">
        <v>115</v>
      </c>
      <c r="I30" s="12" t="s">
        <v>53</v>
      </c>
      <c r="J30" s="12" t="s">
        <v>38</v>
      </c>
      <c r="K30" s="12" t="s">
        <v>28</v>
      </c>
      <c r="L30" s="12" t="s">
        <v>28</v>
      </c>
      <c r="M30" s="12" t="s">
        <v>38</v>
      </c>
      <c r="N30" s="9">
        <v>0</v>
      </c>
      <c r="O30" s="12" t="s">
        <v>28</v>
      </c>
      <c r="P30" s="35">
        <v>0</v>
      </c>
      <c r="Q30" s="12" t="s">
        <v>28</v>
      </c>
      <c r="R30" s="35">
        <v>2061532000.0000002</v>
      </c>
      <c r="S30" s="10">
        <v>42443</v>
      </c>
      <c r="T30" s="37">
        <v>0</v>
      </c>
      <c r="U30" s="10" t="s">
        <v>28</v>
      </c>
      <c r="V30" s="11" t="s">
        <v>65</v>
      </c>
      <c r="W30" s="15" t="s">
        <v>880</v>
      </c>
      <c r="X30" s="21" t="s">
        <v>887</v>
      </c>
      <c r="Y30" s="67" t="s">
        <v>68</v>
      </c>
      <c r="Z30" s="33" t="s">
        <v>887</v>
      </c>
    </row>
    <row r="31" spans="1:26">
      <c r="A31" s="31">
        <v>30</v>
      </c>
      <c r="B31" s="8" t="s">
        <v>25</v>
      </c>
      <c r="C31" s="8" t="s">
        <v>26</v>
      </c>
      <c r="D31" s="12" t="s">
        <v>32</v>
      </c>
      <c r="E31" s="12" t="s">
        <v>110</v>
      </c>
      <c r="F31" s="34" t="s">
        <v>116</v>
      </c>
      <c r="G31" s="34" t="s">
        <v>28</v>
      </c>
      <c r="H31" s="36" t="s">
        <v>117</v>
      </c>
      <c r="I31" s="12" t="s">
        <v>118</v>
      </c>
      <c r="J31" s="12" t="s">
        <v>28</v>
      </c>
      <c r="K31" s="12" t="s">
        <v>28</v>
      </c>
      <c r="L31" s="12" t="s">
        <v>38</v>
      </c>
      <c r="M31" s="12" t="s">
        <v>38</v>
      </c>
      <c r="N31" s="39">
        <v>0</v>
      </c>
      <c r="O31" s="12" t="s">
        <v>28</v>
      </c>
      <c r="P31" s="35">
        <v>0</v>
      </c>
      <c r="Q31" s="12" t="s">
        <v>28</v>
      </c>
      <c r="R31" s="35">
        <v>0</v>
      </c>
      <c r="S31" s="10" t="s">
        <v>28</v>
      </c>
      <c r="T31" s="37">
        <v>0</v>
      </c>
      <c r="U31" s="10" t="s">
        <v>28</v>
      </c>
      <c r="V31" s="11" t="s">
        <v>68</v>
      </c>
      <c r="W31" s="15" t="s">
        <v>68</v>
      </c>
      <c r="X31" s="21" t="s">
        <v>887</v>
      </c>
      <c r="Y31" s="67" t="s">
        <v>68</v>
      </c>
      <c r="Z31" s="33" t="s">
        <v>887</v>
      </c>
    </row>
    <row r="32" spans="1:26">
      <c r="A32" s="31">
        <v>31</v>
      </c>
      <c r="B32" s="8" t="s">
        <v>25</v>
      </c>
      <c r="C32" s="8" t="s">
        <v>26</v>
      </c>
      <c r="D32" s="12" t="s">
        <v>32</v>
      </c>
      <c r="E32" s="12" t="s">
        <v>110</v>
      </c>
      <c r="F32" s="34" t="s">
        <v>119</v>
      </c>
      <c r="G32" s="34" t="s">
        <v>28</v>
      </c>
      <c r="H32" s="36" t="s">
        <v>120</v>
      </c>
      <c r="I32" s="12" t="s">
        <v>118</v>
      </c>
      <c r="J32" s="12" t="s">
        <v>28</v>
      </c>
      <c r="K32" s="12" t="s">
        <v>28</v>
      </c>
      <c r="L32" s="12" t="s">
        <v>38</v>
      </c>
      <c r="M32" s="12" t="s">
        <v>38</v>
      </c>
      <c r="N32" s="9">
        <v>0</v>
      </c>
      <c r="O32" s="12" t="s">
        <v>28</v>
      </c>
      <c r="P32" s="35">
        <v>0</v>
      </c>
      <c r="Q32" s="12" t="s">
        <v>28</v>
      </c>
      <c r="R32" s="35">
        <v>0</v>
      </c>
      <c r="S32" s="10" t="s">
        <v>28</v>
      </c>
      <c r="T32" s="37">
        <v>0</v>
      </c>
      <c r="U32" s="10" t="s">
        <v>28</v>
      </c>
      <c r="V32" s="11" t="s">
        <v>68</v>
      </c>
      <c r="W32" s="15" t="s">
        <v>68</v>
      </c>
      <c r="X32" s="21" t="s">
        <v>887</v>
      </c>
      <c r="Y32" s="67" t="s">
        <v>68</v>
      </c>
      <c r="Z32" s="33" t="s">
        <v>887</v>
      </c>
    </row>
    <row r="33" spans="1:26">
      <c r="A33" s="31">
        <v>32</v>
      </c>
      <c r="B33" s="8" t="s">
        <v>25</v>
      </c>
      <c r="C33" s="8" t="s">
        <v>26</v>
      </c>
      <c r="D33" s="12" t="s">
        <v>32</v>
      </c>
      <c r="E33" s="12" t="s">
        <v>110</v>
      </c>
      <c r="F33" s="34" t="s">
        <v>121</v>
      </c>
      <c r="G33" s="34" t="s">
        <v>28</v>
      </c>
      <c r="H33" s="36" t="s">
        <v>122</v>
      </c>
      <c r="I33" s="12" t="s">
        <v>118</v>
      </c>
      <c r="J33" s="12" t="s">
        <v>28</v>
      </c>
      <c r="K33" s="12" t="s">
        <v>28</v>
      </c>
      <c r="L33" s="12" t="s">
        <v>38</v>
      </c>
      <c r="M33" s="12" t="s">
        <v>38</v>
      </c>
      <c r="N33" s="9">
        <v>0</v>
      </c>
      <c r="O33" s="12" t="s">
        <v>28</v>
      </c>
      <c r="P33" s="35">
        <v>0</v>
      </c>
      <c r="Q33" s="12" t="s">
        <v>28</v>
      </c>
      <c r="R33" s="35">
        <v>0</v>
      </c>
      <c r="S33" s="10" t="s">
        <v>28</v>
      </c>
      <c r="T33" s="37">
        <v>0</v>
      </c>
      <c r="U33" s="10" t="s">
        <v>28</v>
      </c>
      <c r="V33" s="11" t="s">
        <v>68</v>
      </c>
      <c r="W33" s="15" t="s">
        <v>68</v>
      </c>
      <c r="X33" s="21" t="s">
        <v>887</v>
      </c>
      <c r="Y33" s="67" t="s">
        <v>68</v>
      </c>
      <c r="Z33" s="33" t="s">
        <v>887</v>
      </c>
    </row>
    <row r="34" spans="1:26">
      <c r="A34" s="31">
        <v>33</v>
      </c>
      <c r="B34" s="8" t="s">
        <v>25</v>
      </c>
      <c r="C34" s="8" t="s">
        <v>26</v>
      </c>
      <c r="D34" s="12" t="s">
        <v>32</v>
      </c>
      <c r="E34" s="12" t="s">
        <v>110</v>
      </c>
      <c r="F34" s="34" t="s">
        <v>123</v>
      </c>
      <c r="G34" s="34" t="s">
        <v>28</v>
      </c>
      <c r="H34" s="36" t="s">
        <v>124</v>
      </c>
      <c r="I34" s="12" t="s">
        <v>125</v>
      </c>
      <c r="J34" s="12" t="s">
        <v>28</v>
      </c>
      <c r="K34" s="12" t="s">
        <v>28</v>
      </c>
      <c r="L34" s="12" t="s">
        <v>38</v>
      </c>
      <c r="M34" s="12" t="s">
        <v>38</v>
      </c>
      <c r="N34" s="9">
        <v>0</v>
      </c>
      <c r="O34" s="12" t="s">
        <v>28</v>
      </c>
      <c r="P34" s="35">
        <v>0</v>
      </c>
      <c r="Q34" s="12" t="s">
        <v>28</v>
      </c>
      <c r="R34" s="35">
        <v>0</v>
      </c>
      <c r="S34" s="10" t="s">
        <v>28</v>
      </c>
      <c r="T34" s="37">
        <v>0</v>
      </c>
      <c r="U34" s="10" t="s">
        <v>28</v>
      </c>
      <c r="V34" s="11" t="s">
        <v>68</v>
      </c>
      <c r="W34" s="15" t="s">
        <v>68</v>
      </c>
      <c r="X34" s="21" t="s">
        <v>887</v>
      </c>
      <c r="Y34" s="67" t="s">
        <v>68</v>
      </c>
      <c r="Z34" s="33" t="s">
        <v>887</v>
      </c>
    </row>
    <row r="35" spans="1:26">
      <c r="A35" s="31">
        <v>34</v>
      </c>
      <c r="B35" s="8" t="s">
        <v>25</v>
      </c>
      <c r="C35" s="8" t="s">
        <v>26</v>
      </c>
      <c r="D35" s="12" t="s">
        <v>32</v>
      </c>
      <c r="E35" s="12" t="s">
        <v>110</v>
      </c>
      <c r="F35" s="34" t="s">
        <v>126</v>
      </c>
      <c r="G35" s="34" t="s">
        <v>28</v>
      </c>
      <c r="H35" s="36" t="s">
        <v>127</v>
      </c>
      <c r="I35" s="12" t="s">
        <v>53</v>
      </c>
      <c r="J35" s="12" t="s">
        <v>28</v>
      </c>
      <c r="K35" s="12" t="s">
        <v>28</v>
      </c>
      <c r="L35" s="12" t="s">
        <v>38</v>
      </c>
      <c r="M35" s="12" t="s">
        <v>38</v>
      </c>
      <c r="N35" s="9">
        <v>0</v>
      </c>
      <c r="O35" s="12" t="s">
        <v>28</v>
      </c>
      <c r="P35" s="35">
        <v>0</v>
      </c>
      <c r="Q35" s="12" t="s">
        <v>28</v>
      </c>
      <c r="R35" s="35">
        <v>0</v>
      </c>
      <c r="S35" s="10" t="s">
        <v>28</v>
      </c>
      <c r="T35" s="37">
        <v>0</v>
      </c>
      <c r="U35" s="10" t="s">
        <v>28</v>
      </c>
      <c r="V35" s="11" t="s">
        <v>68</v>
      </c>
      <c r="W35" s="15" t="s">
        <v>68</v>
      </c>
      <c r="X35" s="21" t="s">
        <v>887</v>
      </c>
      <c r="Y35" s="67" t="s">
        <v>68</v>
      </c>
      <c r="Z35" s="33" t="s">
        <v>887</v>
      </c>
    </row>
    <row r="36" spans="1:26">
      <c r="A36" s="31">
        <v>35</v>
      </c>
      <c r="B36" s="8" t="s">
        <v>25</v>
      </c>
      <c r="C36" s="8" t="s">
        <v>26</v>
      </c>
      <c r="D36" s="12" t="s">
        <v>32</v>
      </c>
      <c r="E36" s="12" t="s">
        <v>110</v>
      </c>
      <c r="F36" s="34" t="s">
        <v>128</v>
      </c>
      <c r="G36" s="34" t="s">
        <v>28</v>
      </c>
      <c r="H36" s="36" t="s">
        <v>129</v>
      </c>
      <c r="I36" s="12" t="s">
        <v>53</v>
      </c>
      <c r="J36" s="12" t="s">
        <v>28</v>
      </c>
      <c r="K36" s="12" t="s">
        <v>28</v>
      </c>
      <c r="L36" s="12" t="s">
        <v>38</v>
      </c>
      <c r="M36" s="12" t="s">
        <v>38</v>
      </c>
      <c r="N36" s="9">
        <v>0</v>
      </c>
      <c r="O36" s="12" t="s">
        <v>28</v>
      </c>
      <c r="P36" s="35">
        <v>0</v>
      </c>
      <c r="Q36" s="12" t="s">
        <v>28</v>
      </c>
      <c r="R36" s="35">
        <v>0</v>
      </c>
      <c r="S36" s="10" t="s">
        <v>28</v>
      </c>
      <c r="T36" s="37">
        <v>0</v>
      </c>
      <c r="U36" s="10" t="s">
        <v>28</v>
      </c>
      <c r="V36" s="11" t="s">
        <v>68</v>
      </c>
      <c r="W36" s="15" t="s">
        <v>68</v>
      </c>
      <c r="X36" s="21" t="s">
        <v>887</v>
      </c>
      <c r="Y36" s="67" t="s">
        <v>68</v>
      </c>
      <c r="Z36" s="33" t="s">
        <v>887</v>
      </c>
    </row>
    <row r="37" spans="1:26">
      <c r="A37" s="31">
        <v>36</v>
      </c>
      <c r="B37" s="8" t="s">
        <v>25</v>
      </c>
      <c r="C37" s="8" t="s">
        <v>26</v>
      </c>
      <c r="D37" s="12" t="s">
        <v>32</v>
      </c>
      <c r="E37" s="12" t="s">
        <v>110</v>
      </c>
      <c r="F37" s="34" t="s">
        <v>130</v>
      </c>
      <c r="G37" s="34" t="s">
        <v>28</v>
      </c>
      <c r="H37" s="36" t="s">
        <v>131</v>
      </c>
      <c r="I37" s="12" t="s">
        <v>53</v>
      </c>
      <c r="J37" s="12" t="s">
        <v>28</v>
      </c>
      <c r="K37" s="12" t="s">
        <v>28</v>
      </c>
      <c r="L37" s="12" t="s">
        <v>38</v>
      </c>
      <c r="M37" s="12" t="s">
        <v>38</v>
      </c>
      <c r="N37" s="9">
        <v>0</v>
      </c>
      <c r="O37" s="12" t="s">
        <v>28</v>
      </c>
      <c r="P37" s="35">
        <v>0</v>
      </c>
      <c r="Q37" s="12" t="s">
        <v>28</v>
      </c>
      <c r="R37" s="35">
        <v>0</v>
      </c>
      <c r="S37" s="10" t="s">
        <v>28</v>
      </c>
      <c r="T37" s="37">
        <v>0</v>
      </c>
      <c r="U37" s="10" t="s">
        <v>28</v>
      </c>
      <c r="V37" s="11" t="s">
        <v>68</v>
      </c>
      <c r="W37" s="15" t="s">
        <v>68</v>
      </c>
      <c r="X37" s="21" t="s">
        <v>887</v>
      </c>
      <c r="Y37" s="67" t="s">
        <v>68</v>
      </c>
      <c r="Z37" s="33" t="s">
        <v>887</v>
      </c>
    </row>
    <row r="38" spans="1:26">
      <c r="A38" s="31">
        <v>37</v>
      </c>
      <c r="B38" s="8" t="s">
        <v>25</v>
      </c>
      <c r="C38" s="8" t="s">
        <v>26</v>
      </c>
      <c r="D38" s="12" t="s">
        <v>32</v>
      </c>
      <c r="E38" s="12" t="s">
        <v>110</v>
      </c>
      <c r="F38" s="34" t="s">
        <v>132</v>
      </c>
      <c r="G38" s="34" t="s">
        <v>28</v>
      </c>
      <c r="H38" s="36" t="s">
        <v>133</v>
      </c>
      <c r="I38" s="12" t="s">
        <v>53</v>
      </c>
      <c r="J38" s="12" t="s">
        <v>28</v>
      </c>
      <c r="K38" s="12" t="s">
        <v>28</v>
      </c>
      <c r="L38" s="12" t="s">
        <v>38</v>
      </c>
      <c r="M38" s="12" t="s">
        <v>38</v>
      </c>
      <c r="N38" s="9">
        <v>0</v>
      </c>
      <c r="O38" s="12" t="s">
        <v>28</v>
      </c>
      <c r="P38" s="35">
        <v>0</v>
      </c>
      <c r="Q38" s="12" t="s">
        <v>28</v>
      </c>
      <c r="R38" s="35">
        <v>0</v>
      </c>
      <c r="S38" s="10" t="s">
        <v>28</v>
      </c>
      <c r="T38" s="37">
        <v>0</v>
      </c>
      <c r="U38" s="10" t="s">
        <v>28</v>
      </c>
      <c r="V38" s="11" t="s">
        <v>68</v>
      </c>
      <c r="W38" s="15" t="s">
        <v>68</v>
      </c>
      <c r="X38" s="21" t="s">
        <v>887</v>
      </c>
      <c r="Y38" s="67" t="s">
        <v>68</v>
      </c>
      <c r="Z38" s="33" t="s">
        <v>887</v>
      </c>
    </row>
    <row r="39" spans="1:26">
      <c r="A39" s="31">
        <v>38</v>
      </c>
      <c r="B39" s="8" t="s">
        <v>25</v>
      </c>
      <c r="C39" s="8" t="s">
        <v>26</v>
      </c>
      <c r="D39" s="12" t="s">
        <v>32</v>
      </c>
      <c r="E39" s="12" t="s">
        <v>110</v>
      </c>
      <c r="F39" s="34" t="s">
        <v>134</v>
      </c>
      <c r="G39" s="34" t="s">
        <v>28</v>
      </c>
      <c r="H39" s="36" t="s">
        <v>135</v>
      </c>
      <c r="I39" s="12" t="s">
        <v>53</v>
      </c>
      <c r="J39" s="12" t="s">
        <v>28</v>
      </c>
      <c r="K39" s="12" t="s">
        <v>28</v>
      </c>
      <c r="L39" s="12" t="s">
        <v>38</v>
      </c>
      <c r="M39" s="12" t="s">
        <v>38</v>
      </c>
      <c r="N39" s="9">
        <v>0</v>
      </c>
      <c r="O39" s="12" t="s">
        <v>28</v>
      </c>
      <c r="P39" s="35">
        <v>0</v>
      </c>
      <c r="Q39" s="12" t="s">
        <v>28</v>
      </c>
      <c r="R39" s="35">
        <v>0</v>
      </c>
      <c r="S39" s="10" t="s">
        <v>28</v>
      </c>
      <c r="T39" s="37">
        <v>0</v>
      </c>
      <c r="U39" s="10" t="s">
        <v>28</v>
      </c>
      <c r="V39" s="11" t="s">
        <v>68</v>
      </c>
      <c r="W39" s="15" t="s">
        <v>68</v>
      </c>
      <c r="X39" s="21" t="s">
        <v>887</v>
      </c>
      <c r="Y39" s="67" t="s">
        <v>68</v>
      </c>
      <c r="Z39" s="33" t="s">
        <v>887</v>
      </c>
    </row>
    <row r="40" spans="1:26">
      <c r="A40" s="31">
        <v>39</v>
      </c>
      <c r="B40" s="8" t="s">
        <v>25</v>
      </c>
      <c r="C40" s="8" t="s">
        <v>26</v>
      </c>
      <c r="D40" s="12" t="s">
        <v>32</v>
      </c>
      <c r="E40" s="12" t="s">
        <v>110</v>
      </c>
      <c r="F40" s="34" t="s">
        <v>136</v>
      </c>
      <c r="G40" s="34" t="s">
        <v>28</v>
      </c>
      <c r="H40" s="36" t="s">
        <v>137</v>
      </c>
      <c r="I40" s="12" t="s">
        <v>53</v>
      </c>
      <c r="J40" s="12" t="s">
        <v>28</v>
      </c>
      <c r="K40" s="12" t="s">
        <v>28</v>
      </c>
      <c r="L40" s="12" t="s">
        <v>38</v>
      </c>
      <c r="M40" s="12" t="s">
        <v>38</v>
      </c>
      <c r="N40" s="9">
        <v>0</v>
      </c>
      <c r="O40" s="12" t="s">
        <v>28</v>
      </c>
      <c r="P40" s="35">
        <v>0</v>
      </c>
      <c r="Q40" s="12" t="s">
        <v>28</v>
      </c>
      <c r="R40" s="35">
        <v>0</v>
      </c>
      <c r="S40" s="10" t="s">
        <v>28</v>
      </c>
      <c r="T40" s="37">
        <v>0</v>
      </c>
      <c r="U40" s="10" t="s">
        <v>28</v>
      </c>
      <c r="V40" s="11" t="s">
        <v>68</v>
      </c>
      <c r="W40" s="15" t="s">
        <v>68</v>
      </c>
      <c r="X40" s="21" t="s">
        <v>887</v>
      </c>
      <c r="Y40" s="67" t="s">
        <v>68</v>
      </c>
      <c r="Z40" s="33" t="s">
        <v>887</v>
      </c>
    </row>
    <row r="41" spans="1:26">
      <c r="A41" s="31">
        <v>40</v>
      </c>
      <c r="B41" s="8" t="s">
        <v>25</v>
      </c>
      <c r="C41" s="8" t="s">
        <v>26</v>
      </c>
      <c r="D41" s="12" t="s">
        <v>32</v>
      </c>
      <c r="E41" s="12" t="s">
        <v>110</v>
      </c>
      <c r="F41" s="34" t="s">
        <v>138</v>
      </c>
      <c r="G41" s="34" t="s">
        <v>28</v>
      </c>
      <c r="H41" s="36" t="s">
        <v>139</v>
      </c>
      <c r="I41" s="12" t="s">
        <v>125</v>
      </c>
      <c r="J41" s="12" t="s">
        <v>28</v>
      </c>
      <c r="K41" s="12" t="s">
        <v>28</v>
      </c>
      <c r="L41" s="12" t="s">
        <v>38</v>
      </c>
      <c r="M41" s="12" t="s">
        <v>38</v>
      </c>
      <c r="N41" s="9">
        <v>0</v>
      </c>
      <c r="O41" s="12" t="s">
        <v>28</v>
      </c>
      <c r="P41" s="35">
        <v>0</v>
      </c>
      <c r="Q41" s="12" t="s">
        <v>28</v>
      </c>
      <c r="R41" s="35">
        <v>0</v>
      </c>
      <c r="S41" s="10" t="s">
        <v>28</v>
      </c>
      <c r="T41" s="37">
        <v>0</v>
      </c>
      <c r="U41" s="10" t="s">
        <v>28</v>
      </c>
      <c r="V41" s="11" t="s">
        <v>68</v>
      </c>
      <c r="W41" s="15" t="s">
        <v>68</v>
      </c>
      <c r="X41" s="21" t="s">
        <v>887</v>
      </c>
      <c r="Y41" s="67" t="s">
        <v>68</v>
      </c>
      <c r="Z41" s="33" t="s">
        <v>887</v>
      </c>
    </row>
    <row r="42" spans="1:26">
      <c r="A42" s="31">
        <v>41</v>
      </c>
      <c r="B42" s="8" t="s">
        <v>25</v>
      </c>
      <c r="C42" s="8" t="s">
        <v>26</v>
      </c>
      <c r="D42" s="12" t="s">
        <v>32</v>
      </c>
      <c r="E42" s="12" t="s">
        <v>110</v>
      </c>
      <c r="F42" s="34" t="s">
        <v>140</v>
      </c>
      <c r="G42" s="34" t="s">
        <v>28</v>
      </c>
      <c r="H42" s="36" t="s">
        <v>141</v>
      </c>
      <c r="I42" s="12" t="s">
        <v>118</v>
      </c>
      <c r="J42" s="12" t="s">
        <v>28</v>
      </c>
      <c r="K42" s="12" t="s">
        <v>28</v>
      </c>
      <c r="L42" s="12" t="s">
        <v>38</v>
      </c>
      <c r="M42" s="12" t="s">
        <v>38</v>
      </c>
      <c r="N42" s="9">
        <v>0</v>
      </c>
      <c r="O42" s="12" t="s">
        <v>28</v>
      </c>
      <c r="P42" s="35">
        <v>0</v>
      </c>
      <c r="Q42" s="12" t="s">
        <v>28</v>
      </c>
      <c r="R42" s="35">
        <v>0</v>
      </c>
      <c r="S42" s="10" t="s">
        <v>28</v>
      </c>
      <c r="T42" s="37">
        <v>0</v>
      </c>
      <c r="U42" s="10" t="s">
        <v>28</v>
      </c>
      <c r="V42" s="11" t="s">
        <v>68</v>
      </c>
      <c r="W42" s="15" t="s">
        <v>68</v>
      </c>
      <c r="X42" s="21" t="s">
        <v>887</v>
      </c>
      <c r="Y42" s="67" t="s">
        <v>68</v>
      </c>
      <c r="Z42" s="33" t="s">
        <v>887</v>
      </c>
    </row>
    <row r="43" spans="1:26">
      <c r="A43" s="31">
        <v>42</v>
      </c>
      <c r="B43" s="8" t="s">
        <v>25</v>
      </c>
      <c r="C43" s="8" t="s">
        <v>26</v>
      </c>
      <c r="D43" s="12" t="s">
        <v>32</v>
      </c>
      <c r="E43" s="12" t="s">
        <v>110</v>
      </c>
      <c r="F43" s="34" t="s">
        <v>142</v>
      </c>
      <c r="G43" s="34" t="s">
        <v>28</v>
      </c>
      <c r="H43" s="36" t="s">
        <v>143</v>
      </c>
      <c r="I43" s="12" t="s">
        <v>53</v>
      </c>
      <c r="J43" s="12" t="s">
        <v>28</v>
      </c>
      <c r="K43" s="12" t="s">
        <v>28</v>
      </c>
      <c r="L43" s="12" t="s">
        <v>38</v>
      </c>
      <c r="M43" s="12" t="s">
        <v>38</v>
      </c>
      <c r="N43" s="9">
        <v>0</v>
      </c>
      <c r="O43" s="12" t="s">
        <v>28</v>
      </c>
      <c r="P43" s="35">
        <v>0</v>
      </c>
      <c r="Q43" s="12" t="s">
        <v>28</v>
      </c>
      <c r="R43" s="35">
        <v>0</v>
      </c>
      <c r="S43" s="10" t="s">
        <v>28</v>
      </c>
      <c r="T43" s="37">
        <v>0</v>
      </c>
      <c r="U43" s="10" t="s">
        <v>28</v>
      </c>
      <c r="V43" s="11" t="s">
        <v>68</v>
      </c>
      <c r="W43" s="15" t="s">
        <v>68</v>
      </c>
      <c r="X43" s="21" t="s">
        <v>887</v>
      </c>
      <c r="Y43" s="67" t="s">
        <v>68</v>
      </c>
      <c r="Z43" s="33" t="s">
        <v>887</v>
      </c>
    </row>
    <row r="44" spans="1:26">
      <c r="A44" s="31">
        <v>43</v>
      </c>
      <c r="B44" s="8" t="s">
        <v>25</v>
      </c>
      <c r="C44" s="8" t="s">
        <v>26</v>
      </c>
      <c r="D44" s="12" t="s">
        <v>32</v>
      </c>
      <c r="E44" s="12" t="s">
        <v>110</v>
      </c>
      <c r="F44" s="34" t="s">
        <v>144</v>
      </c>
      <c r="G44" s="34" t="s">
        <v>28</v>
      </c>
      <c r="H44" s="36" t="s">
        <v>145</v>
      </c>
      <c r="I44" s="12" t="s">
        <v>118</v>
      </c>
      <c r="J44" s="12" t="s">
        <v>28</v>
      </c>
      <c r="K44" s="12" t="s">
        <v>28</v>
      </c>
      <c r="L44" s="12" t="s">
        <v>38</v>
      </c>
      <c r="M44" s="12" t="s">
        <v>38</v>
      </c>
      <c r="N44" s="9">
        <v>0</v>
      </c>
      <c r="O44" s="12" t="s">
        <v>28</v>
      </c>
      <c r="P44" s="35">
        <v>0</v>
      </c>
      <c r="Q44" s="12" t="s">
        <v>28</v>
      </c>
      <c r="R44" s="35">
        <v>0</v>
      </c>
      <c r="S44" s="10" t="s">
        <v>28</v>
      </c>
      <c r="T44" s="37">
        <v>0</v>
      </c>
      <c r="U44" s="10" t="s">
        <v>28</v>
      </c>
      <c r="V44" s="11" t="s">
        <v>68</v>
      </c>
      <c r="W44" s="15" t="s">
        <v>68</v>
      </c>
      <c r="X44" s="21" t="s">
        <v>887</v>
      </c>
      <c r="Y44" s="67" t="s">
        <v>68</v>
      </c>
      <c r="Z44" s="33" t="s">
        <v>887</v>
      </c>
    </row>
    <row r="45" spans="1:26">
      <c r="A45" s="31">
        <v>44</v>
      </c>
      <c r="B45" s="8" t="s">
        <v>25</v>
      </c>
      <c r="C45" s="8" t="s">
        <v>26</v>
      </c>
      <c r="D45" s="12" t="s">
        <v>32</v>
      </c>
      <c r="E45" s="12" t="s">
        <v>110</v>
      </c>
      <c r="F45" s="34" t="s">
        <v>146</v>
      </c>
      <c r="G45" s="34" t="s">
        <v>28</v>
      </c>
      <c r="H45" s="36" t="s">
        <v>147</v>
      </c>
      <c r="I45" s="12" t="s">
        <v>125</v>
      </c>
      <c r="J45" s="12" t="s">
        <v>28</v>
      </c>
      <c r="K45" s="12" t="s">
        <v>28</v>
      </c>
      <c r="L45" s="12" t="s">
        <v>38</v>
      </c>
      <c r="M45" s="12" t="s">
        <v>38</v>
      </c>
      <c r="N45" s="9">
        <v>0</v>
      </c>
      <c r="O45" s="12" t="s">
        <v>28</v>
      </c>
      <c r="P45" s="35">
        <v>0</v>
      </c>
      <c r="Q45" s="12" t="s">
        <v>28</v>
      </c>
      <c r="R45" s="35">
        <v>0</v>
      </c>
      <c r="S45" s="10" t="s">
        <v>28</v>
      </c>
      <c r="T45" s="37">
        <v>0</v>
      </c>
      <c r="U45" s="10" t="s">
        <v>28</v>
      </c>
      <c r="V45" s="11" t="s">
        <v>68</v>
      </c>
      <c r="W45" s="15" t="s">
        <v>68</v>
      </c>
      <c r="X45" s="21" t="s">
        <v>887</v>
      </c>
      <c r="Y45" s="67" t="s">
        <v>68</v>
      </c>
      <c r="Z45" s="33" t="s">
        <v>887</v>
      </c>
    </row>
    <row r="46" spans="1:26">
      <c r="A46" s="31">
        <v>45</v>
      </c>
      <c r="B46" s="8" t="s">
        <v>25</v>
      </c>
      <c r="C46" s="8" t="s">
        <v>26</v>
      </c>
      <c r="D46" s="12" t="s">
        <v>32</v>
      </c>
      <c r="E46" s="12" t="s">
        <v>110</v>
      </c>
      <c r="F46" s="34" t="s">
        <v>148</v>
      </c>
      <c r="G46" s="34" t="s">
        <v>149</v>
      </c>
      <c r="H46" s="36" t="s">
        <v>150</v>
      </c>
      <c r="I46" s="12" t="s">
        <v>53</v>
      </c>
      <c r="J46" s="12" t="s">
        <v>38</v>
      </c>
      <c r="K46" s="12" t="s">
        <v>28</v>
      </c>
      <c r="L46" s="12" t="s">
        <v>28</v>
      </c>
      <c r="M46" s="12" t="s">
        <v>38</v>
      </c>
      <c r="N46" s="9">
        <v>0</v>
      </c>
      <c r="O46" s="12" t="s">
        <v>28</v>
      </c>
      <c r="P46" s="35">
        <v>0</v>
      </c>
      <c r="Q46" s="12" t="s">
        <v>28</v>
      </c>
      <c r="R46" s="35">
        <v>308457303</v>
      </c>
      <c r="S46" s="10">
        <v>44028</v>
      </c>
      <c r="T46" s="37">
        <v>0</v>
      </c>
      <c r="U46" s="10" t="s">
        <v>28</v>
      </c>
      <c r="V46" s="34" t="s">
        <v>151</v>
      </c>
      <c r="W46" s="15" t="s">
        <v>880</v>
      </c>
      <c r="X46" s="21" t="s">
        <v>887</v>
      </c>
      <c r="Y46" s="67" t="s">
        <v>68</v>
      </c>
      <c r="Z46" s="33" t="s">
        <v>887</v>
      </c>
    </row>
    <row r="47" spans="1:26">
      <c r="A47" s="31">
        <v>46</v>
      </c>
      <c r="B47" s="8" t="s">
        <v>25</v>
      </c>
      <c r="C47" s="8" t="s">
        <v>26</v>
      </c>
      <c r="D47" s="12" t="s">
        <v>32</v>
      </c>
      <c r="E47" s="12" t="s">
        <v>110</v>
      </c>
      <c r="F47" s="34" t="s">
        <v>152</v>
      </c>
      <c r="G47" s="34" t="s">
        <v>28</v>
      </c>
      <c r="H47" s="36" t="s">
        <v>153</v>
      </c>
      <c r="I47" s="12" t="s">
        <v>53</v>
      </c>
      <c r="J47" s="12" t="s">
        <v>28</v>
      </c>
      <c r="K47" s="12" t="s">
        <v>28</v>
      </c>
      <c r="L47" s="12" t="s">
        <v>38</v>
      </c>
      <c r="M47" s="12" t="s">
        <v>38</v>
      </c>
      <c r="N47" s="9">
        <v>0</v>
      </c>
      <c r="O47" s="12" t="s">
        <v>28</v>
      </c>
      <c r="P47" s="35">
        <v>0</v>
      </c>
      <c r="Q47" s="12" t="s">
        <v>28</v>
      </c>
      <c r="R47" s="35">
        <v>0</v>
      </c>
      <c r="S47" s="10" t="s">
        <v>28</v>
      </c>
      <c r="T47" s="37">
        <v>0</v>
      </c>
      <c r="U47" s="10" t="s">
        <v>28</v>
      </c>
      <c r="V47" s="11" t="s">
        <v>68</v>
      </c>
      <c r="W47" s="15" t="s">
        <v>68</v>
      </c>
      <c r="X47" s="21" t="s">
        <v>887</v>
      </c>
      <c r="Y47" s="67" t="s">
        <v>68</v>
      </c>
      <c r="Z47" s="33" t="s">
        <v>887</v>
      </c>
    </row>
    <row r="48" spans="1:26">
      <c r="A48" s="31">
        <v>47</v>
      </c>
      <c r="B48" s="8" t="s">
        <v>25</v>
      </c>
      <c r="C48" s="8" t="s">
        <v>26</v>
      </c>
      <c r="D48" s="12" t="s">
        <v>32</v>
      </c>
      <c r="E48" s="12" t="s">
        <v>110</v>
      </c>
      <c r="F48" s="34" t="s">
        <v>154</v>
      </c>
      <c r="G48" s="34" t="s">
        <v>28</v>
      </c>
      <c r="H48" s="36" t="s">
        <v>155</v>
      </c>
      <c r="I48" s="12" t="s">
        <v>53</v>
      </c>
      <c r="J48" s="12" t="s">
        <v>28</v>
      </c>
      <c r="K48" s="12" t="s">
        <v>28</v>
      </c>
      <c r="L48" s="12" t="s">
        <v>38</v>
      </c>
      <c r="M48" s="12" t="s">
        <v>38</v>
      </c>
      <c r="N48" s="9">
        <v>0</v>
      </c>
      <c r="O48" s="12" t="s">
        <v>28</v>
      </c>
      <c r="P48" s="35">
        <v>0</v>
      </c>
      <c r="Q48" s="12" t="s">
        <v>28</v>
      </c>
      <c r="R48" s="35">
        <v>0</v>
      </c>
      <c r="S48" s="10" t="s">
        <v>28</v>
      </c>
      <c r="T48" s="37">
        <v>0</v>
      </c>
      <c r="U48" s="10" t="s">
        <v>28</v>
      </c>
      <c r="V48" s="11" t="s">
        <v>68</v>
      </c>
      <c r="W48" s="15" t="s">
        <v>68</v>
      </c>
      <c r="X48" s="21" t="s">
        <v>887</v>
      </c>
      <c r="Y48" s="67" t="s">
        <v>68</v>
      </c>
      <c r="Z48" s="33" t="s">
        <v>887</v>
      </c>
    </row>
    <row r="49" spans="1:26">
      <c r="A49" s="31">
        <v>48</v>
      </c>
      <c r="B49" s="8" t="s">
        <v>25</v>
      </c>
      <c r="C49" s="8" t="s">
        <v>26</v>
      </c>
      <c r="D49" s="12" t="s">
        <v>32</v>
      </c>
      <c r="E49" s="12" t="s">
        <v>110</v>
      </c>
      <c r="F49" s="34" t="s">
        <v>156</v>
      </c>
      <c r="G49" s="34" t="s">
        <v>28</v>
      </c>
      <c r="H49" s="36" t="s">
        <v>157</v>
      </c>
      <c r="I49" s="12" t="s">
        <v>53</v>
      </c>
      <c r="J49" s="12" t="s">
        <v>28</v>
      </c>
      <c r="K49" s="12" t="s">
        <v>28</v>
      </c>
      <c r="L49" s="12" t="s">
        <v>38</v>
      </c>
      <c r="M49" s="12" t="s">
        <v>38</v>
      </c>
      <c r="N49" s="9">
        <v>0</v>
      </c>
      <c r="O49" s="12" t="s">
        <v>28</v>
      </c>
      <c r="P49" s="35">
        <v>0</v>
      </c>
      <c r="Q49" s="12" t="s">
        <v>28</v>
      </c>
      <c r="R49" s="35">
        <v>0</v>
      </c>
      <c r="S49" s="10" t="s">
        <v>28</v>
      </c>
      <c r="T49" s="37">
        <v>0</v>
      </c>
      <c r="U49" s="10" t="s">
        <v>28</v>
      </c>
      <c r="V49" s="11" t="s">
        <v>68</v>
      </c>
      <c r="W49" s="15" t="s">
        <v>68</v>
      </c>
      <c r="X49" s="21" t="s">
        <v>887</v>
      </c>
      <c r="Y49" s="67" t="s">
        <v>68</v>
      </c>
      <c r="Z49" s="33" t="s">
        <v>887</v>
      </c>
    </row>
    <row r="50" spans="1:26">
      <c r="A50" s="31">
        <v>49</v>
      </c>
      <c r="B50" s="8" t="s">
        <v>25</v>
      </c>
      <c r="C50" s="8" t="s">
        <v>26</v>
      </c>
      <c r="D50" s="12" t="s">
        <v>32</v>
      </c>
      <c r="E50" s="12" t="s">
        <v>110</v>
      </c>
      <c r="F50" s="34" t="s">
        <v>158</v>
      </c>
      <c r="G50" s="34" t="s">
        <v>28</v>
      </c>
      <c r="H50" s="36" t="s">
        <v>159</v>
      </c>
      <c r="I50" s="12" t="s">
        <v>118</v>
      </c>
      <c r="J50" s="12" t="s">
        <v>28</v>
      </c>
      <c r="K50" s="12" t="s">
        <v>28</v>
      </c>
      <c r="L50" s="12" t="s">
        <v>38</v>
      </c>
      <c r="M50" s="12" t="s">
        <v>38</v>
      </c>
      <c r="N50" s="9">
        <v>0</v>
      </c>
      <c r="O50" s="12" t="s">
        <v>28</v>
      </c>
      <c r="P50" s="35">
        <v>0</v>
      </c>
      <c r="Q50" s="12" t="s">
        <v>28</v>
      </c>
      <c r="R50" s="35">
        <v>0</v>
      </c>
      <c r="S50" s="10" t="s">
        <v>28</v>
      </c>
      <c r="T50" s="37">
        <v>0</v>
      </c>
      <c r="U50" s="10" t="s">
        <v>28</v>
      </c>
      <c r="V50" s="11" t="s">
        <v>68</v>
      </c>
      <c r="W50" s="15" t="s">
        <v>68</v>
      </c>
      <c r="X50" s="21" t="s">
        <v>887</v>
      </c>
      <c r="Y50" s="67" t="s">
        <v>68</v>
      </c>
      <c r="Z50" s="33" t="s">
        <v>887</v>
      </c>
    </row>
    <row r="51" spans="1:26">
      <c r="A51" s="31">
        <v>50</v>
      </c>
      <c r="B51" s="8" t="s">
        <v>25</v>
      </c>
      <c r="C51" s="8" t="s">
        <v>26</v>
      </c>
      <c r="D51" s="12" t="s">
        <v>32</v>
      </c>
      <c r="E51" s="12" t="s">
        <v>110</v>
      </c>
      <c r="F51" s="34" t="s">
        <v>160</v>
      </c>
      <c r="G51" s="34" t="s">
        <v>28</v>
      </c>
      <c r="H51" s="36" t="s">
        <v>161</v>
      </c>
      <c r="I51" s="12" t="s">
        <v>53</v>
      </c>
      <c r="J51" s="12" t="s">
        <v>28</v>
      </c>
      <c r="K51" s="12" t="s">
        <v>28</v>
      </c>
      <c r="L51" s="12" t="s">
        <v>38</v>
      </c>
      <c r="M51" s="12" t="s">
        <v>38</v>
      </c>
      <c r="N51" s="9">
        <v>0</v>
      </c>
      <c r="O51" s="12" t="s">
        <v>28</v>
      </c>
      <c r="P51" s="35">
        <v>0</v>
      </c>
      <c r="Q51" s="12" t="s">
        <v>28</v>
      </c>
      <c r="R51" s="35">
        <v>0</v>
      </c>
      <c r="S51" s="10" t="s">
        <v>28</v>
      </c>
      <c r="T51" s="37">
        <v>0</v>
      </c>
      <c r="U51" s="10" t="s">
        <v>28</v>
      </c>
      <c r="V51" s="11" t="s">
        <v>68</v>
      </c>
      <c r="W51" s="15" t="s">
        <v>68</v>
      </c>
      <c r="X51" s="21" t="s">
        <v>887</v>
      </c>
      <c r="Y51" s="67" t="s">
        <v>68</v>
      </c>
      <c r="Z51" s="33" t="s">
        <v>887</v>
      </c>
    </row>
    <row r="52" spans="1:26">
      <c r="A52" s="31">
        <v>51</v>
      </c>
      <c r="B52" s="8" t="s">
        <v>25</v>
      </c>
      <c r="C52" s="8" t="s">
        <v>26</v>
      </c>
      <c r="D52" s="12" t="s">
        <v>32</v>
      </c>
      <c r="E52" s="12" t="s">
        <v>110</v>
      </c>
      <c r="F52" s="34" t="s">
        <v>162</v>
      </c>
      <c r="G52" s="34" t="s">
        <v>28</v>
      </c>
      <c r="H52" s="36" t="s">
        <v>163</v>
      </c>
      <c r="I52" s="12" t="s">
        <v>53</v>
      </c>
      <c r="J52" s="12" t="s">
        <v>28</v>
      </c>
      <c r="K52" s="12" t="s">
        <v>28</v>
      </c>
      <c r="L52" s="12" t="s">
        <v>38</v>
      </c>
      <c r="M52" s="12" t="s">
        <v>38</v>
      </c>
      <c r="N52" s="9">
        <v>0</v>
      </c>
      <c r="O52" s="12" t="s">
        <v>28</v>
      </c>
      <c r="P52" s="35">
        <v>0</v>
      </c>
      <c r="Q52" s="12" t="s">
        <v>28</v>
      </c>
      <c r="R52" s="35">
        <v>0</v>
      </c>
      <c r="S52" s="10" t="s">
        <v>28</v>
      </c>
      <c r="T52" s="37">
        <v>0</v>
      </c>
      <c r="U52" s="10" t="s">
        <v>28</v>
      </c>
      <c r="V52" s="11" t="s">
        <v>68</v>
      </c>
      <c r="W52" s="15" t="s">
        <v>68</v>
      </c>
      <c r="X52" s="21" t="s">
        <v>887</v>
      </c>
      <c r="Y52" s="67" t="s">
        <v>68</v>
      </c>
      <c r="Z52" s="33" t="s">
        <v>887</v>
      </c>
    </row>
    <row r="53" spans="1:26">
      <c r="A53" s="31">
        <v>52</v>
      </c>
      <c r="B53" s="8" t="s">
        <v>25</v>
      </c>
      <c r="C53" s="8" t="s">
        <v>26</v>
      </c>
      <c r="D53" s="12" t="s">
        <v>32</v>
      </c>
      <c r="E53" s="12" t="s">
        <v>110</v>
      </c>
      <c r="F53" s="34" t="s">
        <v>164</v>
      </c>
      <c r="G53" s="34" t="s">
        <v>28</v>
      </c>
      <c r="H53" s="36" t="s">
        <v>165</v>
      </c>
      <c r="I53" s="12" t="s">
        <v>53</v>
      </c>
      <c r="J53" s="12" t="s">
        <v>28</v>
      </c>
      <c r="K53" s="12" t="s">
        <v>28</v>
      </c>
      <c r="L53" s="12" t="s">
        <v>38</v>
      </c>
      <c r="M53" s="12" t="s">
        <v>38</v>
      </c>
      <c r="N53" s="9">
        <v>0</v>
      </c>
      <c r="O53" s="12" t="s">
        <v>28</v>
      </c>
      <c r="P53" s="35">
        <v>0</v>
      </c>
      <c r="Q53" s="12" t="s">
        <v>28</v>
      </c>
      <c r="R53" s="35">
        <v>0</v>
      </c>
      <c r="S53" s="10" t="s">
        <v>28</v>
      </c>
      <c r="T53" s="37">
        <v>0</v>
      </c>
      <c r="U53" s="10" t="s">
        <v>28</v>
      </c>
      <c r="V53" s="11" t="s">
        <v>68</v>
      </c>
      <c r="W53" s="15" t="s">
        <v>68</v>
      </c>
      <c r="X53" s="21" t="s">
        <v>887</v>
      </c>
      <c r="Y53" s="67" t="s">
        <v>68</v>
      </c>
      <c r="Z53" s="33" t="s">
        <v>887</v>
      </c>
    </row>
    <row r="54" spans="1:26">
      <c r="A54" s="31">
        <v>53</v>
      </c>
      <c r="B54" s="8" t="s">
        <v>25</v>
      </c>
      <c r="C54" s="8" t="s">
        <v>26</v>
      </c>
      <c r="D54" s="12" t="s">
        <v>32</v>
      </c>
      <c r="E54" s="12" t="s">
        <v>110</v>
      </c>
      <c r="F54" s="34" t="s">
        <v>166</v>
      </c>
      <c r="G54" s="34" t="s">
        <v>28</v>
      </c>
      <c r="H54" s="36" t="s">
        <v>167</v>
      </c>
      <c r="I54" s="12" t="s">
        <v>53</v>
      </c>
      <c r="J54" s="12" t="s">
        <v>28</v>
      </c>
      <c r="K54" s="12" t="s">
        <v>28</v>
      </c>
      <c r="L54" s="12" t="s">
        <v>38</v>
      </c>
      <c r="M54" s="12" t="s">
        <v>38</v>
      </c>
      <c r="N54" s="9">
        <v>0</v>
      </c>
      <c r="O54" s="12" t="s">
        <v>28</v>
      </c>
      <c r="P54" s="35">
        <v>0</v>
      </c>
      <c r="Q54" s="12" t="s">
        <v>28</v>
      </c>
      <c r="R54" s="35">
        <v>0</v>
      </c>
      <c r="S54" s="10" t="s">
        <v>28</v>
      </c>
      <c r="T54" s="37">
        <v>0</v>
      </c>
      <c r="U54" s="10" t="s">
        <v>28</v>
      </c>
      <c r="V54" s="11" t="s">
        <v>68</v>
      </c>
      <c r="W54" s="15" t="s">
        <v>68</v>
      </c>
      <c r="X54" s="21" t="s">
        <v>887</v>
      </c>
      <c r="Y54" s="67" t="s">
        <v>68</v>
      </c>
      <c r="Z54" s="33" t="s">
        <v>887</v>
      </c>
    </row>
    <row r="55" spans="1:26">
      <c r="A55" s="31">
        <v>54</v>
      </c>
      <c r="B55" s="8" t="s">
        <v>25</v>
      </c>
      <c r="C55" s="8" t="s">
        <v>26</v>
      </c>
      <c r="D55" s="12" t="s">
        <v>32</v>
      </c>
      <c r="E55" s="12" t="s">
        <v>110</v>
      </c>
      <c r="F55" s="34" t="s">
        <v>168</v>
      </c>
      <c r="G55" s="34" t="s">
        <v>28</v>
      </c>
      <c r="H55" s="36" t="s">
        <v>169</v>
      </c>
      <c r="I55" s="12" t="s">
        <v>53</v>
      </c>
      <c r="J55" s="12" t="s">
        <v>28</v>
      </c>
      <c r="K55" s="12" t="s">
        <v>28</v>
      </c>
      <c r="L55" s="12" t="s">
        <v>38</v>
      </c>
      <c r="M55" s="12" t="s">
        <v>38</v>
      </c>
      <c r="N55" s="9">
        <v>0</v>
      </c>
      <c r="O55" s="12" t="s">
        <v>28</v>
      </c>
      <c r="P55" s="35">
        <v>0</v>
      </c>
      <c r="Q55" s="12" t="s">
        <v>28</v>
      </c>
      <c r="R55" s="35">
        <v>0</v>
      </c>
      <c r="S55" s="10" t="s">
        <v>28</v>
      </c>
      <c r="T55" s="37">
        <v>0</v>
      </c>
      <c r="U55" s="10" t="s">
        <v>28</v>
      </c>
      <c r="V55" s="11" t="s">
        <v>68</v>
      </c>
      <c r="W55" s="15" t="s">
        <v>68</v>
      </c>
      <c r="X55" s="21" t="s">
        <v>887</v>
      </c>
      <c r="Y55" s="67" t="s">
        <v>68</v>
      </c>
      <c r="Z55" s="33" t="s">
        <v>887</v>
      </c>
    </row>
    <row r="56" spans="1:26">
      <c r="A56" s="31">
        <v>55</v>
      </c>
      <c r="B56" s="8" t="s">
        <v>25</v>
      </c>
      <c r="C56" s="8" t="s">
        <v>26</v>
      </c>
      <c r="D56" s="12" t="s">
        <v>32</v>
      </c>
      <c r="E56" s="12" t="s">
        <v>110</v>
      </c>
      <c r="F56" s="34" t="s">
        <v>170</v>
      </c>
      <c r="G56" s="34" t="s">
        <v>28</v>
      </c>
      <c r="H56" s="36" t="s">
        <v>171</v>
      </c>
      <c r="I56" s="12" t="s">
        <v>53</v>
      </c>
      <c r="J56" s="12" t="s">
        <v>28</v>
      </c>
      <c r="K56" s="12" t="s">
        <v>28</v>
      </c>
      <c r="L56" s="12" t="s">
        <v>38</v>
      </c>
      <c r="M56" s="12" t="s">
        <v>38</v>
      </c>
      <c r="N56" s="9">
        <v>0</v>
      </c>
      <c r="O56" s="12" t="s">
        <v>28</v>
      </c>
      <c r="P56" s="35">
        <v>0</v>
      </c>
      <c r="Q56" s="12" t="s">
        <v>28</v>
      </c>
      <c r="R56" s="35">
        <v>0</v>
      </c>
      <c r="S56" s="10" t="s">
        <v>28</v>
      </c>
      <c r="T56" s="37">
        <v>0</v>
      </c>
      <c r="U56" s="10" t="s">
        <v>28</v>
      </c>
      <c r="V56" s="11" t="s">
        <v>68</v>
      </c>
      <c r="W56" s="15" t="s">
        <v>68</v>
      </c>
      <c r="X56" s="21" t="s">
        <v>887</v>
      </c>
      <c r="Y56" s="67" t="s">
        <v>68</v>
      </c>
      <c r="Z56" s="33" t="s">
        <v>887</v>
      </c>
    </row>
    <row r="57" spans="1:26">
      <c r="A57" s="31">
        <v>56</v>
      </c>
      <c r="B57" s="8" t="s">
        <v>25</v>
      </c>
      <c r="C57" s="8" t="s">
        <v>26</v>
      </c>
      <c r="D57" s="12" t="s">
        <v>32</v>
      </c>
      <c r="E57" s="12" t="s">
        <v>110</v>
      </c>
      <c r="F57" s="34" t="s">
        <v>172</v>
      </c>
      <c r="G57" s="34" t="s">
        <v>28</v>
      </c>
      <c r="H57" s="36" t="s">
        <v>173</v>
      </c>
      <c r="I57" s="12" t="s">
        <v>53</v>
      </c>
      <c r="J57" s="12" t="s">
        <v>28</v>
      </c>
      <c r="K57" s="12" t="s">
        <v>28</v>
      </c>
      <c r="L57" s="12" t="s">
        <v>38</v>
      </c>
      <c r="M57" s="12" t="s">
        <v>38</v>
      </c>
      <c r="N57" s="9">
        <v>0</v>
      </c>
      <c r="O57" s="12" t="s">
        <v>28</v>
      </c>
      <c r="P57" s="35">
        <v>0</v>
      </c>
      <c r="Q57" s="12" t="s">
        <v>28</v>
      </c>
      <c r="R57" s="35">
        <v>0</v>
      </c>
      <c r="S57" s="10" t="s">
        <v>28</v>
      </c>
      <c r="T57" s="37">
        <v>0</v>
      </c>
      <c r="U57" s="10" t="s">
        <v>28</v>
      </c>
      <c r="V57" s="11" t="s">
        <v>68</v>
      </c>
      <c r="W57" s="15" t="s">
        <v>68</v>
      </c>
      <c r="X57" s="21" t="s">
        <v>887</v>
      </c>
      <c r="Y57" s="67" t="s">
        <v>68</v>
      </c>
      <c r="Z57" s="33" t="s">
        <v>887</v>
      </c>
    </row>
    <row r="58" spans="1:26">
      <c r="A58" s="31">
        <v>57</v>
      </c>
      <c r="B58" s="8" t="s">
        <v>25</v>
      </c>
      <c r="C58" s="8" t="s">
        <v>26</v>
      </c>
      <c r="D58" s="12" t="s">
        <v>32</v>
      </c>
      <c r="E58" s="12" t="s">
        <v>110</v>
      </c>
      <c r="F58" s="34" t="s">
        <v>174</v>
      </c>
      <c r="G58" s="34" t="s">
        <v>28</v>
      </c>
      <c r="H58" s="36" t="s">
        <v>175</v>
      </c>
      <c r="I58" s="12" t="s">
        <v>53</v>
      </c>
      <c r="J58" s="12" t="s">
        <v>28</v>
      </c>
      <c r="K58" s="12" t="s">
        <v>28</v>
      </c>
      <c r="L58" s="12" t="s">
        <v>38</v>
      </c>
      <c r="M58" s="12" t="s">
        <v>38</v>
      </c>
      <c r="N58" s="9">
        <v>0</v>
      </c>
      <c r="O58" s="12" t="s">
        <v>28</v>
      </c>
      <c r="P58" s="35">
        <v>0</v>
      </c>
      <c r="Q58" s="12" t="s">
        <v>28</v>
      </c>
      <c r="R58" s="35">
        <v>0</v>
      </c>
      <c r="S58" s="10" t="s">
        <v>28</v>
      </c>
      <c r="T58" s="37">
        <v>0</v>
      </c>
      <c r="U58" s="10" t="s">
        <v>28</v>
      </c>
      <c r="V58" s="11" t="s">
        <v>68</v>
      </c>
      <c r="W58" s="15" t="s">
        <v>68</v>
      </c>
      <c r="X58" s="21" t="s">
        <v>887</v>
      </c>
      <c r="Y58" s="67" t="s">
        <v>68</v>
      </c>
      <c r="Z58" s="33" t="s">
        <v>887</v>
      </c>
    </row>
    <row r="59" spans="1:26">
      <c r="A59" s="31">
        <v>58</v>
      </c>
      <c r="B59" s="8" t="s">
        <v>25</v>
      </c>
      <c r="C59" s="8" t="s">
        <v>26</v>
      </c>
      <c r="D59" s="12" t="s">
        <v>32</v>
      </c>
      <c r="E59" s="12" t="s">
        <v>110</v>
      </c>
      <c r="F59" s="34" t="s">
        <v>176</v>
      </c>
      <c r="G59" s="34" t="s">
        <v>28</v>
      </c>
      <c r="H59" s="36" t="s">
        <v>177</v>
      </c>
      <c r="I59" s="12" t="s">
        <v>61</v>
      </c>
      <c r="J59" s="12" t="s">
        <v>28</v>
      </c>
      <c r="K59" s="12" t="s">
        <v>28</v>
      </c>
      <c r="L59" s="12" t="s">
        <v>38</v>
      </c>
      <c r="M59" s="12" t="s">
        <v>38</v>
      </c>
      <c r="N59" s="9">
        <v>0</v>
      </c>
      <c r="O59" s="12" t="s">
        <v>28</v>
      </c>
      <c r="P59" s="35">
        <v>0</v>
      </c>
      <c r="Q59" s="12" t="s">
        <v>28</v>
      </c>
      <c r="R59" s="35">
        <v>0</v>
      </c>
      <c r="S59" s="10" t="s">
        <v>28</v>
      </c>
      <c r="T59" s="37">
        <v>0</v>
      </c>
      <c r="U59" s="10" t="s">
        <v>28</v>
      </c>
      <c r="V59" s="11" t="s">
        <v>68</v>
      </c>
      <c r="W59" s="15" t="s">
        <v>68</v>
      </c>
      <c r="X59" s="21" t="s">
        <v>887</v>
      </c>
      <c r="Y59" s="67" t="s">
        <v>68</v>
      </c>
      <c r="Z59" s="33" t="s">
        <v>887</v>
      </c>
    </row>
    <row r="60" spans="1:26">
      <c r="A60" s="31">
        <v>59</v>
      </c>
      <c r="B60" s="8" t="s">
        <v>25</v>
      </c>
      <c r="C60" s="8" t="s">
        <v>26</v>
      </c>
      <c r="D60" s="12" t="s">
        <v>32</v>
      </c>
      <c r="E60" s="12" t="s">
        <v>110</v>
      </c>
      <c r="F60" s="34" t="s">
        <v>178</v>
      </c>
      <c r="G60" s="34" t="s">
        <v>28</v>
      </c>
      <c r="H60" s="36" t="s">
        <v>179</v>
      </c>
      <c r="I60" s="12" t="s">
        <v>180</v>
      </c>
      <c r="J60" s="12" t="s">
        <v>28</v>
      </c>
      <c r="K60" s="12" t="s">
        <v>28</v>
      </c>
      <c r="L60" s="12" t="s">
        <v>38</v>
      </c>
      <c r="M60" s="12" t="s">
        <v>38</v>
      </c>
      <c r="N60" s="9">
        <v>0</v>
      </c>
      <c r="O60" s="12" t="s">
        <v>28</v>
      </c>
      <c r="P60" s="35">
        <v>0</v>
      </c>
      <c r="Q60" s="12" t="s">
        <v>28</v>
      </c>
      <c r="R60" s="35">
        <v>0</v>
      </c>
      <c r="S60" s="10" t="s">
        <v>28</v>
      </c>
      <c r="T60" s="37">
        <v>0</v>
      </c>
      <c r="U60" s="10" t="s">
        <v>28</v>
      </c>
      <c r="V60" s="11" t="s">
        <v>68</v>
      </c>
      <c r="W60" s="15" t="s">
        <v>68</v>
      </c>
      <c r="X60" s="21" t="s">
        <v>887</v>
      </c>
      <c r="Y60" s="67" t="s">
        <v>68</v>
      </c>
      <c r="Z60" s="33" t="s">
        <v>887</v>
      </c>
    </row>
    <row r="61" spans="1:26">
      <c r="A61" s="31">
        <v>60</v>
      </c>
      <c r="B61" s="8" t="s">
        <v>25</v>
      </c>
      <c r="C61" s="8" t="s">
        <v>26</v>
      </c>
      <c r="D61" s="12" t="s">
        <v>32</v>
      </c>
      <c r="E61" s="12" t="s">
        <v>110</v>
      </c>
      <c r="F61" s="34" t="s">
        <v>181</v>
      </c>
      <c r="G61" s="34" t="s">
        <v>28</v>
      </c>
      <c r="H61" s="36" t="s">
        <v>182</v>
      </c>
      <c r="I61" s="12" t="s">
        <v>53</v>
      </c>
      <c r="J61" s="12" t="s">
        <v>28</v>
      </c>
      <c r="K61" s="12" t="s">
        <v>28</v>
      </c>
      <c r="L61" s="12" t="s">
        <v>38</v>
      </c>
      <c r="M61" s="12" t="s">
        <v>38</v>
      </c>
      <c r="N61" s="9">
        <v>0</v>
      </c>
      <c r="O61" s="12" t="s">
        <v>28</v>
      </c>
      <c r="P61" s="35">
        <v>0</v>
      </c>
      <c r="Q61" s="12" t="s">
        <v>28</v>
      </c>
      <c r="R61" s="35">
        <v>0</v>
      </c>
      <c r="S61" s="10" t="s">
        <v>28</v>
      </c>
      <c r="T61" s="37">
        <v>0</v>
      </c>
      <c r="U61" s="10" t="s">
        <v>28</v>
      </c>
      <c r="V61" s="11" t="s">
        <v>68</v>
      </c>
      <c r="W61" s="15" t="s">
        <v>68</v>
      </c>
      <c r="X61" s="21" t="s">
        <v>887</v>
      </c>
      <c r="Y61" s="67" t="s">
        <v>68</v>
      </c>
      <c r="Z61" s="33" t="s">
        <v>887</v>
      </c>
    </row>
    <row r="62" spans="1:26">
      <c r="A62" s="31">
        <v>61</v>
      </c>
      <c r="B62" s="8" t="s">
        <v>25</v>
      </c>
      <c r="C62" s="8" t="s">
        <v>26</v>
      </c>
      <c r="D62" s="12" t="s">
        <v>32</v>
      </c>
      <c r="E62" s="12" t="s">
        <v>110</v>
      </c>
      <c r="F62" s="34" t="s">
        <v>183</v>
      </c>
      <c r="G62" s="34" t="s">
        <v>28</v>
      </c>
      <c r="H62" s="36" t="s">
        <v>184</v>
      </c>
      <c r="I62" s="12" t="s">
        <v>125</v>
      </c>
      <c r="J62" s="12" t="s">
        <v>28</v>
      </c>
      <c r="K62" s="12" t="s">
        <v>28</v>
      </c>
      <c r="L62" s="12" t="s">
        <v>38</v>
      </c>
      <c r="M62" s="12" t="s">
        <v>38</v>
      </c>
      <c r="N62" s="9">
        <v>0</v>
      </c>
      <c r="O62" s="12" t="s">
        <v>28</v>
      </c>
      <c r="P62" s="35">
        <v>0</v>
      </c>
      <c r="Q62" s="12" t="s">
        <v>28</v>
      </c>
      <c r="R62" s="35">
        <v>0</v>
      </c>
      <c r="S62" s="10" t="s">
        <v>28</v>
      </c>
      <c r="T62" s="37">
        <v>0</v>
      </c>
      <c r="U62" s="10" t="s">
        <v>28</v>
      </c>
      <c r="V62" s="11" t="s">
        <v>68</v>
      </c>
      <c r="W62" s="15" t="s">
        <v>68</v>
      </c>
      <c r="X62" s="21" t="s">
        <v>887</v>
      </c>
      <c r="Y62" s="67" t="s">
        <v>68</v>
      </c>
      <c r="Z62" s="33" t="s">
        <v>887</v>
      </c>
    </row>
    <row r="63" spans="1:26">
      <c r="A63" s="31">
        <v>62</v>
      </c>
      <c r="B63" s="8" t="s">
        <v>25</v>
      </c>
      <c r="C63" s="8" t="s">
        <v>26</v>
      </c>
      <c r="D63" s="12" t="s">
        <v>32</v>
      </c>
      <c r="E63" s="12" t="s">
        <v>110</v>
      </c>
      <c r="F63" s="34" t="s">
        <v>185</v>
      </c>
      <c r="G63" s="34" t="s">
        <v>28</v>
      </c>
      <c r="H63" s="36" t="s">
        <v>186</v>
      </c>
      <c r="I63" s="12" t="s">
        <v>57</v>
      </c>
      <c r="J63" s="12" t="s">
        <v>28</v>
      </c>
      <c r="K63" s="12" t="s">
        <v>28</v>
      </c>
      <c r="L63" s="12" t="s">
        <v>38</v>
      </c>
      <c r="M63" s="12" t="s">
        <v>38</v>
      </c>
      <c r="N63" s="9">
        <v>0</v>
      </c>
      <c r="O63" s="12" t="s">
        <v>28</v>
      </c>
      <c r="P63" s="35">
        <v>0</v>
      </c>
      <c r="Q63" s="12" t="s">
        <v>28</v>
      </c>
      <c r="R63" s="35">
        <v>0</v>
      </c>
      <c r="S63" s="10" t="s">
        <v>28</v>
      </c>
      <c r="T63" s="37">
        <v>0</v>
      </c>
      <c r="U63" s="10" t="s">
        <v>28</v>
      </c>
      <c r="V63" s="11" t="s">
        <v>68</v>
      </c>
      <c r="W63" s="15" t="s">
        <v>68</v>
      </c>
      <c r="X63" s="21" t="s">
        <v>887</v>
      </c>
      <c r="Y63" s="67" t="s">
        <v>68</v>
      </c>
      <c r="Z63" s="33" t="s">
        <v>887</v>
      </c>
    </row>
    <row r="64" spans="1:26">
      <c r="A64" s="31">
        <v>63</v>
      </c>
      <c r="B64" s="8" t="s">
        <v>25</v>
      </c>
      <c r="C64" s="8" t="s">
        <v>26</v>
      </c>
      <c r="D64" s="12" t="s">
        <v>32</v>
      </c>
      <c r="E64" s="12" t="s">
        <v>110</v>
      </c>
      <c r="F64" s="34" t="s">
        <v>187</v>
      </c>
      <c r="G64" s="34" t="s">
        <v>28</v>
      </c>
      <c r="H64" s="36" t="s">
        <v>188</v>
      </c>
      <c r="I64" s="12" t="s">
        <v>53</v>
      </c>
      <c r="J64" s="12" t="s">
        <v>28</v>
      </c>
      <c r="K64" s="12" t="s">
        <v>28</v>
      </c>
      <c r="L64" s="12" t="s">
        <v>38</v>
      </c>
      <c r="M64" s="12" t="s">
        <v>38</v>
      </c>
      <c r="N64" s="9">
        <v>0</v>
      </c>
      <c r="O64" s="12" t="s">
        <v>28</v>
      </c>
      <c r="P64" s="35">
        <v>0</v>
      </c>
      <c r="Q64" s="12" t="s">
        <v>28</v>
      </c>
      <c r="R64" s="35">
        <v>0</v>
      </c>
      <c r="S64" s="10" t="s">
        <v>28</v>
      </c>
      <c r="T64" s="37">
        <v>0</v>
      </c>
      <c r="U64" s="10" t="s">
        <v>28</v>
      </c>
      <c r="V64" s="11" t="s">
        <v>68</v>
      </c>
      <c r="W64" s="15" t="s">
        <v>68</v>
      </c>
      <c r="X64" s="21" t="s">
        <v>887</v>
      </c>
      <c r="Y64" s="67" t="s">
        <v>68</v>
      </c>
      <c r="Z64" s="33" t="s">
        <v>887</v>
      </c>
    </row>
    <row r="65" spans="1:26">
      <c r="A65" s="31">
        <v>64</v>
      </c>
      <c r="B65" s="8" t="s">
        <v>25</v>
      </c>
      <c r="C65" s="8" t="s">
        <v>26</v>
      </c>
      <c r="D65" s="12" t="s">
        <v>32</v>
      </c>
      <c r="E65" s="12" t="s">
        <v>110</v>
      </c>
      <c r="F65" s="34" t="s">
        <v>189</v>
      </c>
      <c r="G65" s="34" t="s">
        <v>28</v>
      </c>
      <c r="H65" s="36" t="s">
        <v>190</v>
      </c>
      <c r="I65" s="12" t="s">
        <v>191</v>
      </c>
      <c r="J65" s="12" t="s">
        <v>28</v>
      </c>
      <c r="K65" s="12" t="s">
        <v>28</v>
      </c>
      <c r="L65" s="12" t="s">
        <v>38</v>
      </c>
      <c r="M65" s="12" t="s">
        <v>38</v>
      </c>
      <c r="N65" s="9">
        <v>0</v>
      </c>
      <c r="O65" s="12" t="s">
        <v>28</v>
      </c>
      <c r="P65" s="35">
        <v>0</v>
      </c>
      <c r="Q65" s="12" t="s">
        <v>28</v>
      </c>
      <c r="R65" s="35">
        <v>0</v>
      </c>
      <c r="S65" s="10" t="s">
        <v>28</v>
      </c>
      <c r="T65" s="37">
        <v>0</v>
      </c>
      <c r="U65" s="10" t="s">
        <v>28</v>
      </c>
      <c r="V65" s="11" t="s">
        <v>68</v>
      </c>
      <c r="W65" s="15" t="s">
        <v>68</v>
      </c>
      <c r="X65" s="21" t="s">
        <v>887</v>
      </c>
      <c r="Y65" s="67" t="s">
        <v>68</v>
      </c>
      <c r="Z65" s="33" t="s">
        <v>887</v>
      </c>
    </row>
    <row r="66" spans="1:26">
      <c r="A66" s="31">
        <v>65</v>
      </c>
      <c r="B66" s="8" t="s">
        <v>25</v>
      </c>
      <c r="C66" s="8" t="s">
        <v>26</v>
      </c>
      <c r="D66" s="12" t="s">
        <v>32</v>
      </c>
      <c r="E66" s="12" t="s">
        <v>110</v>
      </c>
      <c r="F66" s="34" t="s">
        <v>192</v>
      </c>
      <c r="G66" s="34" t="s">
        <v>28</v>
      </c>
      <c r="H66" s="36" t="s">
        <v>193</v>
      </c>
      <c r="I66" s="12" t="s">
        <v>53</v>
      </c>
      <c r="J66" s="12" t="s">
        <v>28</v>
      </c>
      <c r="K66" s="12" t="s">
        <v>28</v>
      </c>
      <c r="L66" s="12" t="s">
        <v>38</v>
      </c>
      <c r="M66" s="12" t="s">
        <v>38</v>
      </c>
      <c r="N66" s="9">
        <v>0</v>
      </c>
      <c r="O66" s="12" t="s">
        <v>28</v>
      </c>
      <c r="P66" s="35">
        <v>0</v>
      </c>
      <c r="Q66" s="12" t="s">
        <v>28</v>
      </c>
      <c r="R66" s="35">
        <v>0</v>
      </c>
      <c r="S66" s="10" t="s">
        <v>28</v>
      </c>
      <c r="T66" s="37">
        <v>0</v>
      </c>
      <c r="U66" s="10" t="s">
        <v>28</v>
      </c>
      <c r="V66" s="11" t="s">
        <v>68</v>
      </c>
      <c r="W66" s="15" t="s">
        <v>68</v>
      </c>
      <c r="X66" s="21" t="s">
        <v>887</v>
      </c>
      <c r="Y66" s="67" t="s">
        <v>68</v>
      </c>
      <c r="Z66" s="33" t="s">
        <v>887</v>
      </c>
    </row>
    <row r="67" spans="1:26">
      <c r="A67" s="31">
        <v>66</v>
      </c>
      <c r="B67" s="8" t="s">
        <v>25</v>
      </c>
      <c r="C67" s="8" t="s">
        <v>26</v>
      </c>
      <c r="D67" s="12" t="s">
        <v>32</v>
      </c>
      <c r="E67" s="12" t="s">
        <v>194</v>
      </c>
      <c r="F67" s="34" t="s">
        <v>195</v>
      </c>
      <c r="G67" s="34" t="s">
        <v>196</v>
      </c>
      <c r="H67" s="36" t="s">
        <v>197</v>
      </c>
      <c r="I67" s="12" t="s">
        <v>118</v>
      </c>
      <c r="J67" s="12" t="s">
        <v>38</v>
      </c>
      <c r="K67" s="12" t="s">
        <v>28</v>
      </c>
      <c r="L67" s="12" t="s">
        <v>28</v>
      </c>
      <c r="M67" s="12" t="s">
        <v>38</v>
      </c>
      <c r="N67" s="9">
        <v>0</v>
      </c>
      <c r="O67" s="12" t="s">
        <v>28</v>
      </c>
      <c r="P67" s="9">
        <v>43450000000</v>
      </c>
      <c r="Q67" s="10">
        <v>40571</v>
      </c>
      <c r="R67" s="9">
        <v>32010000000</v>
      </c>
      <c r="S67" s="10">
        <v>42667</v>
      </c>
      <c r="T67" s="37">
        <v>0</v>
      </c>
      <c r="U67" s="10" t="s">
        <v>28</v>
      </c>
      <c r="V67" s="34" t="s">
        <v>198</v>
      </c>
      <c r="W67" s="15" t="s">
        <v>884</v>
      </c>
      <c r="X67" s="21" t="s">
        <v>887</v>
      </c>
      <c r="Y67" s="67" t="s">
        <v>68</v>
      </c>
      <c r="Z67" s="33" t="s">
        <v>887</v>
      </c>
    </row>
    <row r="68" spans="1:26">
      <c r="A68" s="31">
        <v>67</v>
      </c>
      <c r="B68" s="8" t="s">
        <v>25</v>
      </c>
      <c r="C68" s="8" t="s">
        <v>26</v>
      </c>
      <c r="D68" s="12" t="s">
        <v>32</v>
      </c>
      <c r="E68" s="12" t="s">
        <v>194</v>
      </c>
      <c r="F68" s="34" t="s">
        <v>199</v>
      </c>
      <c r="G68" s="34" t="s">
        <v>200</v>
      </c>
      <c r="H68" s="36" t="s">
        <v>201</v>
      </c>
      <c r="I68" s="12" t="s">
        <v>118</v>
      </c>
      <c r="J68" s="12" t="s">
        <v>38</v>
      </c>
      <c r="K68" s="12" t="s">
        <v>28</v>
      </c>
      <c r="L68" s="12" t="s">
        <v>28</v>
      </c>
      <c r="M68" s="12" t="s">
        <v>38</v>
      </c>
      <c r="N68" s="9">
        <v>0</v>
      </c>
      <c r="O68" s="12" t="s">
        <v>28</v>
      </c>
      <c r="P68" s="35">
        <v>0</v>
      </c>
      <c r="Q68" s="12" t="s">
        <v>28</v>
      </c>
      <c r="R68" s="9">
        <v>6886000000</v>
      </c>
      <c r="S68" s="10">
        <v>42522</v>
      </c>
      <c r="T68" s="37">
        <v>0</v>
      </c>
      <c r="U68" s="10" t="s">
        <v>28</v>
      </c>
      <c r="V68" s="34" t="s">
        <v>65</v>
      </c>
      <c r="W68" s="15" t="s">
        <v>884</v>
      </c>
      <c r="X68" s="21" t="s">
        <v>887</v>
      </c>
      <c r="Y68" s="67" t="s">
        <v>68</v>
      </c>
      <c r="Z68" s="33" t="s">
        <v>887</v>
      </c>
    </row>
    <row r="69" spans="1:26">
      <c r="A69" s="31">
        <v>68</v>
      </c>
      <c r="B69" s="8" t="s">
        <v>25</v>
      </c>
      <c r="C69" s="8" t="s">
        <v>26</v>
      </c>
      <c r="D69" s="12" t="s">
        <v>32</v>
      </c>
      <c r="E69" s="12" t="s">
        <v>194</v>
      </c>
      <c r="F69" s="34" t="s">
        <v>202</v>
      </c>
      <c r="G69" s="34" t="s">
        <v>203</v>
      </c>
      <c r="H69" s="36" t="s">
        <v>204</v>
      </c>
      <c r="I69" s="12" t="s">
        <v>118</v>
      </c>
      <c r="J69" s="12" t="s">
        <v>38</v>
      </c>
      <c r="K69" s="12" t="s">
        <v>28</v>
      </c>
      <c r="L69" s="12" t="s">
        <v>28</v>
      </c>
      <c r="M69" s="12" t="s">
        <v>38</v>
      </c>
      <c r="N69" s="9">
        <v>0</v>
      </c>
      <c r="O69" s="12" t="s">
        <v>28</v>
      </c>
      <c r="P69" s="35">
        <v>0</v>
      </c>
      <c r="Q69" s="12" t="s">
        <v>28</v>
      </c>
      <c r="R69" s="9">
        <v>5308000000</v>
      </c>
      <c r="S69" s="10">
        <v>42761</v>
      </c>
      <c r="T69" s="37">
        <v>0</v>
      </c>
      <c r="U69" s="10" t="s">
        <v>28</v>
      </c>
      <c r="V69" s="34" t="s">
        <v>205</v>
      </c>
      <c r="W69" s="15" t="s">
        <v>884</v>
      </c>
      <c r="X69" s="21" t="s">
        <v>887</v>
      </c>
      <c r="Y69" s="67" t="s">
        <v>68</v>
      </c>
      <c r="Z69" s="33" t="s">
        <v>887</v>
      </c>
    </row>
    <row r="70" spans="1:26">
      <c r="A70" s="31">
        <v>69</v>
      </c>
      <c r="B70" s="8" t="s">
        <v>25</v>
      </c>
      <c r="C70" s="8" t="s">
        <v>26</v>
      </c>
      <c r="D70" s="12" t="s">
        <v>32</v>
      </c>
      <c r="E70" s="12" t="s">
        <v>194</v>
      </c>
      <c r="F70" s="34" t="s">
        <v>206</v>
      </c>
      <c r="G70" s="34" t="s">
        <v>207</v>
      </c>
      <c r="H70" s="36" t="s">
        <v>208</v>
      </c>
      <c r="I70" s="12" t="s">
        <v>125</v>
      </c>
      <c r="J70" s="12" t="s">
        <v>38</v>
      </c>
      <c r="K70" s="12" t="s">
        <v>28</v>
      </c>
      <c r="L70" s="12" t="s">
        <v>28</v>
      </c>
      <c r="M70" s="12" t="s">
        <v>38</v>
      </c>
      <c r="N70" s="9">
        <v>0</v>
      </c>
      <c r="O70" s="12" t="s">
        <v>28</v>
      </c>
      <c r="P70" s="35">
        <v>3569316000</v>
      </c>
      <c r="Q70" s="38">
        <v>40497</v>
      </c>
      <c r="R70" s="9">
        <v>7865000000</v>
      </c>
      <c r="S70" s="10">
        <v>42571</v>
      </c>
      <c r="T70" s="37">
        <v>0</v>
      </c>
      <c r="U70" s="10" t="s">
        <v>28</v>
      </c>
      <c r="V70" s="34" t="s">
        <v>65</v>
      </c>
      <c r="W70" s="15" t="s">
        <v>883</v>
      </c>
      <c r="X70" s="21" t="s">
        <v>887</v>
      </c>
      <c r="Y70" s="67" t="s">
        <v>68</v>
      </c>
      <c r="Z70" s="33" t="s">
        <v>887</v>
      </c>
    </row>
    <row r="71" spans="1:26">
      <c r="A71" s="31">
        <v>70</v>
      </c>
      <c r="B71" s="8" t="s">
        <v>25</v>
      </c>
      <c r="C71" s="8" t="s">
        <v>26</v>
      </c>
      <c r="D71" s="12" t="s">
        <v>32</v>
      </c>
      <c r="E71" s="12" t="s">
        <v>194</v>
      </c>
      <c r="F71" s="34" t="s">
        <v>209</v>
      </c>
      <c r="G71" s="34" t="s">
        <v>210</v>
      </c>
      <c r="H71" s="36" t="s">
        <v>211</v>
      </c>
      <c r="I71" s="12" t="s">
        <v>53</v>
      </c>
      <c r="J71" s="12" t="s">
        <v>38</v>
      </c>
      <c r="K71" s="12" t="s">
        <v>28</v>
      </c>
      <c r="L71" s="12" t="s">
        <v>28</v>
      </c>
      <c r="M71" s="12" t="s">
        <v>38</v>
      </c>
      <c r="N71" s="9">
        <v>0</v>
      </c>
      <c r="O71" s="12" t="s">
        <v>28</v>
      </c>
      <c r="P71" s="35">
        <v>0</v>
      </c>
      <c r="Q71" s="12" t="s">
        <v>28</v>
      </c>
      <c r="R71" s="35">
        <v>863500000.00000012</v>
      </c>
      <c r="S71" s="10">
        <v>42489</v>
      </c>
      <c r="T71" s="37">
        <v>0</v>
      </c>
      <c r="U71" s="10" t="s">
        <v>28</v>
      </c>
      <c r="V71" s="34" t="s">
        <v>65</v>
      </c>
      <c r="W71" s="15" t="s">
        <v>883</v>
      </c>
      <c r="X71" s="21" t="s">
        <v>887</v>
      </c>
      <c r="Y71" s="67" t="s">
        <v>68</v>
      </c>
      <c r="Z71" s="33" t="s">
        <v>887</v>
      </c>
    </row>
    <row r="72" spans="1:26">
      <c r="A72" s="31">
        <v>71</v>
      </c>
      <c r="B72" s="8" t="s">
        <v>25</v>
      </c>
      <c r="C72" s="8" t="s">
        <v>26</v>
      </c>
      <c r="D72" s="12" t="s">
        <v>32</v>
      </c>
      <c r="E72" s="12" t="s">
        <v>194</v>
      </c>
      <c r="F72" s="34" t="s">
        <v>212</v>
      </c>
      <c r="G72" s="34" t="s">
        <v>213</v>
      </c>
      <c r="H72" s="36" t="s">
        <v>214</v>
      </c>
      <c r="I72" s="12" t="s">
        <v>118</v>
      </c>
      <c r="J72" s="12" t="s">
        <v>38</v>
      </c>
      <c r="K72" s="12" t="s">
        <v>28</v>
      </c>
      <c r="L72" s="12" t="s">
        <v>28</v>
      </c>
      <c r="M72" s="12" t="s">
        <v>38</v>
      </c>
      <c r="N72" s="9">
        <v>22965442500</v>
      </c>
      <c r="O72" s="10">
        <v>40277</v>
      </c>
      <c r="P72" s="9">
        <v>19874800000</v>
      </c>
      <c r="Q72" s="10">
        <v>40730</v>
      </c>
      <c r="R72" s="9">
        <v>26290000000</v>
      </c>
      <c r="S72" s="10">
        <v>42667</v>
      </c>
      <c r="T72" s="37">
        <v>0</v>
      </c>
      <c r="U72" s="10" t="s">
        <v>28</v>
      </c>
      <c r="V72" s="34" t="s">
        <v>65</v>
      </c>
      <c r="W72" s="15" t="s">
        <v>883</v>
      </c>
      <c r="X72" s="21" t="s">
        <v>887</v>
      </c>
      <c r="Y72" s="67" t="s">
        <v>68</v>
      </c>
      <c r="Z72" s="33" t="s">
        <v>887</v>
      </c>
    </row>
    <row r="73" spans="1:26">
      <c r="A73" s="31">
        <v>72</v>
      </c>
      <c r="B73" s="8" t="s">
        <v>25</v>
      </c>
      <c r="C73" s="8" t="s">
        <v>26</v>
      </c>
      <c r="D73" s="12" t="s">
        <v>32</v>
      </c>
      <c r="E73" s="12" t="s">
        <v>194</v>
      </c>
      <c r="F73" s="34" t="s">
        <v>215</v>
      </c>
      <c r="G73" s="34" t="s">
        <v>216</v>
      </c>
      <c r="H73" s="36" t="s">
        <v>217</v>
      </c>
      <c r="I73" s="12" t="s">
        <v>37</v>
      </c>
      <c r="J73" s="12" t="s">
        <v>38</v>
      </c>
      <c r="K73" s="12" t="s">
        <v>28</v>
      </c>
      <c r="L73" s="12" t="s">
        <v>28</v>
      </c>
      <c r="M73" s="12" t="s">
        <v>38</v>
      </c>
      <c r="N73" s="9">
        <v>12760000000.000002</v>
      </c>
      <c r="O73" s="10">
        <v>39713</v>
      </c>
      <c r="P73" s="35">
        <v>0</v>
      </c>
      <c r="Q73" s="12" t="s">
        <v>28</v>
      </c>
      <c r="R73" s="9">
        <v>27344000000</v>
      </c>
      <c r="S73" s="10">
        <v>43109</v>
      </c>
      <c r="T73" s="9">
        <v>29645000000</v>
      </c>
      <c r="U73" s="10">
        <v>45546</v>
      </c>
      <c r="V73" s="34" t="s">
        <v>65</v>
      </c>
      <c r="W73" s="15" t="s">
        <v>883</v>
      </c>
      <c r="X73" s="21" t="s">
        <v>887</v>
      </c>
      <c r="Y73" s="67" t="s">
        <v>68</v>
      </c>
      <c r="Z73" s="33" t="s">
        <v>887</v>
      </c>
    </row>
    <row r="74" spans="1:26">
      <c r="A74" s="31">
        <v>73</v>
      </c>
      <c r="B74" s="8" t="s">
        <v>25</v>
      </c>
      <c r="C74" s="8" t="s">
        <v>26</v>
      </c>
      <c r="D74" s="12" t="s">
        <v>32</v>
      </c>
      <c r="E74" s="12" t="s">
        <v>194</v>
      </c>
      <c r="F74" s="34" t="s">
        <v>218</v>
      </c>
      <c r="G74" s="34" t="s">
        <v>219</v>
      </c>
      <c r="H74" s="36" t="s">
        <v>220</v>
      </c>
      <c r="I74" s="12" t="s">
        <v>125</v>
      </c>
      <c r="J74" s="12" t="s">
        <v>38</v>
      </c>
      <c r="K74" s="12" t="s">
        <v>28</v>
      </c>
      <c r="L74" s="12" t="s">
        <v>28</v>
      </c>
      <c r="M74" s="12" t="s">
        <v>38</v>
      </c>
      <c r="N74" s="9">
        <v>13486000000.000002</v>
      </c>
      <c r="O74" s="10">
        <v>39619</v>
      </c>
      <c r="P74" s="9">
        <v>13673000000.000002</v>
      </c>
      <c r="Q74" s="10">
        <v>40417</v>
      </c>
      <c r="R74" s="9">
        <v>14569000000</v>
      </c>
      <c r="S74" s="10">
        <v>42528</v>
      </c>
      <c r="T74" s="37">
        <v>0</v>
      </c>
      <c r="U74" s="10" t="s">
        <v>28</v>
      </c>
      <c r="V74" s="34" t="s">
        <v>65</v>
      </c>
      <c r="W74" s="15" t="s">
        <v>884</v>
      </c>
      <c r="X74" s="21" t="s">
        <v>887</v>
      </c>
      <c r="Y74" s="67" t="s">
        <v>68</v>
      </c>
      <c r="Z74" s="33" t="s">
        <v>887</v>
      </c>
    </row>
    <row r="75" spans="1:26">
      <c r="A75" s="31">
        <v>74</v>
      </c>
      <c r="B75" s="8" t="s">
        <v>25</v>
      </c>
      <c r="C75" s="8" t="s">
        <v>26</v>
      </c>
      <c r="D75" s="12" t="s">
        <v>32</v>
      </c>
      <c r="E75" s="12" t="s">
        <v>194</v>
      </c>
      <c r="F75" s="34" t="s">
        <v>221</v>
      </c>
      <c r="G75" s="34" t="s">
        <v>222</v>
      </c>
      <c r="H75" s="36" t="s">
        <v>223</v>
      </c>
      <c r="I75" s="12" t="s">
        <v>53</v>
      </c>
      <c r="J75" s="12" t="s">
        <v>38</v>
      </c>
      <c r="K75" s="12" t="s">
        <v>28</v>
      </c>
      <c r="L75" s="12" t="s">
        <v>28</v>
      </c>
      <c r="M75" s="12" t="s">
        <v>38</v>
      </c>
      <c r="N75" s="9">
        <v>0</v>
      </c>
      <c r="O75" s="12" t="s">
        <v>28</v>
      </c>
      <c r="P75" s="35">
        <v>0</v>
      </c>
      <c r="Q75" s="12" t="s">
        <v>28</v>
      </c>
      <c r="R75" s="35">
        <v>805200000.00000012</v>
      </c>
      <c r="S75" s="10">
        <v>42517</v>
      </c>
      <c r="T75" s="37">
        <v>0</v>
      </c>
      <c r="U75" s="10" t="s">
        <v>28</v>
      </c>
      <c r="V75" s="34" t="s">
        <v>65</v>
      </c>
      <c r="W75" s="15" t="s">
        <v>884</v>
      </c>
      <c r="X75" s="21" t="s">
        <v>887</v>
      </c>
      <c r="Y75" s="67" t="s">
        <v>68</v>
      </c>
      <c r="Z75" s="33" t="s">
        <v>887</v>
      </c>
    </row>
    <row r="76" spans="1:26">
      <c r="A76" s="31">
        <v>75</v>
      </c>
      <c r="B76" s="8" t="s">
        <v>25</v>
      </c>
      <c r="C76" s="8" t="s">
        <v>26</v>
      </c>
      <c r="D76" s="12" t="s">
        <v>32</v>
      </c>
      <c r="E76" s="12" t="s">
        <v>194</v>
      </c>
      <c r="F76" s="34" t="s">
        <v>224</v>
      </c>
      <c r="G76" s="34" t="s">
        <v>225</v>
      </c>
      <c r="H76" s="36" t="s">
        <v>226</v>
      </c>
      <c r="I76" s="12" t="s">
        <v>227</v>
      </c>
      <c r="J76" s="12" t="s">
        <v>38</v>
      </c>
      <c r="K76" s="12" t="s">
        <v>28</v>
      </c>
      <c r="L76" s="12" t="s">
        <v>28</v>
      </c>
      <c r="M76" s="12" t="s">
        <v>38</v>
      </c>
      <c r="N76" s="9">
        <v>0</v>
      </c>
      <c r="O76" s="12" t="s">
        <v>28</v>
      </c>
      <c r="P76" s="35">
        <v>0</v>
      </c>
      <c r="Q76" s="12" t="s">
        <v>28</v>
      </c>
      <c r="R76" s="35">
        <v>0</v>
      </c>
      <c r="S76" s="10" t="s">
        <v>28</v>
      </c>
      <c r="T76" s="9">
        <v>5225000000</v>
      </c>
      <c r="U76" s="10">
        <v>45526</v>
      </c>
      <c r="V76" s="34" t="s">
        <v>65</v>
      </c>
      <c r="W76" s="15" t="s">
        <v>880</v>
      </c>
      <c r="X76" s="21" t="s">
        <v>887</v>
      </c>
      <c r="Y76" s="67" t="s">
        <v>68</v>
      </c>
      <c r="Z76" s="33" t="s">
        <v>887</v>
      </c>
    </row>
    <row r="77" spans="1:26">
      <c r="A77" s="31">
        <v>76</v>
      </c>
      <c r="B77" s="8" t="s">
        <v>25</v>
      </c>
      <c r="C77" s="8" t="s">
        <v>26</v>
      </c>
      <c r="D77" s="12" t="s">
        <v>32</v>
      </c>
      <c r="E77" s="12" t="s">
        <v>194</v>
      </c>
      <c r="F77" s="34" t="s">
        <v>228</v>
      </c>
      <c r="G77" s="34" t="s">
        <v>229</v>
      </c>
      <c r="H77" s="36" t="s">
        <v>230</v>
      </c>
      <c r="I77" s="12" t="s">
        <v>61</v>
      </c>
      <c r="J77" s="12" t="s">
        <v>38</v>
      </c>
      <c r="K77" s="12" t="s">
        <v>28</v>
      </c>
      <c r="L77" s="12" t="s">
        <v>28</v>
      </c>
      <c r="M77" s="12" t="s">
        <v>38</v>
      </c>
      <c r="N77" s="9">
        <v>0</v>
      </c>
      <c r="O77" s="12" t="s">
        <v>28</v>
      </c>
      <c r="P77" s="35">
        <v>0</v>
      </c>
      <c r="Q77" s="12" t="s">
        <v>28</v>
      </c>
      <c r="R77" s="35">
        <v>1311200000</v>
      </c>
      <c r="S77" s="10">
        <v>42543</v>
      </c>
      <c r="T77" s="37">
        <v>1509970000.0000002</v>
      </c>
      <c r="U77" s="10">
        <v>45309</v>
      </c>
      <c r="V77" s="34" t="s">
        <v>65</v>
      </c>
      <c r="W77" s="15" t="s">
        <v>880</v>
      </c>
      <c r="X77" s="21" t="s">
        <v>887</v>
      </c>
      <c r="Y77" s="67" t="s">
        <v>68</v>
      </c>
      <c r="Z77" s="33" t="s">
        <v>887</v>
      </c>
    </row>
    <row r="78" spans="1:26">
      <c r="A78" s="31">
        <v>77</v>
      </c>
      <c r="B78" s="8" t="s">
        <v>25</v>
      </c>
      <c r="C78" s="8" t="s">
        <v>26</v>
      </c>
      <c r="D78" s="12" t="s">
        <v>32</v>
      </c>
      <c r="E78" s="12" t="s">
        <v>194</v>
      </c>
      <c r="F78" s="34" t="s">
        <v>231</v>
      </c>
      <c r="G78" s="34" t="s">
        <v>232</v>
      </c>
      <c r="H78" s="36" t="s">
        <v>233</v>
      </c>
      <c r="I78" s="12" t="s">
        <v>118</v>
      </c>
      <c r="J78" s="12" t="s">
        <v>38</v>
      </c>
      <c r="K78" s="12" t="s">
        <v>28</v>
      </c>
      <c r="L78" s="12" t="s">
        <v>28</v>
      </c>
      <c r="M78" s="12" t="s">
        <v>38</v>
      </c>
      <c r="N78" s="9">
        <v>0</v>
      </c>
      <c r="O78" s="12" t="s">
        <v>28</v>
      </c>
      <c r="P78" s="35">
        <v>0</v>
      </c>
      <c r="Q78" s="12" t="s">
        <v>28</v>
      </c>
      <c r="R78" s="35">
        <v>1234013000</v>
      </c>
      <c r="S78" s="10">
        <v>42366</v>
      </c>
      <c r="T78" s="37">
        <v>2530000000</v>
      </c>
      <c r="U78" s="10">
        <v>45667</v>
      </c>
      <c r="V78" s="34" t="s">
        <v>65</v>
      </c>
      <c r="W78" s="15" t="s">
        <v>880</v>
      </c>
      <c r="X78" s="21" t="s">
        <v>887</v>
      </c>
      <c r="Y78" s="67" t="s">
        <v>68</v>
      </c>
      <c r="Z78" s="33" t="s">
        <v>887</v>
      </c>
    </row>
    <row r="79" spans="1:26">
      <c r="A79" s="31">
        <v>78</v>
      </c>
      <c r="B79" s="8" t="s">
        <v>25</v>
      </c>
      <c r="C79" s="8" t="s">
        <v>26</v>
      </c>
      <c r="D79" s="12" t="s">
        <v>32</v>
      </c>
      <c r="E79" s="12" t="s">
        <v>194</v>
      </c>
      <c r="F79" s="34" t="s">
        <v>234</v>
      </c>
      <c r="G79" s="34" t="s">
        <v>235</v>
      </c>
      <c r="H79" s="36" t="s">
        <v>236</v>
      </c>
      <c r="I79" s="12" t="s">
        <v>53</v>
      </c>
      <c r="J79" s="12" t="s">
        <v>38</v>
      </c>
      <c r="K79" s="12" t="s">
        <v>28</v>
      </c>
      <c r="L79" s="12" t="s">
        <v>28</v>
      </c>
      <c r="M79" s="12" t="s">
        <v>38</v>
      </c>
      <c r="N79" s="9">
        <v>0</v>
      </c>
      <c r="O79" s="12" t="s">
        <v>28</v>
      </c>
      <c r="P79" s="35">
        <v>0</v>
      </c>
      <c r="Q79" s="12" t="s">
        <v>28</v>
      </c>
      <c r="R79" s="35">
        <v>619300000</v>
      </c>
      <c r="S79" s="10">
        <v>42474</v>
      </c>
      <c r="T79" s="37">
        <v>0</v>
      </c>
      <c r="U79" s="10" t="s">
        <v>28</v>
      </c>
      <c r="V79" s="34" t="s">
        <v>65</v>
      </c>
      <c r="W79" s="15" t="s">
        <v>880</v>
      </c>
      <c r="X79" s="21" t="s">
        <v>887</v>
      </c>
      <c r="Y79" s="67" t="s">
        <v>68</v>
      </c>
      <c r="Z79" s="33" t="s">
        <v>887</v>
      </c>
    </row>
    <row r="80" spans="1:26">
      <c r="A80" s="31">
        <v>79</v>
      </c>
      <c r="B80" s="8" t="s">
        <v>25</v>
      </c>
      <c r="C80" s="8" t="s">
        <v>26</v>
      </c>
      <c r="D80" s="12" t="s">
        <v>32</v>
      </c>
      <c r="E80" s="12" t="s">
        <v>194</v>
      </c>
      <c r="F80" s="34" t="s">
        <v>237</v>
      </c>
      <c r="G80" s="34" t="s">
        <v>238</v>
      </c>
      <c r="H80" s="36" t="s">
        <v>239</v>
      </c>
      <c r="I80" s="12" t="s">
        <v>125</v>
      </c>
      <c r="J80" s="12" t="s">
        <v>38</v>
      </c>
      <c r="K80" s="12" t="s">
        <v>28</v>
      </c>
      <c r="L80" s="12" t="s">
        <v>28</v>
      </c>
      <c r="M80" s="12" t="s">
        <v>38</v>
      </c>
      <c r="N80" s="9">
        <v>32351000000.000004</v>
      </c>
      <c r="O80" s="10">
        <v>39800</v>
      </c>
      <c r="P80" s="35">
        <v>0</v>
      </c>
      <c r="Q80" s="12" t="s">
        <v>28</v>
      </c>
      <c r="R80" s="9">
        <v>18641000000</v>
      </c>
      <c r="S80" s="10">
        <v>42674</v>
      </c>
      <c r="T80" s="9">
        <v>39358000000</v>
      </c>
      <c r="U80" s="10">
        <v>45449</v>
      </c>
      <c r="V80" s="34" t="s">
        <v>65</v>
      </c>
      <c r="W80" s="15" t="s">
        <v>880</v>
      </c>
      <c r="X80" s="21" t="s">
        <v>887</v>
      </c>
      <c r="Y80" s="67" t="s">
        <v>68</v>
      </c>
      <c r="Z80" s="33" t="s">
        <v>887</v>
      </c>
    </row>
    <row r="81" spans="1:26">
      <c r="A81" s="31">
        <v>80</v>
      </c>
      <c r="B81" s="8" t="s">
        <v>25</v>
      </c>
      <c r="C81" s="8" t="s">
        <v>26</v>
      </c>
      <c r="D81" s="12" t="s">
        <v>32</v>
      </c>
      <c r="E81" s="12" t="s">
        <v>194</v>
      </c>
      <c r="F81" s="34" t="s">
        <v>240</v>
      </c>
      <c r="G81" s="34" t="s">
        <v>241</v>
      </c>
      <c r="H81" s="36" t="s">
        <v>242</v>
      </c>
      <c r="I81" s="12" t="s">
        <v>53</v>
      </c>
      <c r="J81" s="12" t="s">
        <v>38</v>
      </c>
      <c r="K81" s="12" t="s">
        <v>28</v>
      </c>
      <c r="L81" s="12" t="s">
        <v>28</v>
      </c>
      <c r="M81" s="12" t="s">
        <v>38</v>
      </c>
      <c r="N81" s="9">
        <v>0</v>
      </c>
      <c r="O81" s="12" t="s">
        <v>28</v>
      </c>
      <c r="P81" s="35">
        <v>0</v>
      </c>
      <c r="Q81" s="12" t="s">
        <v>28</v>
      </c>
      <c r="R81" s="35">
        <v>810999999.70000005</v>
      </c>
      <c r="S81" s="10">
        <v>43825</v>
      </c>
      <c r="T81" s="37">
        <v>0</v>
      </c>
      <c r="U81" s="10" t="s">
        <v>28</v>
      </c>
      <c r="V81" s="34" t="s">
        <v>65</v>
      </c>
      <c r="W81" s="15" t="s">
        <v>880</v>
      </c>
      <c r="X81" s="21" t="s">
        <v>887</v>
      </c>
      <c r="Y81" s="67" t="s">
        <v>68</v>
      </c>
      <c r="Z81" s="33" t="s">
        <v>887</v>
      </c>
    </row>
    <row r="82" spans="1:26">
      <c r="A82" s="31">
        <v>81</v>
      </c>
      <c r="B82" s="8" t="s">
        <v>25</v>
      </c>
      <c r="C82" s="8" t="s">
        <v>26</v>
      </c>
      <c r="D82" s="12" t="s">
        <v>32</v>
      </c>
      <c r="E82" s="12" t="s">
        <v>194</v>
      </c>
      <c r="F82" s="34" t="s">
        <v>243</v>
      </c>
      <c r="G82" s="34" t="s">
        <v>244</v>
      </c>
      <c r="H82" s="36" t="s">
        <v>245</v>
      </c>
      <c r="I82" s="12" t="s">
        <v>125</v>
      </c>
      <c r="J82" s="12" t="s">
        <v>38</v>
      </c>
      <c r="K82" s="12" t="s">
        <v>28</v>
      </c>
      <c r="L82" s="12" t="s">
        <v>28</v>
      </c>
      <c r="M82" s="12" t="s">
        <v>38</v>
      </c>
      <c r="N82" s="9">
        <v>0</v>
      </c>
      <c r="O82" s="12" t="s">
        <v>28</v>
      </c>
      <c r="P82" s="35">
        <v>0</v>
      </c>
      <c r="Q82" s="12" t="s">
        <v>28</v>
      </c>
      <c r="R82" s="35">
        <v>3175040000.0000005</v>
      </c>
      <c r="S82" s="10">
        <v>42674</v>
      </c>
      <c r="T82" s="37">
        <v>0</v>
      </c>
      <c r="U82" s="10" t="s">
        <v>28</v>
      </c>
      <c r="V82" s="34" t="s">
        <v>65</v>
      </c>
      <c r="W82" s="15" t="s">
        <v>880</v>
      </c>
      <c r="X82" s="21" t="s">
        <v>887</v>
      </c>
      <c r="Y82" s="67" t="s">
        <v>68</v>
      </c>
      <c r="Z82" s="33" t="s">
        <v>887</v>
      </c>
    </row>
    <row r="83" spans="1:26">
      <c r="A83" s="31">
        <v>82</v>
      </c>
      <c r="B83" s="8" t="s">
        <v>25</v>
      </c>
      <c r="C83" s="8" t="s">
        <v>26</v>
      </c>
      <c r="D83" s="12" t="s">
        <v>32</v>
      </c>
      <c r="E83" s="12" t="s">
        <v>194</v>
      </c>
      <c r="F83" s="34" t="s">
        <v>246</v>
      </c>
      <c r="G83" s="34" t="s">
        <v>247</v>
      </c>
      <c r="H83" s="36" t="s">
        <v>248</v>
      </c>
      <c r="I83" s="12" t="s">
        <v>118</v>
      </c>
      <c r="J83" s="12" t="s">
        <v>38</v>
      </c>
      <c r="K83" s="12" t="s">
        <v>28</v>
      </c>
      <c r="L83" s="12" t="s">
        <v>28</v>
      </c>
      <c r="M83" s="12" t="s">
        <v>38</v>
      </c>
      <c r="N83" s="9">
        <v>0</v>
      </c>
      <c r="O83" s="12" t="s">
        <v>28</v>
      </c>
      <c r="P83" s="35">
        <v>0</v>
      </c>
      <c r="Q83" s="12" t="s">
        <v>28</v>
      </c>
      <c r="R83" s="9">
        <v>7425000000</v>
      </c>
      <c r="S83" s="10">
        <v>42564</v>
      </c>
      <c r="T83" s="37">
        <v>0</v>
      </c>
      <c r="U83" s="10" t="s">
        <v>28</v>
      </c>
      <c r="V83" s="34" t="s">
        <v>65</v>
      </c>
      <c r="W83" s="15" t="s">
        <v>880</v>
      </c>
      <c r="X83" s="21" t="s">
        <v>887</v>
      </c>
      <c r="Y83" s="67" t="s">
        <v>68</v>
      </c>
      <c r="Z83" s="33" t="s">
        <v>887</v>
      </c>
    </row>
    <row r="84" spans="1:26">
      <c r="A84" s="31">
        <v>83</v>
      </c>
      <c r="B84" s="8" t="s">
        <v>25</v>
      </c>
      <c r="C84" s="8" t="s">
        <v>26</v>
      </c>
      <c r="D84" s="12" t="s">
        <v>32</v>
      </c>
      <c r="E84" s="12" t="s">
        <v>194</v>
      </c>
      <c r="F84" s="34" t="s">
        <v>249</v>
      </c>
      <c r="G84" s="34" t="s">
        <v>250</v>
      </c>
      <c r="H84" s="36" t="s">
        <v>251</v>
      </c>
      <c r="I84" s="12" t="s">
        <v>57</v>
      </c>
      <c r="J84" s="12" t="s">
        <v>38</v>
      </c>
      <c r="K84" s="12" t="s">
        <v>28</v>
      </c>
      <c r="L84" s="12" t="s">
        <v>28</v>
      </c>
      <c r="M84" s="12" t="s">
        <v>38</v>
      </c>
      <c r="N84" s="9">
        <v>0</v>
      </c>
      <c r="O84" s="12" t="s">
        <v>28</v>
      </c>
      <c r="P84" s="35">
        <v>0</v>
      </c>
      <c r="Q84" s="12" t="s">
        <v>28</v>
      </c>
      <c r="R84" s="9">
        <v>9350000000</v>
      </c>
      <c r="S84" s="10">
        <v>42761</v>
      </c>
      <c r="T84" s="37">
        <v>0</v>
      </c>
      <c r="U84" s="10" t="s">
        <v>28</v>
      </c>
      <c r="V84" s="34" t="s">
        <v>65</v>
      </c>
      <c r="W84" s="15" t="s">
        <v>880</v>
      </c>
      <c r="X84" s="21" t="s">
        <v>887</v>
      </c>
      <c r="Y84" s="67" t="s">
        <v>895</v>
      </c>
      <c r="Z84" s="33" t="s">
        <v>887</v>
      </c>
    </row>
    <row r="85" spans="1:26">
      <c r="A85" s="31">
        <v>84</v>
      </c>
      <c r="B85" s="8" t="s">
        <v>25</v>
      </c>
      <c r="C85" s="8" t="s">
        <v>26</v>
      </c>
      <c r="D85" s="12" t="s">
        <v>32</v>
      </c>
      <c r="E85" s="12" t="s">
        <v>194</v>
      </c>
      <c r="F85" s="34" t="s">
        <v>252</v>
      </c>
      <c r="G85" s="34" t="s">
        <v>253</v>
      </c>
      <c r="H85" s="36" t="s">
        <v>254</v>
      </c>
      <c r="I85" s="12" t="s">
        <v>125</v>
      </c>
      <c r="J85" s="12" t="s">
        <v>38</v>
      </c>
      <c r="K85" s="12" t="s">
        <v>28</v>
      </c>
      <c r="L85" s="12" t="s">
        <v>28</v>
      </c>
      <c r="M85" s="12" t="s">
        <v>38</v>
      </c>
      <c r="N85" s="9">
        <v>0</v>
      </c>
      <c r="O85" s="12" t="s">
        <v>28</v>
      </c>
      <c r="P85" s="9">
        <v>11730000000</v>
      </c>
      <c r="Q85" s="10">
        <v>40697</v>
      </c>
      <c r="R85" s="9">
        <v>14223000000</v>
      </c>
      <c r="S85" s="10">
        <v>42797</v>
      </c>
      <c r="T85" s="37">
        <v>0</v>
      </c>
      <c r="U85" s="10" t="s">
        <v>28</v>
      </c>
      <c r="V85" s="34" t="s">
        <v>65</v>
      </c>
      <c r="W85" s="15" t="s">
        <v>883</v>
      </c>
      <c r="X85" s="21" t="s">
        <v>887</v>
      </c>
      <c r="Y85" s="67" t="s">
        <v>68</v>
      </c>
      <c r="Z85" s="33" t="s">
        <v>887</v>
      </c>
    </row>
    <row r="86" spans="1:26">
      <c r="A86" s="31">
        <v>85</v>
      </c>
      <c r="B86" s="8" t="s">
        <v>25</v>
      </c>
      <c r="C86" s="8" t="s">
        <v>26</v>
      </c>
      <c r="D86" s="12" t="s">
        <v>32</v>
      </c>
      <c r="E86" s="12" t="s">
        <v>194</v>
      </c>
      <c r="F86" s="34" t="s">
        <v>255</v>
      </c>
      <c r="G86" s="34" t="s">
        <v>256</v>
      </c>
      <c r="H86" s="36" t="s">
        <v>257</v>
      </c>
      <c r="I86" s="12" t="s">
        <v>118</v>
      </c>
      <c r="J86" s="12" t="s">
        <v>38</v>
      </c>
      <c r="K86" s="12" t="s">
        <v>28</v>
      </c>
      <c r="L86" s="12" t="s">
        <v>28</v>
      </c>
      <c r="M86" s="12" t="s">
        <v>38</v>
      </c>
      <c r="N86" s="9">
        <v>0</v>
      </c>
      <c r="O86" s="12" t="s">
        <v>28</v>
      </c>
      <c r="P86" s="35">
        <v>0</v>
      </c>
      <c r="Q86" s="12" t="s">
        <v>28</v>
      </c>
      <c r="R86" s="35">
        <v>1042800000.0000001</v>
      </c>
      <c r="S86" s="10">
        <v>42454</v>
      </c>
      <c r="T86" s="37">
        <v>1224487000</v>
      </c>
      <c r="U86" s="10">
        <v>45476</v>
      </c>
      <c r="V86" s="34" t="s">
        <v>65</v>
      </c>
      <c r="W86" s="15" t="s">
        <v>880</v>
      </c>
      <c r="X86" s="21" t="s">
        <v>887</v>
      </c>
      <c r="Y86" s="67" t="s">
        <v>68</v>
      </c>
      <c r="Z86" s="33" t="s">
        <v>887</v>
      </c>
    </row>
    <row r="87" spans="1:26">
      <c r="A87" s="31">
        <v>86</v>
      </c>
      <c r="B87" s="8" t="s">
        <v>25</v>
      </c>
      <c r="C87" s="8" t="s">
        <v>26</v>
      </c>
      <c r="D87" s="12" t="s">
        <v>32</v>
      </c>
      <c r="E87" s="12" t="s">
        <v>194</v>
      </c>
      <c r="F87" s="34" t="s">
        <v>258</v>
      </c>
      <c r="G87" s="34" t="s">
        <v>259</v>
      </c>
      <c r="H87" s="36" t="s">
        <v>260</v>
      </c>
      <c r="I87" s="12" t="s">
        <v>125</v>
      </c>
      <c r="J87" s="12" t="s">
        <v>38</v>
      </c>
      <c r="K87" s="12" t="s">
        <v>28</v>
      </c>
      <c r="L87" s="12" t="s">
        <v>28</v>
      </c>
      <c r="M87" s="12" t="s">
        <v>38</v>
      </c>
      <c r="N87" s="9">
        <v>0</v>
      </c>
      <c r="O87" s="12" t="s">
        <v>28</v>
      </c>
      <c r="P87" s="35">
        <v>0</v>
      </c>
      <c r="Q87" s="12" t="s">
        <v>28</v>
      </c>
      <c r="R87" s="35">
        <v>314029999.80000001</v>
      </c>
      <c r="S87" s="10">
        <v>42228</v>
      </c>
      <c r="T87" s="37">
        <v>572000000</v>
      </c>
      <c r="U87" s="10">
        <v>45448</v>
      </c>
      <c r="V87" s="34" t="s">
        <v>65</v>
      </c>
      <c r="W87" s="15" t="s">
        <v>880</v>
      </c>
      <c r="X87" s="21" t="s">
        <v>887</v>
      </c>
      <c r="Y87" s="67" t="s">
        <v>68</v>
      </c>
      <c r="Z87" s="33" t="s">
        <v>887</v>
      </c>
    </row>
    <row r="88" spans="1:26">
      <c r="A88" s="31">
        <v>87</v>
      </c>
      <c r="B88" s="8" t="s">
        <v>25</v>
      </c>
      <c r="C88" s="8" t="s">
        <v>26</v>
      </c>
      <c r="D88" s="12" t="s">
        <v>32</v>
      </c>
      <c r="E88" s="12" t="s">
        <v>194</v>
      </c>
      <c r="F88" s="34" t="s">
        <v>261</v>
      </c>
      <c r="G88" s="34" t="s">
        <v>262</v>
      </c>
      <c r="H88" s="36" t="s">
        <v>263</v>
      </c>
      <c r="I88" s="12" t="s">
        <v>53</v>
      </c>
      <c r="J88" s="12" t="s">
        <v>38</v>
      </c>
      <c r="K88" s="12" t="s">
        <v>28</v>
      </c>
      <c r="L88" s="12" t="s">
        <v>28</v>
      </c>
      <c r="M88" s="12" t="s">
        <v>38</v>
      </c>
      <c r="N88" s="9">
        <v>51810000000.000008</v>
      </c>
      <c r="O88" s="10">
        <v>39925</v>
      </c>
      <c r="P88" s="9">
        <v>55473000000</v>
      </c>
      <c r="Q88" s="10">
        <v>40968</v>
      </c>
      <c r="R88" s="9">
        <v>33638000000</v>
      </c>
      <c r="S88" s="10">
        <v>42853</v>
      </c>
      <c r="T88" s="37">
        <v>0</v>
      </c>
      <c r="U88" s="10" t="s">
        <v>28</v>
      </c>
      <c r="V88" s="34" t="s">
        <v>65</v>
      </c>
      <c r="W88" s="15" t="s">
        <v>880</v>
      </c>
      <c r="X88" s="21" t="s">
        <v>887</v>
      </c>
      <c r="Y88" s="67" t="s">
        <v>68</v>
      </c>
      <c r="Z88" s="33" t="s">
        <v>887</v>
      </c>
    </row>
    <row r="89" spans="1:26">
      <c r="A89" s="31">
        <v>88</v>
      </c>
      <c r="B89" s="8" t="s">
        <v>25</v>
      </c>
      <c r="C89" s="8" t="s">
        <v>26</v>
      </c>
      <c r="D89" s="12" t="s">
        <v>32</v>
      </c>
      <c r="E89" s="12" t="s">
        <v>194</v>
      </c>
      <c r="F89" s="34" t="s">
        <v>264</v>
      </c>
      <c r="G89" s="34" t="s">
        <v>265</v>
      </c>
      <c r="H89" s="36" t="s">
        <v>266</v>
      </c>
      <c r="I89" s="12" t="s">
        <v>53</v>
      </c>
      <c r="J89" s="12" t="s">
        <v>38</v>
      </c>
      <c r="K89" s="12" t="s">
        <v>28</v>
      </c>
      <c r="L89" s="12" t="s">
        <v>28</v>
      </c>
      <c r="M89" s="12" t="s">
        <v>38</v>
      </c>
      <c r="N89" s="9">
        <v>0</v>
      </c>
      <c r="O89" s="12" t="s">
        <v>28</v>
      </c>
      <c r="P89" s="35">
        <v>0</v>
      </c>
      <c r="Q89" s="12" t="s">
        <v>28</v>
      </c>
      <c r="R89" s="35">
        <v>2095500000.0000002</v>
      </c>
      <c r="S89" s="10">
        <v>43143</v>
      </c>
      <c r="T89" s="37">
        <v>0</v>
      </c>
      <c r="U89" s="10" t="s">
        <v>28</v>
      </c>
      <c r="V89" s="34" t="s">
        <v>65</v>
      </c>
      <c r="W89" s="15" t="s">
        <v>880</v>
      </c>
      <c r="X89" s="21" t="s">
        <v>887</v>
      </c>
      <c r="Y89" s="67" t="s">
        <v>68</v>
      </c>
      <c r="Z89" s="33" t="s">
        <v>887</v>
      </c>
    </row>
    <row r="90" spans="1:26">
      <c r="A90" s="31">
        <v>89</v>
      </c>
      <c r="B90" s="8" t="s">
        <v>25</v>
      </c>
      <c r="C90" s="8" t="s">
        <v>26</v>
      </c>
      <c r="D90" s="12" t="s">
        <v>32</v>
      </c>
      <c r="E90" s="12" t="s">
        <v>194</v>
      </c>
      <c r="F90" s="34" t="s">
        <v>267</v>
      </c>
      <c r="G90" s="34" t="s">
        <v>268</v>
      </c>
      <c r="H90" s="36" t="s">
        <v>269</v>
      </c>
      <c r="I90" s="12" t="s">
        <v>43</v>
      </c>
      <c r="J90" s="12" t="s">
        <v>38</v>
      </c>
      <c r="K90" s="12" t="s">
        <v>28</v>
      </c>
      <c r="L90" s="12" t="s">
        <v>28</v>
      </c>
      <c r="M90" s="12" t="s">
        <v>38</v>
      </c>
      <c r="N90" s="9">
        <v>0</v>
      </c>
      <c r="O90" s="12" t="s">
        <v>28</v>
      </c>
      <c r="P90" s="35">
        <v>0</v>
      </c>
      <c r="Q90" s="12" t="s">
        <v>28</v>
      </c>
      <c r="R90" s="9">
        <v>12779000000</v>
      </c>
      <c r="S90" s="10">
        <v>42863</v>
      </c>
      <c r="T90" s="37">
        <v>0</v>
      </c>
      <c r="U90" s="10" t="s">
        <v>28</v>
      </c>
      <c r="V90" s="34" t="s">
        <v>65</v>
      </c>
      <c r="W90" s="15" t="s">
        <v>880</v>
      </c>
      <c r="X90" s="21" t="s">
        <v>887</v>
      </c>
      <c r="Y90" s="67" t="s">
        <v>68</v>
      </c>
      <c r="Z90" s="33" t="s">
        <v>887</v>
      </c>
    </row>
    <row r="91" spans="1:26">
      <c r="A91" s="31">
        <v>90</v>
      </c>
      <c r="B91" s="8" t="s">
        <v>25</v>
      </c>
      <c r="C91" s="8" t="s">
        <v>26</v>
      </c>
      <c r="D91" s="12" t="s">
        <v>32</v>
      </c>
      <c r="E91" s="12" t="s">
        <v>194</v>
      </c>
      <c r="F91" s="34" t="s">
        <v>270</v>
      </c>
      <c r="G91" s="34" t="s">
        <v>271</v>
      </c>
      <c r="H91" s="36" t="s">
        <v>272</v>
      </c>
      <c r="I91" s="12" t="s">
        <v>37</v>
      </c>
      <c r="J91" s="12" t="s">
        <v>38</v>
      </c>
      <c r="K91" s="12" t="s">
        <v>28</v>
      </c>
      <c r="L91" s="12" t="s">
        <v>28</v>
      </c>
      <c r="M91" s="12" t="s">
        <v>38</v>
      </c>
      <c r="N91" s="9">
        <v>0</v>
      </c>
      <c r="O91" s="12" t="s">
        <v>28</v>
      </c>
      <c r="P91" s="9">
        <v>10277125474</v>
      </c>
      <c r="Q91" s="10">
        <v>40716</v>
      </c>
      <c r="R91" s="9">
        <v>17398000000</v>
      </c>
      <c r="S91" s="10">
        <v>44230</v>
      </c>
      <c r="T91" s="37">
        <v>0</v>
      </c>
      <c r="U91" s="10" t="s">
        <v>28</v>
      </c>
      <c r="V91" s="34" t="s">
        <v>65</v>
      </c>
      <c r="W91" s="15" t="s">
        <v>882</v>
      </c>
      <c r="X91" s="21" t="s">
        <v>887</v>
      </c>
      <c r="Y91" s="67" t="s">
        <v>68</v>
      </c>
      <c r="Z91" s="33" t="s">
        <v>887</v>
      </c>
    </row>
    <row r="92" spans="1:26">
      <c r="A92" s="31">
        <v>91</v>
      </c>
      <c r="B92" s="8" t="s">
        <v>25</v>
      </c>
      <c r="C92" s="8" t="s">
        <v>26</v>
      </c>
      <c r="D92" s="12" t="s">
        <v>32</v>
      </c>
      <c r="E92" s="12" t="s">
        <v>194</v>
      </c>
      <c r="F92" s="34" t="s">
        <v>270</v>
      </c>
      <c r="G92" s="34" t="s">
        <v>271</v>
      </c>
      <c r="H92" s="36" t="s">
        <v>273</v>
      </c>
      <c r="I92" s="12" t="s">
        <v>37</v>
      </c>
      <c r="J92" s="12" t="s">
        <v>38</v>
      </c>
      <c r="K92" s="12" t="s">
        <v>28</v>
      </c>
      <c r="L92" s="12" t="s">
        <v>28</v>
      </c>
      <c r="M92" s="12" t="s">
        <v>38</v>
      </c>
      <c r="N92" s="9">
        <v>12203400000.000002</v>
      </c>
      <c r="O92" s="10">
        <v>40039</v>
      </c>
      <c r="P92" s="9">
        <v>0</v>
      </c>
      <c r="Q92" s="10" t="s">
        <v>28</v>
      </c>
      <c r="R92" s="9">
        <v>10190000000</v>
      </c>
      <c r="S92" s="10">
        <v>42853</v>
      </c>
      <c r="T92" s="37">
        <v>0</v>
      </c>
      <c r="U92" s="10" t="s">
        <v>28</v>
      </c>
      <c r="V92" s="34" t="s">
        <v>65</v>
      </c>
      <c r="W92" s="15" t="s">
        <v>882</v>
      </c>
      <c r="X92" s="21" t="s">
        <v>887</v>
      </c>
      <c r="Y92" s="67" t="s">
        <v>68</v>
      </c>
      <c r="Z92" s="33" t="s">
        <v>887</v>
      </c>
    </row>
    <row r="93" spans="1:26">
      <c r="A93" s="31">
        <v>92</v>
      </c>
      <c r="B93" s="8" t="s">
        <v>25</v>
      </c>
      <c r="C93" s="8" t="s">
        <v>26</v>
      </c>
      <c r="D93" s="12" t="s">
        <v>32</v>
      </c>
      <c r="E93" s="12" t="s">
        <v>194</v>
      </c>
      <c r="F93" s="34" t="s">
        <v>274</v>
      </c>
      <c r="G93" s="34" t="s">
        <v>275</v>
      </c>
      <c r="H93" s="36" t="s">
        <v>276</v>
      </c>
      <c r="I93" s="12" t="s">
        <v>37</v>
      </c>
      <c r="J93" s="12" t="s">
        <v>38</v>
      </c>
      <c r="K93" s="12" t="s">
        <v>28</v>
      </c>
      <c r="L93" s="12" t="s">
        <v>28</v>
      </c>
      <c r="M93" s="12" t="s">
        <v>38</v>
      </c>
      <c r="N93" s="9">
        <v>0</v>
      </c>
      <c r="O93" s="12" t="s">
        <v>28</v>
      </c>
      <c r="P93" s="35">
        <v>0</v>
      </c>
      <c r="Q93" s="12" t="s">
        <v>28</v>
      </c>
      <c r="R93" s="9">
        <v>6511000000</v>
      </c>
      <c r="S93" s="10">
        <v>43958</v>
      </c>
      <c r="T93" s="37">
        <v>0</v>
      </c>
      <c r="U93" s="10" t="s">
        <v>28</v>
      </c>
      <c r="V93" s="34" t="s">
        <v>65</v>
      </c>
      <c r="W93" s="15" t="s">
        <v>882</v>
      </c>
      <c r="X93" s="21" t="s">
        <v>887</v>
      </c>
      <c r="Y93" s="67" t="s">
        <v>896</v>
      </c>
      <c r="Z93" s="33" t="s">
        <v>887</v>
      </c>
    </row>
    <row r="94" spans="1:26">
      <c r="A94" s="31">
        <v>93</v>
      </c>
      <c r="B94" s="8" t="s">
        <v>25</v>
      </c>
      <c r="C94" s="8" t="s">
        <v>26</v>
      </c>
      <c r="D94" s="12" t="s">
        <v>32</v>
      </c>
      <c r="E94" s="12" t="s">
        <v>194</v>
      </c>
      <c r="F94" s="34" t="s">
        <v>277</v>
      </c>
      <c r="G94" s="34" t="s">
        <v>278</v>
      </c>
      <c r="H94" s="36" t="s">
        <v>279</v>
      </c>
      <c r="I94" s="12" t="s">
        <v>43</v>
      </c>
      <c r="J94" s="12" t="s">
        <v>38</v>
      </c>
      <c r="K94" s="12" t="s">
        <v>28</v>
      </c>
      <c r="L94" s="12" t="s">
        <v>28</v>
      </c>
      <c r="M94" s="12" t="s">
        <v>38</v>
      </c>
      <c r="N94" s="9">
        <v>0</v>
      </c>
      <c r="O94" s="12" t="s">
        <v>28</v>
      </c>
      <c r="P94" s="35">
        <v>0</v>
      </c>
      <c r="Q94" s="12" t="s">
        <v>28</v>
      </c>
      <c r="R94" s="35">
        <v>0</v>
      </c>
      <c r="S94" s="10" t="s">
        <v>28</v>
      </c>
      <c r="T94" s="37">
        <v>0</v>
      </c>
      <c r="U94" s="10" t="s">
        <v>28</v>
      </c>
      <c r="V94" s="34" t="s">
        <v>65</v>
      </c>
      <c r="W94" s="15" t="s">
        <v>68</v>
      </c>
      <c r="X94" s="21" t="s">
        <v>887</v>
      </c>
      <c r="Y94" s="67" t="s">
        <v>896</v>
      </c>
      <c r="Z94" s="33" t="s">
        <v>887</v>
      </c>
    </row>
    <row r="95" spans="1:26">
      <c r="A95" s="31">
        <v>94</v>
      </c>
      <c r="B95" s="8" t="s">
        <v>25</v>
      </c>
      <c r="C95" s="8" t="s">
        <v>26</v>
      </c>
      <c r="D95" s="12" t="s">
        <v>32</v>
      </c>
      <c r="E95" s="12" t="s">
        <v>194</v>
      </c>
      <c r="F95" s="34" t="s">
        <v>280</v>
      </c>
      <c r="G95" s="34" t="s">
        <v>281</v>
      </c>
      <c r="H95" s="36" t="s">
        <v>282</v>
      </c>
      <c r="I95" s="12" t="s">
        <v>118</v>
      </c>
      <c r="J95" s="12" t="s">
        <v>38</v>
      </c>
      <c r="K95" s="12" t="s">
        <v>28</v>
      </c>
      <c r="L95" s="12" t="s">
        <v>28</v>
      </c>
      <c r="M95" s="12" t="s">
        <v>38</v>
      </c>
      <c r="N95" s="9">
        <v>0</v>
      </c>
      <c r="O95" s="12" t="s">
        <v>28</v>
      </c>
      <c r="P95" s="9">
        <v>5082000000</v>
      </c>
      <c r="Q95" s="10">
        <v>40666</v>
      </c>
      <c r="R95" s="9">
        <v>6595000000</v>
      </c>
      <c r="S95" s="10">
        <v>42521</v>
      </c>
      <c r="T95" s="37">
        <v>0</v>
      </c>
      <c r="U95" s="10" t="s">
        <v>28</v>
      </c>
      <c r="V95" s="34" t="s">
        <v>65</v>
      </c>
      <c r="W95" s="15" t="s">
        <v>880</v>
      </c>
      <c r="X95" s="21" t="s">
        <v>68</v>
      </c>
      <c r="Y95" s="67" t="s">
        <v>68</v>
      </c>
      <c r="Z95" s="33" t="s">
        <v>887</v>
      </c>
    </row>
    <row r="96" spans="1:26">
      <c r="A96" s="31">
        <v>95</v>
      </c>
      <c r="B96" s="8" t="s">
        <v>25</v>
      </c>
      <c r="C96" s="8" t="s">
        <v>26</v>
      </c>
      <c r="D96" s="12" t="s">
        <v>32</v>
      </c>
      <c r="E96" s="12" t="s">
        <v>194</v>
      </c>
      <c r="F96" s="34" t="s">
        <v>283</v>
      </c>
      <c r="G96" s="34" t="s">
        <v>284</v>
      </c>
      <c r="H96" s="36" t="s">
        <v>285</v>
      </c>
      <c r="I96" s="12" t="s">
        <v>125</v>
      </c>
      <c r="J96" s="12" t="s">
        <v>38</v>
      </c>
      <c r="K96" s="12" t="s">
        <v>28</v>
      </c>
      <c r="L96" s="12" t="s">
        <v>28</v>
      </c>
      <c r="M96" s="12" t="s">
        <v>38</v>
      </c>
      <c r="N96" s="9">
        <v>10395000000</v>
      </c>
      <c r="O96" s="10">
        <v>40177</v>
      </c>
      <c r="P96" s="35">
        <v>0</v>
      </c>
      <c r="Q96" s="12" t="s">
        <v>28</v>
      </c>
      <c r="R96" s="9">
        <v>17578000000</v>
      </c>
      <c r="S96" s="10">
        <v>42717</v>
      </c>
      <c r="T96" s="9">
        <v>21230000000</v>
      </c>
      <c r="U96" s="10">
        <v>45497</v>
      </c>
      <c r="V96" s="34" t="s">
        <v>65</v>
      </c>
      <c r="W96" s="15" t="s">
        <v>880</v>
      </c>
      <c r="X96" s="21" t="s">
        <v>68</v>
      </c>
      <c r="Y96" s="67" t="s">
        <v>68</v>
      </c>
      <c r="Z96" s="33" t="s">
        <v>887</v>
      </c>
    </row>
    <row r="97" spans="1:26">
      <c r="A97" s="31">
        <v>96</v>
      </c>
      <c r="B97" s="8" t="s">
        <v>25</v>
      </c>
      <c r="C97" s="8" t="s">
        <v>26</v>
      </c>
      <c r="D97" s="12" t="s">
        <v>32</v>
      </c>
      <c r="E97" s="12" t="s">
        <v>194</v>
      </c>
      <c r="F97" s="34" t="s">
        <v>286</v>
      </c>
      <c r="G97" s="34" t="s">
        <v>287</v>
      </c>
      <c r="H97" s="36" t="s">
        <v>288</v>
      </c>
      <c r="I97" s="12" t="s">
        <v>53</v>
      </c>
      <c r="J97" s="12" t="s">
        <v>38</v>
      </c>
      <c r="K97" s="12" t="s">
        <v>28</v>
      </c>
      <c r="L97" s="12" t="s">
        <v>28</v>
      </c>
      <c r="M97" s="12" t="s">
        <v>38</v>
      </c>
      <c r="N97" s="9">
        <v>0</v>
      </c>
      <c r="O97" s="12" t="s">
        <v>28</v>
      </c>
      <c r="P97" s="35">
        <v>0</v>
      </c>
      <c r="Q97" s="12" t="s">
        <v>28</v>
      </c>
      <c r="R97" s="35">
        <v>3322000000.0000005</v>
      </c>
      <c r="S97" s="10">
        <v>42660</v>
      </c>
      <c r="T97" s="37">
        <v>0</v>
      </c>
      <c r="U97" s="10" t="s">
        <v>28</v>
      </c>
      <c r="V97" s="34" t="s">
        <v>65</v>
      </c>
      <c r="W97" s="15" t="s">
        <v>880</v>
      </c>
      <c r="X97" s="21" t="s">
        <v>68</v>
      </c>
      <c r="Y97" s="67" t="s">
        <v>68</v>
      </c>
      <c r="Z97" s="33" t="s">
        <v>887</v>
      </c>
    </row>
    <row r="98" spans="1:26">
      <c r="A98" s="31">
        <v>97</v>
      </c>
      <c r="B98" s="8" t="s">
        <v>25</v>
      </c>
      <c r="C98" s="8" t="s">
        <v>26</v>
      </c>
      <c r="D98" s="12" t="s">
        <v>32</v>
      </c>
      <c r="E98" s="12" t="s">
        <v>194</v>
      </c>
      <c r="F98" s="34" t="s">
        <v>289</v>
      </c>
      <c r="G98" s="34" t="s">
        <v>290</v>
      </c>
      <c r="H98" s="36" t="s">
        <v>291</v>
      </c>
      <c r="I98" s="12" t="s">
        <v>118</v>
      </c>
      <c r="J98" s="12" t="s">
        <v>38</v>
      </c>
      <c r="K98" s="12" t="s">
        <v>28</v>
      </c>
      <c r="L98" s="12" t="s">
        <v>28</v>
      </c>
      <c r="M98" s="12" t="s">
        <v>38</v>
      </c>
      <c r="N98" s="9">
        <v>0</v>
      </c>
      <c r="O98" s="12" t="s">
        <v>28</v>
      </c>
      <c r="P98" s="35">
        <v>0</v>
      </c>
      <c r="Q98" s="12" t="s">
        <v>28</v>
      </c>
      <c r="R98" s="35">
        <v>0</v>
      </c>
      <c r="S98" s="10" t="s">
        <v>28</v>
      </c>
      <c r="T98" s="9">
        <v>5153000000</v>
      </c>
      <c r="U98" s="10">
        <v>45539</v>
      </c>
      <c r="V98" s="34" t="s">
        <v>65</v>
      </c>
      <c r="W98" s="15" t="s">
        <v>880</v>
      </c>
      <c r="X98" s="21" t="s">
        <v>68</v>
      </c>
      <c r="Y98" s="67" t="s">
        <v>68</v>
      </c>
      <c r="Z98" s="33" t="s">
        <v>887</v>
      </c>
    </row>
    <row r="99" spans="1:26">
      <c r="A99" s="31">
        <v>98</v>
      </c>
      <c r="B99" s="8" t="s">
        <v>25</v>
      </c>
      <c r="C99" s="8" t="s">
        <v>26</v>
      </c>
      <c r="D99" s="12" t="s">
        <v>32</v>
      </c>
      <c r="E99" s="12" t="s">
        <v>194</v>
      </c>
      <c r="F99" s="34" t="s">
        <v>292</v>
      </c>
      <c r="G99" s="34" t="s">
        <v>293</v>
      </c>
      <c r="H99" s="36" t="s">
        <v>294</v>
      </c>
      <c r="I99" s="12" t="s">
        <v>57</v>
      </c>
      <c r="J99" s="12" t="s">
        <v>38</v>
      </c>
      <c r="K99" s="12" t="s">
        <v>28</v>
      </c>
      <c r="L99" s="12" t="s">
        <v>28</v>
      </c>
      <c r="M99" s="12" t="s">
        <v>38</v>
      </c>
      <c r="N99" s="9">
        <v>0</v>
      </c>
      <c r="O99" s="12" t="s">
        <v>28</v>
      </c>
      <c r="P99" s="35">
        <v>0</v>
      </c>
      <c r="Q99" s="12" t="s">
        <v>28</v>
      </c>
      <c r="R99" s="9">
        <v>14977000000</v>
      </c>
      <c r="S99" s="10">
        <v>42508</v>
      </c>
      <c r="T99" s="37">
        <v>0</v>
      </c>
      <c r="U99" s="10" t="s">
        <v>28</v>
      </c>
      <c r="V99" s="34" t="s">
        <v>295</v>
      </c>
      <c r="W99" s="15" t="s">
        <v>879</v>
      </c>
      <c r="X99" s="21" t="s">
        <v>68</v>
      </c>
      <c r="Y99" s="67" t="s">
        <v>895</v>
      </c>
      <c r="Z99" s="33" t="s">
        <v>887</v>
      </c>
    </row>
    <row r="100" spans="1:26">
      <c r="A100" s="31">
        <v>99</v>
      </c>
      <c r="B100" s="8" t="s">
        <v>25</v>
      </c>
      <c r="C100" s="8" t="s">
        <v>26</v>
      </c>
      <c r="D100" s="12" t="s">
        <v>32</v>
      </c>
      <c r="E100" s="12" t="s">
        <v>194</v>
      </c>
      <c r="F100" s="34" t="s">
        <v>296</v>
      </c>
      <c r="G100" s="34" t="s">
        <v>297</v>
      </c>
      <c r="H100" s="36" t="s">
        <v>298</v>
      </c>
      <c r="I100" s="12" t="s">
        <v>57</v>
      </c>
      <c r="J100" s="12" t="s">
        <v>38</v>
      </c>
      <c r="K100" s="12" t="s">
        <v>28</v>
      </c>
      <c r="L100" s="12" t="s">
        <v>28</v>
      </c>
      <c r="M100" s="12" t="s">
        <v>38</v>
      </c>
      <c r="N100" s="9">
        <v>0</v>
      </c>
      <c r="O100" s="12" t="s">
        <v>28</v>
      </c>
      <c r="P100" s="35">
        <v>0</v>
      </c>
      <c r="Q100" s="12" t="s">
        <v>28</v>
      </c>
      <c r="R100" s="9">
        <v>13283000000</v>
      </c>
      <c r="S100" s="10">
        <v>42486</v>
      </c>
      <c r="T100" s="37">
        <v>0</v>
      </c>
      <c r="U100" s="10" t="s">
        <v>28</v>
      </c>
      <c r="V100" s="34" t="s">
        <v>295</v>
      </c>
      <c r="W100" s="15" t="s">
        <v>879</v>
      </c>
      <c r="X100" s="21" t="s">
        <v>68</v>
      </c>
      <c r="Y100" s="67" t="s">
        <v>895</v>
      </c>
      <c r="Z100" s="33" t="s">
        <v>887</v>
      </c>
    </row>
    <row r="101" spans="1:26">
      <c r="A101" s="31">
        <v>100</v>
      </c>
      <c r="B101" s="8" t="s">
        <v>25</v>
      </c>
      <c r="C101" s="8" t="s">
        <v>26</v>
      </c>
      <c r="D101" s="12" t="s">
        <v>32</v>
      </c>
      <c r="E101" s="12" t="s">
        <v>194</v>
      </c>
      <c r="F101" s="34" t="s">
        <v>299</v>
      </c>
      <c r="G101" s="34" t="s">
        <v>300</v>
      </c>
      <c r="H101" s="36" t="s">
        <v>301</v>
      </c>
      <c r="I101" s="12" t="s">
        <v>118</v>
      </c>
      <c r="J101" s="12" t="s">
        <v>38</v>
      </c>
      <c r="K101" s="12" t="s">
        <v>28</v>
      </c>
      <c r="L101" s="12" t="s">
        <v>28</v>
      </c>
      <c r="M101" s="12" t="s">
        <v>38</v>
      </c>
      <c r="N101" s="9">
        <v>0</v>
      </c>
      <c r="O101" s="12" t="s">
        <v>28</v>
      </c>
      <c r="P101" s="35">
        <v>0</v>
      </c>
      <c r="Q101" s="12" t="s">
        <v>28</v>
      </c>
      <c r="R101" s="9">
        <v>19910000000</v>
      </c>
      <c r="S101" s="10">
        <v>42543</v>
      </c>
      <c r="T101" s="37">
        <v>0</v>
      </c>
      <c r="U101" s="10" t="s">
        <v>28</v>
      </c>
      <c r="V101" s="34" t="s">
        <v>295</v>
      </c>
      <c r="W101" s="15" t="s">
        <v>879</v>
      </c>
      <c r="X101" s="21" t="s">
        <v>68</v>
      </c>
      <c r="Y101" s="67" t="s">
        <v>68</v>
      </c>
      <c r="Z101" s="33" t="s">
        <v>887</v>
      </c>
    </row>
    <row r="102" spans="1:26">
      <c r="A102" s="31">
        <v>101</v>
      </c>
      <c r="B102" s="8" t="s">
        <v>25</v>
      </c>
      <c r="C102" s="8" t="s">
        <v>26</v>
      </c>
      <c r="D102" s="12" t="s">
        <v>32</v>
      </c>
      <c r="E102" s="12" t="s">
        <v>194</v>
      </c>
      <c r="F102" s="34" t="s">
        <v>302</v>
      </c>
      <c r="G102" s="34" t="s">
        <v>303</v>
      </c>
      <c r="H102" s="36" t="s">
        <v>304</v>
      </c>
      <c r="I102" s="12" t="s">
        <v>43</v>
      </c>
      <c r="J102" s="12" t="s">
        <v>38</v>
      </c>
      <c r="K102" s="12" t="s">
        <v>28</v>
      </c>
      <c r="L102" s="12" t="s">
        <v>28</v>
      </c>
      <c r="M102" s="12" t="s">
        <v>38</v>
      </c>
      <c r="N102" s="9">
        <v>7848500000.000001</v>
      </c>
      <c r="O102" s="10">
        <v>39899</v>
      </c>
      <c r="P102" s="35">
        <v>0</v>
      </c>
      <c r="Q102" s="12" t="s">
        <v>28</v>
      </c>
      <c r="R102" s="9">
        <v>8635000000</v>
      </c>
      <c r="S102" s="10">
        <v>42641</v>
      </c>
      <c r="T102" s="37">
        <v>0</v>
      </c>
      <c r="U102" s="10" t="s">
        <v>28</v>
      </c>
      <c r="V102" s="34" t="s">
        <v>295</v>
      </c>
      <c r="W102" s="15" t="s">
        <v>879</v>
      </c>
      <c r="X102" s="21" t="s">
        <v>68</v>
      </c>
      <c r="Y102" s="67" t="s">
        <v>68</v>
      </c>
      <c r="Z102" s="33" t="s">
        <v>887</v>
      </c>
    </row>
    <row r="103" spans="1:26">
      <c r="A103" s="31">
        <v>102</v>
      </c>
      <c r="B103" s="8" t="s">
        <v>25</v>
      </c>
      <c r="C103" s="8" t="s">
        <v>26</v>
      </c>
      <c r="D103" s="12" t="s">
        <v>32</v>
      </c>
      <c r="E103" s="12" t="s">
        <v>194</v>
      </c>
      <c r="F103" s="34" t="s">
        <v>305</v>
      </c>
      <c r="G103" s="34" t="s">
        <v>306</v>
      </c>
      <c r="H103" s="36" t="s">
        <v>307</v>
      </c>
      <c r="I103" s="12" t="s">
        <v>125</v>
      </c>
      <c r="J103" s="12" t="s">
        <v>38</v>
      </c>
      <c r="K103" s="12" t="s">
        <v>28</v>
      </c>
      <c r="L103" s="12" t="s">
        <v>28</v>
      </c>
      <c r="M103" s="12" t="s">
        <v>38</v>
      </c>
      <c r="N103" s="9">
        <v>0</v>
      </c>
      <c r="O103" s="12" t="s">
        <v>28</v>
      </c>
      <c r="P103" s="9">
        <v>5596929800</v>
      </c>
      <c r="Q103" s="10">
        <v>40743</v>
      </c>
      <c r="R103" s="9">
        <v>18260000000</v>
      </c>
      <c r="S103" s="10">
        <v>42543</v>
      </c>
      <c r="T103" s="9">
        <v>24920000000</v>
      </c>
      <c r="U103" s="10">
        <v>45322</v>
      </c>
      <c r="V103" s="34" t="s">
        <v>295</v>
      </c>
      <c r="W103" s="15" t="s">
        <v>879</v>
      </c>
      <c r="X103" s="21" t="s">
        <v>68</v>
      </c>
      <c r="Y103" s="67" t="s">
        <v>68</v>
      </c>
      <c r="Z103" s="33" t="s">
        <v>887</v>
      </c>
    </row>
    <row r="104" spans="1:26">
      <c r="A104" s="31">
        <v>103</v>
      </c>
      <c r="B104" s="8" t="s">
        <v>25</v>
      </c>
      <c r="C104" s="8" t="s">
        <v>26</v>
      </c>
      <c r="D104" s="12" t="s">
        <v>32</v>
      </c>
      <c r="E104" s="12" t="s">
        <v>194</v>
      </c>
      <c r="F104" s="34" t="s">
        <v>308</v>
      </c>
      <c r="G104" s="34" t="s">
        <v>309</v>
      </c>
      <c r="H104" s="36" t="s">
        <v>310</v>
      </c>
      <c r="I104" s="12" t="s">
        <v>43</v>
      </c>
      <c r="J104" s="12" t="s">
        <v>38</v>
      </c>
      <c r="K104" s="12" t="s">
        <v>28</v>
      </c>
      <c r="L104" s="12" t="s">
        <v>28</v>
      </c>
      <c r="M104" s="12" t="s">
        <v>38</v>
      </c>
      <c r="N104" s="9">
        <v>0</v>
      </c>
      <c r="O104" s="12" t="s">
        <v>28</v>
      </c>
      <c r="P104" s="35">
        <v>0</v>
      </c>
      <c r="Q104" s="12" t="s">
        <v>28</v>
      </c>
      <c r="R104" s="35">
        <v>4274184706.0000005</v>
      </c>
      <c r="S104" s="10">
        <v>42356</v>
      </c>
      <c r="T104" s="37">
        <v>7755550000.000001</v>
      </c>
      <c r="U104" s="10">
        <v>45629</v>
      </c>
      <c r="V104" s="34" t="s">
        <v>295</v>
      </c>
      <c r="W104" s="15" t="s">
        <v>879</v>
      </c>
      <c r="X104" s="21" t="s">
        <v>68</v>
      </c>
      <c r="Y104" s="67" t="s">
        <v>895</v>
      </c>
      <c r="Z104" s="33" t="s">
        <v>887</v>
      </c>
    </row>
    <row r="105" spans="1:26">
      <c r="A105" s="31">
        <v>104</v>
      </c>
      <c r="B105" s="8" t="s">
        <v>25</v>
      </c>
      <c r="C105" s="8" t="s">
        <v>26</v>
      </c>
      <c r="D105" s="12" t="s">
        <v>32</v>
      </c>
      <c r="E105" s="12" t="s">
        <v>194</v>
      </c>
      <c r="F105" s="34" t="s">
        <v>311</v>
      </c>
      <c r="G105" s="34" t="s">
        <v>28</v>
      </c>
      <c r="H105" s="36" t="s">
        <v>312</v>
      </c>
      <c r="I105" s="12" t="s">
        <v>53</v>
      </c>
      <c r="J105" s="12" t="s">
        <v>38</v>
      </c>
      <c r="K105" s="12" t="s">
        <v>28</v>
      </c>
      <c r="L105" s="12" t="s">
        <v>28</v>
      </c>
      <c r="M105" s="12" t="s">
        <v>38</v>
      </c>
      <c r="N105" s="9">
        <v>0</v>
      </c>
      <c r="O105" s="12" t="s">
        <v>28</v>
      </c>
      <c r="P105" s="35">
        <v>0</v>
      </c>
      <c r="Q105" s="12" t="s">
        <v>28</v>
      </c>
      <c r="R105" s="35">
        <v>0</v>
      </c>
      <c r="S105" s="10" t="s">
        <v>28</v>
      </c>
      <c r="T105" s="37">
        <v>0</v>
      </c>
      <c r="U105" s="10" t="s">
        <v>28</v>
      </c>
      <c r="V105" s="34" t="s">
        <v>295</v>
      </c>
      <c r="W105" s="15" t="s">
        <v>879</v>
      </c>
      <c r="X105" s="21" t="s">
        <v>68</v>
      </c>
      <c r="Y105" s="67" t="s">
        <v>68</v>
      </c>
      <c r="Z105" s="33" t="s">
        <v>887</v>
      </c>
    </row>
    <row r="106" spans="1:26">
      <c r="A106" s="31">
        <v>105</v>
      </c>
      <c r="B106" s="8" t="s">
        <v>25</v>
      </c>
      <c r="C106" s="8" t="s">
        <v>26</v>
      </c>
      <c r="D106" s="12" t="s">
        <v>32</v>
      </c>
      <c r="E106" s="12" t="s">
        <v>194</v>
      </c>
      <c r="F106" s="34" t="s">
        <v>313</v>
      </c>
      <c r="G106" s="34" t="s">
        <v>314</v>
      </c>
      <c r="H106" s="36" t="s">
        <v>315</v>
      </c>
      <c r="I106" s="12" t="s">
        <v>118</v>
      </c>
      <c r="J106" s="12" t="s">
        <v>38</v>
      </c>
      <c r="K106" s="12" t="s">
        <v>28</v>
      </c>
      <c r="L106" s="12" t="s">
        <v>28</v>
      </c>
      <c r="M106" s="12" t="s">
        <v>38</v>
      </c>
      <c r="N106" s="9">
        <v>0</v>
      </c>
      <c r="O106" s="12" t="s">
        <v>28</v>
      </c>
      <c r="P106" s="35">
        <v>0</v>
      </c>
      <c r="Q106" s="12" t="s">
        <v>28</v>
      </c>
      <c r="R106" s="35">
        <v>3454000000.0000005</v>
      </c>
      <c r="S106" s="10">
        <v>42571</v>
      </c>
      <c r="T106" s="37">
        <v>2949959999.8000002</v>
      </c>
      <c r="U106" s="10">
        <v>45537</v>
      </c>
      <c r="V106" s="34" t="s">
        <v>295</v>
      </c>
      <c r="W106" s="15" t="s">
        <v>879</v>
      </c>
      <c r="X106" s="21" t="s">
        <v>68</v>
      </c>
      <c r="Y106" s="67" t="s">
        <v>68</v>
      </c>
      <c r="Z106" s="33" t="s">
        <v>887</v>
      </c>
    </row>
    <row r="107" spans="1:26">
      <c r="A107" s="31">
        <v>106</v>
      </c>
      <c r="B107" s="8" t="s">
        <v>25</v>
      </c>
      <c r="C107" s="8" t="s">
        <v>26</v>
      </c>
      <c r="D107" s="12" t="s">
        <v>32</v>
      </c>
      <c r="E107" s="12" t="s">
        <v>194</v>
      </c>
      <c r="F107" s="34" t="s">
        <v>316</v>
      </c>
      <c r="G107" s="34" t="s">
        <v>317</v>
      </c>
      <c r="H107" s="36" t="s">
        <v>318</v>
      </c>
      <c r="I107" s="12" t="s">
        <v>118</v>
      </c>
      <c r="J107" s="12" t="s">
        <v>38</v>
      </c>
      <c r="K107" s="12" t="s">
        <v>28</v>
      </c>
      <c r="L107" s="12" t="s">
        <v>28</v>
      </c>
      <c r="M107" s="12" t="s">
        <v>38</v>
      </c>
      <c r="N107" s="9">
        <v>0</v>
      </c>
      <c r="O107" s="12" t="s">
        <v>28</v>
      </c>
      <c r="P107" s="35">
        <v>0</v>
      </c>
      <c r="Q107" s="12" t="s">
        <v>28</v>
      </c>
      <c r="R107" s="9">
        <v>7747000000</v>
      </c>
      <c r="S107" s="10">
        <v>43703</v>
      </c>
      <c r="T107" s="37">
        <v>0</v>
      </c>
      <c r="U107" s="10" t="s">
        <v>28</v>
      </c>
      <c r="V107" s="34" t="s">
        <v>295</v>
      </c>
      <c r="W107" s="15" t="s">
        <v>879</v>
      </c>
      <c r="X107" s="21" t="s">
        <v>68</v>
      </c>
      <c r="Y107" s="67" t="s">
        <v>68</v>
      </c>
      <c r="Z107" s="33" t="s">
        <v>887</v>
      </c>
    </row>
    <row r="108" spans="1:26">
      <c r="A108" s="31">
        <v>107</v>
      </c>
      <c r="B108" s="8" t="s">
        <v>25</v>
      </c>
      <c r="C108" s="8" t="s">
        <v>26</v>
      </c>
      <c r="D108" s="12" t="s">
        <v>32</v>
      </c>
      <c r="E108" s="12" t="s">
        <v>194</v>
      </c>
      <c r="F108" s="34" t="s">
        <v>319</v>
      </c>
      <c r="G108" s="34" t="s">
        <v>320</v>
      </c>
      <c r="H108" s="36" t="s">
        <v>321</v>
      </c>
      <c r="I108" s="12" t="s">
        <v>53</v>
      </c>
      <c r="J108" s="12" t="s">
        <v>38</v>
      </c>
      <c r="K108" s="12" t="s">
        <v>28</v>
      </c>
      <c r="L108" s="12" t="s">
        <v>28</v>
      </c>
      <c r="M108" s="12" t="s">
        <v>38</v>
      </c>
      <c r="N108" s="9">
        <v>0</v>
      </c>
      <c r="O108" s="12" t="s">
        <v>28</v>
      </c>
      <c r="P108" s="35">
        <v>193188050.00000003</v>
      </c>
      <c r="Q108" s="38">
        <v>42661</v>
      </c>
      <c r="R108" s="35">
        <v>154000000</v>
      </c>
      <c r="S108" s="10">
        <v>44243</v>
      </c>
      <c r="T108" s="37">
        <v>0</v>
      </c>
      <c r="U108" s="10" t="s">
        <v>28</v>
      </c>
      <c r="V108" s="34" t="s">
        <v>295</v>
      </c>
      <c r="W108" s="15" t="s">
        <v>879</v>
      </c>
      <c r="X108" s="21" t="s">
        <v>68</v>
      </c>
      <c r="Y108" s="67" t="s">
        <v>68</v>
      </c>
      <c r="Z108" s="33" t="s">
        <v>887</v>
      </c>
    </row>
    <row r="109" spans="1:26">
      <c r="A109" s="31">
        <v>108</v>
      </c>
      <c r="B109" s="8" t="s">
        <v>25</v>
      </c>
      <c r="C109" s="8" t="s">
        <v>26</v>
      </c>
      <c r="D109" s="12" t="s">
        <v>32</v>
      </c>
      <c r="E109" s="12" t="s">
        <v>194</v>
      </c>
      <c r="F109" s="34" t="s">
        <v>322</v>
      </c>
      <c r="G109" s="34" t="s">
        <v>323</v>
      </c>
      <c r="H109" s="36" t="s">
        <v>324</v>
      </c>
      <c r="I109" s="12" t="s">
        <v>125</v>
      </c>
      <c r="J109" s="12" t="s">
        <v>38</v>
      </c>
      <c r="K109" s="12" t="s">
        <v>28</v>
      </c>
      <c r="L109" s="12" t="s">
        <v>28</v>
      </c>
      <c r="M109" s="12" t="s">
        <v>38</v>
      </c>
      <c r="N109" s="9">
        <v>0</v>
      </c>
      <c r="O109" s="12" t="s">
        <v>28</v>
      </c>
      <c r="P109" s="9">
        <v>5487900000</v>
      </c>
      <c r="Q109" s="10">
        <v>40791</v>
      </c>
      <c r="R109" s="9">
        <v>31636000000</v>
      </c>
      <c r="S109" s="10">
        <v>43383</v>
      </c>
      <c r="T109" s="37">
        <v>0</v>
      </c>
      <c r="U109" s="10" t="s">
        <v>28</v>
      </c>
      <c r="V109" s="34" t="s">
        <v>65</v>
      </c>
      <c r="W109" s="15" t="s">
        <v>880</v>
      </c>
      <c r="X109" s="21" t="s">
        <v>68</v>
      </c>
      <c r="Y109" s="67" t="s">
        <v>68</v>
      </c>
      <c r="Z109" s="33" t="s">
        <v>887</v>
      </c>
    </row>
    <row r="110" spans="1:26">
      <c r="A110" s="31">
        <v>109</v>
      </c>
      <c r="B110" s="8" t="s">
        <v>25</v>
      </c>
      <c r="C110" s="8" t="s">
        <v>26</v>
      </c>
      <c r="D110" s="12" t="s">
        <v>32</v>
      </c>
      <c r="E110" s="12" t="s">
        <v>194</v>
      </c>
      <c r="F110" s="34" t="s">
        <v>325</v>
      </c>
      <c r="G110" s="34" t="s">
        <v>326</v>
      </c>
      <c r="H110" s="36" t="s">
        <v>327</v>
      </c>
      <c r="I110" s="12" t="s">
        <v>53</v>
      </c>
      <c r="J110" s="12" t="s">
        <v>38</v>
      </c>
      <c r="K110" s="12" t="s">
        <v>28</v>
      </c>
      <c r="L110" s="12" t="s">
        <v>28</v>
      </c>
      <c r="M110" s="12" t="s">
        <v>38</v>
      </c>
      <c r="N110" s="9">
        <v>0</v>
      </c>
      <c r="O110" s="10" t="s">
        <v>28</v>
      </c>
      <c r="P110" s="35">
        <v>0</v>
      </c>
      <c r="Q110" s="12" t="s">
        <v>28</v>
      </c>
      <c r="R110" s="35">
        <v>1670000000.9000001</v>
      </c>
      <c r="S110" s="10">
        <v>43958</v>
      </c>
      <c r="T110" s="37">
        <v>0</v>
      </c>
      <c r="U110" s="10" t="s">
        <v>28</v>
      </c>
      <c r="V110" s="34" t="s">
        <v>65</v>
      </c>
      <c r="W110" s="15" t="s">
        <v>880</v>
      </c>
      <c r="X110" s="21" t="s">
        <v>68</v>
      </c>
      <c r="Y110" s="67" t="s">
        <v>68</v>
      </c>
      <c r="Z110" s="33" t="s">
        <v>887</v>
      </c>
    </row>
    <row r="111" spans="1:26">
      <c r="A111" s="31">
        <v>110</v>
      </c>
      <c r="B111" s="8" t="s">
        <v>25</v>
      </c>
      <c r="C111" s="8" t="s">
        <v>26</v>
      </c>
      <c r="D111" s="12" t="s">
        <v>32</v>
      </c>
      <c r="E111" s="12" t="s">
        <v>194</v>
      </c>
      <c r="F111" s="34" t="s">
        <v>328</v>
      </c>
      <c r="G111" s="34" t="s">
        <v>329</v>
      </c>
      <c r="H111" s="36" t="s">
        <v>330</v>
      </c>
      <c r="I111" s="12" t="s">
        <v>57</v>
      </c>
      <c r="J111" s="12" t="s">
        <v>38</v>
      </c>
      <c r="K111" s="12" t="s">
        <v>28</v>
      </c>
      <c r="L111" s="12" t="s">
        <v>28</v>
      </c>
      <c r="M111" s="12" t="s">
        <v>38</v>
      </c>
      <c r="N111" s="9">
        <v>57468400000.000008</v>
      </c>
      <c r="O111" s="10">
        <v>40011</v>
      </c>
      <c r="P111" s="9">
        <v>37228000000</v>
      </c>
      <c r="Q111" s="10">
        <v>40962</v>
      </c>
      <c r="R111" s="9">
        <v>54373000000</v>
      </c>
      <c r="S111" s="10">
        <v>42738</v>
      </c>
      <c r="T111" s="37">
        <v>0</v>
      </c>
      <c r="U111" s="10" t="s">
        <v>28</v>
      </c>
      <c r="V111" s="34" t="s">
        <v>65</v>
      </c>
      <c r="W111" s="15" t="s">
        <v>880</v>
      </c>
      <c r="X111" s="21" t="s">
        <v>68</v>
      </c>
      <c r="Y111" s="67" t="s">
        <v>68</v>
      </c>
      <c r="Z111" s="33" t="s">
        <v>887</v>
      </c>
    </row>
    <row r="112" spans="1:26">
      <c r="A112" s="31">
        <v>111</v>
      </c>
      <c r="B112" s="8" t="s">
        <v>25</v>
      </c>
      <c r="C112" s="8" t="s">
        <v>26</v>
      </c>
      <c r="D112" s="12" t="s">
        <v>32</v>
      </c>
      <c r="E112" s="12" t="s">
        <v>194</v>
      </c>
      <c r="F112" s="34" t="s">
        <v>331</v>
      </c>
      <c r="G112" s="34" t="s">
        <v>332</v>
      </c>
      <c r="H112" s="36" t="s">
        <v>333</v>
      </c>
      <c r="I112" s="12" t="s">
        <v>53</v>
      </c>
      <c r="J112" s="12" t="s">
        <v>38</v>
      </c>
      <c r="K112" s="12" t="s">
        <v>28</v>
      </c>
      <c r="L112" s="12" t="s">
        <v>28</v>
      </c>
      <c r="M112" s="12" t="s">
        <v>38</v>
      </c>
      <c r="N112" s="9">
        <v>0</v>
      </c>
      <c r="O112" s="12" t="s">
        <v>28</v>
      </c>
      <c r="P112" s="35">
        <v>0</v>
      </c>
      <c r="Q112" s="12" t="s">
        <v>28</v>
      </c>
      <c r="R112" s="35">
        <v>2750000000</v>
      </c>
      <c r="S112" s="10">
        <v>42521</v>
      </c>
      <c r="T112" s="37">
        <v>0</v>
      </c>
      <c r="U112" s="10" t="s">
        <v>28</v>
      </c>
      <c r="V112" s="34" t="s">
        <v>65</v>
      </c>
      <c r="W112" s="15" t="s">
        <v>880</v>
      </c>
      <c r="X112" s="21" t="s">
        <v>68</v>
      </c>
      <c r="Y112" s="67" t="s">
        <v>68</v>
      </c>
      <c r="Z112" s="33" t="s">
        <v>887</v>
      </c>
    </row>
    <row r="113" spans="1:26">
      <c r="A113" s="31">
        <v>112</v>
      </c>
      <c r="B113" s="8" t="s">
        <v>25</v>
      </c>
      <c r="C113" s="8" t="s">
        <v>26</v>
      </c>
      <c r="D113" s="12" t="s">
        <v>32</v>
      </c>
      <c r="E113" s="12" t="s">
        <v>194</v>
      </c>
      <c r="F113" s="34" t="s">
        <v>334</v>
      </c>
      <c r="G113" s="34" t="s">
        <v>335</v>
      </c>
      <c r="H113" s="36" t="s">
        <v>336</v>
      </c>
      <c r="I113" s="12" t="s">
        <v>53</v>
      </c>
      <c r="J113" s="12" t="s">
        <v>38</v>
      </c>
      <c r="K113" s="12" t="s">
        <v>28</v>
      </c>
      <c r="L113" s="12" t="s">
        <v>28</v>
      </c>
      <c r="M113" s="12" t="s">
        <v>38</v>
      </c>
      <c r="N113" s="9">
        <v>0</v>
      </c>
      <c r="O113" s="12" t="s">
        <v>28</v>
      </c>
      <c r="P113" s="35">
        <v>0</v>
      </c>
      <c r="Q113" s="12" t="s">
        <v>28</v>
      </c>
      <c r="R113" s="35">
        <v>2822483672.8000002</v>
      </c>
      <c r="S113" s="10">
        <v>43238</v>
      </c>
      <c r="T113" s="37">
        <v>0</v>
      </c>
      <c r="U113" s="10" t="s">
        <v>28</v>
      </c>
      <c r="V113" s="34" t="s">
        <v>65</v>
      </c>
      <c r="W113" s="15" t="s">
        <v>880</v>
      </c>
      <c r="X113" s="21" t="s">
        <v>887</v>
      </c>
      <c r="Y113" s="67" t="s">
        <v>68</v>
      </c>
      <c r="Z113" s="33" t="s">
        <v>887</v>
      </c>
    </row>
    <row r="114" spans="1:26">
      <c r="A114" s="31">
        <v>113</v>
      </c>
      <c r="B114" s="8" t="s">
        <v>25</v>
      </c>
      <c r="C114" s="8" t="s">
        <v>26</v>
      </c>
      <c r="D114" s="12" t="s">
        <v>32</v>
      </c>
      <c r="E114" s="12" t="s">
        <v>194</v>
      </c>
      <c r="F114" s="34" t="s">
        <v>337</v>
      </c>
      <c r="G114" s="34" t="s">
        <v>338</v>
      </c>
      <c r="H114" s="36" t="s">
        <v>339</v>
      </c>
      <c r="I114" s="12" t="s">
        <v>53</v>
      </c>
      <c r="J114" s="12" t="s">
        <v>38</v>
      </c>
      <c r="K114" s="12" t="s">
        <v>28</v>
      </c>
      <c r="L114" s="12" t="s">
        <v>28</v>
      </c>
      <c r="M114" s="12" t="s">
        <v>38</v>
      </c>
      <c r="N114" s="9">
        <v>7909000000</v>
      </c>
      <c r="O114" s="10">
        <v>43588</v>
      </c>
      <c r="P114" s="35">
        <v>0</v>
      </c>
      <c r="Q114" s="12" t="s">
        <v>28</v>
      </c>
      <c r="R114" s="35">
        <v>0</v>
      </c>
      <c r="S114" s="10" t="s">
        <v>28</v>
      </c>
      <c r="T114" s="37">
        <v>0</v>
      </c>
      <c r="U114" s="10" t="s">
        <v>28</v>
      </c>
      <c r="V114" s="34" t="s">
        <v>65</v>
      </c>
      <c r="W114" s="15" t="s">
        <v>880</v>
      </c>
      <c r="X114" s="21" t="s">
        <v>887</v>
      </c>
      <c r="Y114" s="67" t="s">
        <v>68</v>
      </c>
      <c r="Z114" s="33" t="s">
        <v>887</v>
      </c>
    </row>
    <row r="115" spans="1:26">
      <c r="A115" s="31">
        <v>114</v>
      </c>
      <c r="B115" s="8" t="s">
        <v>25</v>
      </c>
      <c r="C115" s="8" t="s">
        <v>26</v>
      </c>
      <c r="D115" s="12" t="s">
        <v>32</v>
      </c>
      <c r="E115" s="12" t="s">
        <v>194</v>
      </c>
      <c r="F115" s="34" t="s">
        <v>340</v>
      </c>
      <c r="G115" s="34" t="s">
        <v>341</v>
      </c>
      <c r="H115" s="36" t="s">
        <v>342</v>
      </c>
      <c r="I115" s="12" t="s">
        <v>43</v>
      </c>
      <c r="J115" s="12" t="s">
        <v>38</v>
      </c>
      <c r="K115" s="12" t="s">
        <v>28</v>
      </c>
      <c r="L115" s="12" t="s">
        <v>28</v>
      </c>
      <c r="M115" s="12" t="s">
        <v>38</v>
      </c>
      <c r="N115" s="9">
        <v>0</v>
      </c>
      <c r="O115" s="12" t="s">
        <v>28</v>
      </c>
      <c r="P115" s="35">
        <v>0</v>
      </c>
      <c r="Q115" s="12" t="s">
        <v>28</v>
      </c>
      <c r="R115" s="35">
        <v>2111214600.0000002</v>
      </c>
      <c r="S115" s="10">
        <v>42738</v>
      </c>
      <c r="T115" s="37">
        <v>2538431500</v>
      </c>
      <c r="U115" s="10">
        <v>45447</v>
      </c>
      <c r="V115" s="34" t="s">
        <v>65</v>
      </c>
      <c r="W115" s="15" t="s">
        <v>880</v>
      </c>
      <c r="X115" s="21" t="s">
        <v>887</v>
      </c>
      <c r="Y115" s="67" t="s">
        <v>68</v>
      </c>
      <c r="Z115" s="33" t="s">
        <v>887</v>
      </c>
    </row>
    <row r="116" spans="1:26">
      <c r="A116" s="31">
        <v>115</v>
      </c>
      <c r="B116" s="8" t="s">
        <v>25</v>
      </c>
      <c r="C116" s="8" t="s">
        <v>26</v>
      </c>
      <c r="D116" s="12" t="s">
        <v>32</v>
      </c>
      <c r="E116" s="12" t="s">
        <v>194</v>
      </c>
      <c r="F116" s="34" t="s">
        <v>343</v>
      </c>
      <c r="G116" s="34" t="s">
        <v>28</v>
      </c>
      <c r="H116" s="36" t="s">
        <v>344</v>
      </c>
      <c r="I116" s="12" t="s">
        <v>125</v>
      </c>
      <c r="J116" s="12" t="s">
        <v>28</v>
      </c>
      <c r="K116" s="12" t="s">
        <v>28</v>
      </c>
      <c r="L116" s="12" t="s">
        <v>38</v>
      </c>
      <c r="M116" s="12" t="s">
        <v>38</v>
      </c>
      <c r="N116" s="9">
        <v>0</v>
      </c>
      <c r="O116" s="12" t="s">
        <v>28</v>
      </c>
      <c r="P116" s="35">
        <v>0</v>
      </c>
      <c r="Q116" s="12" t="s">
        <v>28</v>
      </c>
      <c r="R116" s="35">
        <v>0</v>
      </c>
      <c r="S116" s="10" t="s">
        <v>28</v>
      </c>
      <c r="T116" s="37">
        <v>0</v>
      </c>
      <c r="U116" s="10" t="s">
        <v>28</v>
      </c>
      <c r="V116" s="11" t="s">
        <v>68</v>
      </c>
      <c r="W116" s="15" t="s">
        <v>68</v>
      </c>
      <c r="X116" s="21" t="s">
        <v>887</v>
      </c>
      <c r="Y116" s="67" t="s">
        <v>68</v>
      </c>
      <c r="Z116" s="33" t="s">
        <v>887</v>
      </c>
    </row>
    <row r="117" spans="1:26">
      <c r="A117" s="31">
        <v>116</v>
      </c>
      <c r="B117" s="8" t="s">
        <v>25</v>
      </c>
      <c r="C117" s="8" t="s">
        <v>26</v>
      </c>
      <c r="D117" s="12" t="s">
        <v>32</v>
      </c>
      <c r="E117" s="12" t="s">
        <v>194</v>
      </c>
      <c r="F117" s="34" t="s">
        <v>345</v>
      </c>
      <c r="G117" s="34" t="s">
        <v>28</v>
      </c>
      <c r="H117" s="36" t="s">
        <v>346</v>
      </c>
      <c r="I117" s="12" t="s">
        <v>53</v>
      </c>
      <c r="J117" s="12" t="s">
        <v>28</v>
      </c>
      <c r="K117" s="12" t="s">
        <v>28</v>
      </c>
      <c r="L117" s="12" t="s">
        <v>38</v>
      </c>
      <c r="M117" s="12" t="s">
        <v>38</v>
      </c>
      <c r="N117" s="9">
        <v>0</v>
      </c>
      <c r="O117" s="12" t="s">
        <v>28</v>
      </c>
      <c r="P117" s="35">
        <v>0</v>
      </c>
      <c r="Q117" s="12" t="s">
        <v>28</v>
      </c>
      <c r="R117" s="35">
        <v>0</v>
      </c>
      <c r="S117" s="10" t="s">
        <v>28</v>
      </c>
      <c r="T117" s="37">
        <v>0</v>
      </c>
      <c r="U117" s="10" t="s">
        <v>28</v>
      </c>
      <c r="V117" s="11" t="s">
        <v>68</v>
      </c>
      <c r="W117" s="15" t="s">
        <v>68</v>
      </c>
      <c r="X117" s="21" t="s">
        <v>887</v>
      </c>
      <c r="Y117" s="67" t="s">
        <v>68</v>
      </c>
      <c r="Z117" s="33" t="s">
        <v>887</v>
      </c>
    </row>
    <row r="118" spans="1:26">
      <c r="A118" s="31">
        <v>117</v>
      </c>
      <c r="B118" s="8" t="s">
        <v>25</v>
      </c>
      <c r="C118" s="8" t="s">
        <v>26</v>
      </c>
      <c r="D118" s="12" t="s">
        <v>32</v>
      </c>
      <c r="E118" s="12" t="s">
        <v>194</v>
      </c>
      <c r="F118" s="34" t="s">
        <v>347</v>
      </c>
      <c r="G118" s="34" t="s">
        <v>28</v>
      </c>
      <c r="H118" s="36" t="s">
        <v>348</v>
      </c>
      <c r="I118" s="12" t="s">
        <v>43</v>
      </c>
      <c r="J118" s="12" t="s">
        <v>28</v>
      </c>
      <c r="K118" s="12" t="s">
        <v>28</v>
      </c>
      <c r="L118" s="12" t="s">
        <v>38</v>
      </c>
      <c r="M118" s="12" t="s">
        <v>38</v>
      </c>
      <c r="N118" s="9">
        <v>0</v>
      </c>
      <c r="O118" s="12" t="s">
        <v>28</v>
      </c>
      <c r="P118" s="35">
        <v>0</v>
      </c>
      <c r="Q118" s="12" t="s">
        <v>28</v>
      </c>
      <c r="R118" s="35">
        <v>0</v>
      </c>
      <c r="S118" s="10" t="s">
        <v>28</v>
      </c>
      <c r="T118" s="37">
        <v>0</v>
      </c>
      <c r="U118" s="10" t="s">
        <v>28</v>
      </c>
      <c r="V118" s="11" t="s">
        <v>349</v>
      </c>
      <c r="W118" s="15" t="s">
        <v>68</v>
      </c>
      <c r="X118" s="21" t="s">
        <v>887</v>
      </c>
      <c r="Y118" s="67" t="s">
        <v>68</v>
      </c>
      <c r="Z118" s="33" t="s">
        <v>887</v>
      </c>
    </row>
    <row r="119" spans="1:26">
      <c r="A119" s="31">
        <v>118</v>
      </c>
      <c r="B119" s="8" t="s">
        <v>25</v>
      </c>
      <c r="C119" s="8" t="s">
        <v>26</v>
      </c>
      <c r="D119" s="12" t="s">
        <v>32</v>
      </c>
      <c r="E119" s="12" t="s">
        <v>194</v>
      </c>
      <c r="F119" s="34" t="s">
        <v>350</v>
      </c>
      <c r="G119" s="34" t="s">
        <v>28</v>
      </c>
      <c r="H119" s="36" t="s">
        <v>351</v>
      </c>
      <c r="I119" s="12" t="s">
        <v>118</v>
      </c>
      <c r="J119" s="12" t="s">
        <v>28</v>
      </c>
      <c r="K119" s="12" t="s">
        <v>28</v>
      </c>
      <c r="L119" s="12" t="s">
        <v>38</v>
      </c>
      <c r="M119" s="12" t="s">
        <v>38</v>
      </c>
      <c r="N119" s="9">
        <v>0</v>
      </c>
      <c r="O119" s="12" t="s">
        <v>28</v>
      </c>
      <c r="P119" s="35">
        <v>0</v>
      </c>
      <c r="Q119" s="12" t="s">
        <v>28</v>
      </c>
      <c r="R119" s="35">
        <v>0</v>
      </c>
      <c r="S119" s="10" t="s">
        <v>28</v>
      </c>
      <c r="T119" s="37">
        <v>0</v>
      </c>
      <c r="U119" s="10" t="s">
        <v>28</v>
      </c>
      <c r="V119" s="11" t="s">
        <v>68</v>
      </c>
      <c r="W119" s="15" t="s">
        <v>68</v>
      </c>
      <c r="X119" s="21" t="s">
        <v>887</v>
      </c>
      <c r="Y119" s="67" t="s">
        <v>68</v>
      </c>
      <c r="Z119" s="33" t="s">
        <v>887</v>
      </c>
    </row>
    <row r="120" spans="1:26">
      <c r="A120" s="31">
        <v>119</v>
      </c>
      <c r="B120" s="8" t="s">
        <v>25</v>
      </c>
      <c r="C120" s="8" t="s">
        <v>26</v>
      </c>
      <c r="D120" s="12" t="s">
        <v>32</v>
      </c>
      <c r="E120" s="12" t="s">
        <v>194</v>
      </c>
      <c r="F120" s="34" t="s">
        <v>352</v>
      </c>
      <c r="G120" s="34" t="s">
        <v>353</v>
      </c>
      <c r="H120" s="36" t="s">
        <v>354</v>
      </c>
      <c r="I120" s="12" t="s">
        <v>37</v>
      </c>
      <c r="J120" s="12" t="s">
        <v>38</v>
      </c>
      <c r="K120" s="12" t="s">
        <v>28</v>
      </c>
      <c r="L120" s="12" t="s">
        <v>28</v>
      </c>
      <c r="M120" s="12" t="s">
        <v>38</v>
      </c>
      <c r="N120" s="9">
        <v>0</v>
      </c>
      <c r="O120" s="12" t="s">
        <v>28</v>
      </c>
      <c r="P120" s="35">
        <v>0</v>
      </c>
      <c r="Q120" s="12" t="s">
        <v>28</v>
      </c>
      <c r="R120" s="35">
        <v>0</v>
      </c>
      <c r="S120" s="10" t="s">
        <v>28</v>
      </c>
      <c r="T120" s="9">
        <v>11814000000</v>
      </c>
      <c r="U120" s="10">
        <v>45545</v>
      </c>
      <c r="V120" s="34" t="s">
        <v>205</v>
      </c>
      <c r="W120" s="15" t="s">
        <v>884</v>
      </c>
      <c r="X120" s="21" t="s">
        <v>887</v>
      </c>
      <c r="Y120" s="67" t="s">
        <v>68</v>
      </c>
      <c r="Z120" s="33" t="s">
        <v>887</v>
      </c>
    </row>
    <row r="121" spans="1:26">
      <c r="A121" s="31">
        <v>120</v>
      </c>
      <c r="B121" s="8" t="s">
        <v>25</v>
      </c>
      <c r="C121" s="8" t="s">
        <v>26</v>
      </c>
      <c r="D121" s="12" t="s">
        <v>32</v>
      </c>
      <c r="E121" s="12" t="s">
        <v>194</v>
      </c>
      <c r="F121" s="34" t="s">
        <v>355</v>
      </c>
      <c r="G121" s="34" t="s">
        <v>356</v>
      </c>
      <c r="H121" s="36" t="s">
        <v>357</v>
      </c>
      <c r="I121" s="12" t="s">
        <v>53</v>
      </c>
      <c r="J121" s="12" t="s">
        <v>38</v>
      </c>
      <c r="K121" s="12" t="s">
        <v>28</v>
      </c>
      <c r="L121" s="12" t="s">
        <v>28</v>
      </c>
      <c r="M121" s="12" t="s">
        <v>38</v>
      </c>
      <c r="N121" s="9">
        <v>0</v>
      </c>
      <c r="O121" s="12" t="s">
        <v>28</v>
      </c>
      <c r="P121" s="35">
        <v>0</v>
      </c>
      <c r="Q121" s="12" t="s">
        <v>28</v>
      </c>
      <c r="R121" s="9">
        <v>5411000000</v>
      </c>
      <c r="S121" s="10">
        <v>45154</v>
      </c>
      <c r="T121" s="37">
        <v>0</v>
      </c>
      <c r="U121" s="10" t="s">
        <v>28</v>
      </c>
      <c r="V121" s="34" t="s">
        <v>65</v>
      </c>
      <c r="W121" s="15" t="s">
        <v>880</v>
      </c>
      <c r="X121" s="21" t="s">
        <v>887</v>
      </c>
      <c r="Y121" s="67" t="s">
        <v>68</v>
      </c>
      <c r="Z121" s="33" t="s">
        <v>887</v>
      </c>
    </row>
    <row r="122" spans="1:26">
      <c r="A122" s="31">
        <v>121</v>
      </c>
      <c r="B122" s="8" t="s">
        <v>25</v>
      </c>
      <c r="C122" s="8" t="s">
        <v>26</v>
      </c>
      <c r="D122" s="12" t="s">
        <v>32</v>
      </c>
      <c r="E122" s="12" t="s">
        <v>194</v>
      </c>
      <c r="F122" s="34" t="s">
        <v>358</v>
      </c>
      <c r="G122" s="34" t="s">
        <v>359</v>
      </c>
      <c r="H122" s="36" t="s">
        <v>360</v>
      </c>
      <c r="I122" s="12" t="s">
        <v>37</v>
      </c>
      <c r="J122" s="12" t="s">
        <v>38</v>
      </c>
      <c r="K122" s="12" t="s">
        <v>28</v>
      </c>
      <c r="L122" s="12" t="s">
        <v>28</v>
      </c>
      <c r="M122" s="12" t="s">
        <v>38</v>
      </c>
      <c r="N122" s="9">
        <v>0</v>
      </c>
      <c r="O122" s="12" t="s">
        <v>28</v>
      </c>
      <c r="P122" s="35">
        <v>0</v>
      </c>
      <c r="Q122" s="12" t="s">
        <v>28</v>
      </c>
      <c r="R122" s="35">
        <v>0</v>
      </c>
      <c r="S122" s="10" t="s">
        <v>28</v>
      </c>
      <c r="T122" s="9">
        <v>8072000000</v>
      </c>
      <c r="U122" s="10">
        <v>45440</v>
      </c>
      <c r="V122" s="34" t="s">
        <v>65</v>
      </c>
      <c r="W122" s="15" t="s">
        <v>880</v>
      </c>
      <c r="X122" s="21" t="s">
        <v>887</v>
      </c>
      <c r="Y122" s="67" t="s">
        <v>897</v>
      </c>
      <c r="Z122" s="33" t="s">
        <v>887</v>
      </c>
    </row>
    <row r="123" spans="1:26">
      <c r="A123" s="31">
        <v>122</v>
      </c>
      <c r="B123" s="8" t="s">
        <v>25</v>
      </c>
      <c r="C123" s="8" t="s">
        <v>26</v>
      </c>
      <c r="D123" s="12" t="s">
        <v>32</v>
      </c>
      <c r="E123" s="12" t="s">
        <v>194</v>
      </c>
      <c r="F123" s="34" t="s">
        <v>361</v>
      </c>
      <c r="G123" s="34" t="s">
        <v>362</v>
      </c>
      <c r="H123" s="36" t="s">
        <v>363</v>
      </c>
      <c r="I123" s="12" t="s">
        <v>37</v>
      </c>
      <c r="J123" s="12" t="s">
        <v>38</v>
      </c>
      <c r="K123" s="12" t="s">
        <v>28</v>
      </c>
      <c r="L123" s="12" t="s">
        <v>28</v>
      </c>
      <c r="M123" s="12" t="s">
        <v>38</v>
      </c>
      <c r="N123" s="9">
        <v>0</v>
      </c>
      <c r="O123" s="12" t="s">
        <v>28</v>
      </c>
      <c r="P123" s="35">
        <v>0</v>
      </c>
      <c r="Q123" s="12" t="s">
        <v>28</v>
      </c>
      <c r="R123" s="35">
        <v>3685000000.0000005</v>
      </c>
      <c r="S123" s="10">
        <v>42481</v>
      </c>
      <c r="T123" s="37">
        <v>0</v>
      </c>
      <c r="U123" s="10" t="s">
        <v>28</v>
      </c>
      <c r="V123" s="34" t="s">
        <v>65</v>
      </c>
      <c r="W123" s="15" t="s">
        <v>880</v>
      </c>
      <c r="X123" s="21" t="s">
        <v>887</v>
      </c>
      <c r="Y123" s="67" t="s">
        <v>68</v>
      </c>
      <c r="Z123" s="33" t="s">
        <v>887</v>
      </c>
    </row>
    <row r="124" spans="1:26">
      <c r="A124" s="31">
        <v>123</v>
      </c>
      <c r="B124" s="8" t="s">
        <v>25</v>
      </c>
      <c r="C124" s="8" t="s">
        <v>26</v>
      </c>
      <c r="D124" s="12" t="s">
        <v>32</v>
      </c>
      <c r="E124" s="12" t="s">
        <v>194</v>
      </c>
      <c r="F124" s="34" t="s">
        <v>364</v>
      </c>
      <c r="G124" s="34" t="s">
        <v>365</v>
      </c>
      <c r="H124" s="36" t="s">
        <v>366</v>
      </c>
      <c r="I124" s="12" t="s">
        <v>37</v>
      </c>
      <c r="J124" s="12" t="s">
        <v>38</v>
      </c>
      <c r="K124" s="12" t="s">
        <v>28</v>
      </c>
      <c r="L124" s="12" t="s">
        <v>28</v>
      </c>
      <c r="M124" s="12" t="s">
        <v>38</v>
      </c>
      <c r="N124" s="9">
        <v>0</v>
      </c>
      <c r="O124" s="12" t="s">
        <v>28</v>
      </c>
      <c r="P124" s="35">
        <v>0</v>
      </c>
      <c r="Q124" s="12" t="s">
        <v>28</v>
      </c>
      <c r="R124" s="9">
        <v>5545000000</v>
      </c>
      <c r="S124" s="10">
        <v>42279</v>
      </c>
      <c r="T124" s="9">
        <v>7307000000</v>
      </c>
      <c r="U124" s="10">
        <v>45462</v>
      </c>
      <c r="V124" s="34" t="s">
        <v>65</v>
      </c>
      <c r="W124" s="15" t="s">
        <v>880</v>
      </c>
      <c r="X124" s="21" t="s">
        <v>887</v>
      </c>
      <c r="Y124" s="67" t="s">
        <v>895</v>
      </c>
      <c r="Z124" s="33" t="s">
        <v>887</v>
      </c>
    </row>
    <row r="125" spans="1:26">
      <c r="A125" s="31">
        <v>124</v>
      </c>
      <c r="B125" s="8" t="s">
        <v>25</v>
      </c>
      <c r="C125" s="8" t="s">
        <v>26</v>
      </c>
      <c r="D125" s="12" t="s">
        <v>32</v>
      </c>
      <c r="E125" s="12" t="s">
        <v>194</v>
      </c>
      <c r="F125" s="34" t="s">
        <v>367</v>
      </c>
      <c r="G125" s="34" t="s">
        <v>368</v>
      </c>
      <c r="H125" s="36" t="s">
        <v>369</v>
      </c>
      <c r="I125" s="12" t="s">
        <v>37</v>
      </c>
      <c r="J125" s="12" t="s">
        <v>38</v>
      </c>
      <c r="K125" s="12" t="s">
        <v>28</v>
      </c>
      <c r="L125" s="12" t="s">
        <v>28</v>
      </c>
      <c r="M125" s="12" t="s">
        <v>38</v>
      </c>
      <c r="N125" s="9">
        <v>0</v>
      </c>
      <c r="O125" s="12" t="s">
        <v>28</v>
      </c>
      <c r="P125" s="35">
        <v>0</v>
      </c>
      <c r="Q125" s="12" t="s">
        <v>28</v>
      </c>
      <c r="R125" s="35">
        <v>2479999992.8000002</v>
      </c>
      <c r="S125" s="10">
        <v>42716</v>
      </c>
      <c r="T125" s="37">
        <v>3251523999.9000001</v>
      </c>
      <c r="U125" s="10">
        <v>45450</v>
      </c>
      <c r="V125" s="34" t="s">
        <v>65</v>
      </c>
      <c r="W125" s="15" t="s">
        <v>880</v>
      </c>
      <c r="X125" s="21" t="s">
        <v>887</v>
      </c>
      <c r="Y125" s="67" t="s">
        <v>895</v>
      </c>
      <c r="Z125" s="33" t="s">
        <v>887</v>
      </c>
    </row>
    <row r="126" spans="1:26">
      <c r="A126" s="31">
        <v>125</v>
      </c>
      <c r="B126" s="8" t="s">
        <v>25</v>
      </c>
      <c r="C126" s="8" t="s">
        <v>26</v>
      </c>
      <c r="D126" s="12" t="s">
        <v>32</v>
      </c>
      <c r="E126" s="12" t="s">
        <v>194</v>
      </c>
      <c r="F126" s="34" t="s">
        <v>370</v>
      </c>
      <c r="G126" s="34" t="s">
        <v>371</v>
      </c>
      <c r="H126" s="36" t="s">
        <v>372</v>
      </c>
      <c r="I126" s="12" t="s">
        <v>37</v>
      </c>
      <c r="J126" s="12" t="s">
        <v>38</v>
      </c>
      <c r="K126" s="12" t="s">
        <v>28</v>
      </c>
      <c r="L126" s="12" t="s">
        <v>28</v>
      </c>
      <c r="M126" s="12" t="s">
        <v>38</v>
      </c>
      <c r="N126" s="9">
        <v>6588752170.000001</v>
      </c>
      <c r="O126" s="10">
        <v>40274</v>
      </c>
      <c r="P126" s="35">
        <v>0</v>
      </c>
      <c r="Q126" s="12" t="s">
        <v>28</v>
      </c>
      <c r="R126" s="9">
        <v>11300000000</v>
      </c>
      <c r="S126" s="10">
        <v>42702</v>
      </c>
      <c r="T126" s="37">
        <v>0</v>
      </c>
      <c r="U126" s="10" t="s">
        <v>28</v>
      </c>
      <c r="V126" s="34" t="s">
        <v>65</v>
      </c>
      <c r="W126" s="15" t="s">
        <v>880</v>
      </c>
      <c r="X126" s="21" t="s">
        <v>887</v>
      </c>
      <c r="Y126" s="67" t="s">
        <v>68</v>
      </c>
      <c r="Z126" s="33" t="s">
        <v>887</v>
      </c>
    </row>
    <row r="127" spans="1:26">
      <c r="A127" s="31">
        <v>126</v>
      </c>
      <c r="B127" s="8" t="s">
        <v>25</v>
      </c>
      <c r="C127" s="8" t="s">
        <v>26</v>
      </c>
      <c r="D127" s="12" t="s">
        <v>32</v>
      </c>
      <c r="E127" s="12" t="s">
        <v>194</v>
      </c>
      <c r="F127" s="34" t="s">
        <v>373</v>
      </c>
      <c r="G127" s="34" t="s">
        <v>374</v>
      </c>
      <c r="H127" s="36" t="s">
        <v>375</v>
      </c>
      <c r="I127" s="12" t="s">
        <v>125</v>
      </c>
      <c r="J127" s="12" t="s">
        <v>38</v>
      </c>
      <c r="K127" s="12" t="s">
        <v>28</v>
      </c>
      <c r="L127" s="12" t="s">
        <v>28</v>
      </c>
      <c r="M127" s="12" t="s">
        <v>38</v>
      </c>
      <c r="N127" s="9">
        <v>0</v>
      </c>
      <c r="O127" s="12" t="s">
        <v>28</v>
      </c>
      <c r="P127" s="35">
        <v>0</v>
      </c>
      <c r="Q127" s="12" t="s">
        <v>28</v>
      </c>
      <c r="R127" s="35">
        <v>0</v>
      </c>
      <c r="S127" s="10" t="s">
        <v>28</v>
      </c>
      <c r="T127" s="9">
        <v>6223000000</v>
      </c>
      <c r="U127" s="10">
        <v>45497</v>
      </c>
      <c r="V127" s="34" t="s">
        <v>65</v>
      </c>
      <c r="W127" s="15" t="s">
        <v>880</v>
      </c>
      <c r="X127" s="21" t="s">
        <v>887</v>
      </c>
      <c r="Y127" s="67" t="s">
        <v>68</v>
      </c>
      <c r="Z127" s="33" t="s">
        <v>887</v>
      </c>
    </row>
    <row r="128" spans="1:26">
      <c r="A128" s="31">
        <v>127</v>
      </c>
      <c r="B128" s="8" t="s">
        <v>25</v>
      </c>
      <c r="C128" s="8" t="s">
        <v>26</v>
      </c>
      <c r="D128" s="12" t="s">
        <v>32</v>
      </c>
      <c r="E128" s="12" t="s">
        <v>194</v>
      </c>
      <c r="F128" s="34" t="s">
        <v>376</v>
      </c>
      <c r="G128" s="34" t="s">
        <v>377</v>
      </c>
      <c r="H128" s="36" t="s">
        <v>378</v>
      </c>
      <c r="I128" s="12" t="s">
        <v>125</v>
      </c>
      <c r="J128" s="12" t="s">
        <v>38</v>
      </c>
      <c r="K128" s="12" t="s">
        <v>28</v>
      </c>
      <c r="L128" s="12" t="s">
        <v>28</v>
      </c>
      <c r="M128" s="12" t="s">
        <v>38</v>
      </c>
      <c r="N128" s="9">
        <v>0</v>
      </c>
      <c r="O128" s="12" t="s">
        <v>28</v>
      </c>
      <c r="P128" s="35">
        <v>0</v>
      </c>
      <c r="Q128" s="12" t="s">
        <v>28</v>
      </c>
      <c r="R128" s="35">
        <v>0</v>
      </c>
      <c r="S128" s="10" t="s">
        <v>28</v>
      </c>
      <c r="T128" s="37">
        <v>4752000000</v>
      </c>
      <c r="U128" s="10">
        <v>45362</v>
      </c>
      <c r="V128" s="34" t="s">
        <v>65</v>
      </c>
      <c r="W128" s="15" t="s">
        <v>880</v>
      </c>
      <c r="X128" s="21" t="s">
        <v>887</v>
      </c>
      <c r="Y128" s="67" t="s">
        <v>68</v>
      </c>
      <c r="Z128" s="33" t="s">
        <v>887</v>
      </c>
    </row>
    <row r="129" spans="1:26">
      <c r="A129" s="31">
        <v>128</v>
      </c>
      <c r="B129" s="8" t="s">
        <v>25</v>
      </c>
      <c r="C129" s="8" t="s">
        <v>26</v>
      </c>
      <c r="D129" s="12" t="s">
        <v>32</v>
      </c>
      <c r="E129" s="12" t="s">
        <v>194</v>
      </c>
      <c r="F129" s="34" t="s">
        <v>379</v>
      </c>
      <c r="G129" s="34" t="s">
        <v>380</v>
      </c>
      <c r="H129" s="36" t="s">
        <v>381</v>
      </c>
      <c r="I129" s="12" t="s">
        <v>125</v>
      </c>
      <c r="J129" s="12" t="s">
        <v>38</v>
      </c>
      <c r="K129" s="12" t="s">
        <v>28</v>
      </c>
      <c r="L129" s="12" t="s">
        <v>28</v>
      </c>
      <c r="M129" s="12" t="s">
        <v>38</v>
      </c>
      <c r="N129" s="9">
        <v>0</v>
      </c>
      <c r="O129" s="12" t="s">
        <v>28</v>
      </c>
      <c r="P129" s="35">
        <v>0</v>
      </c>
      <c r="Q129" s="12" t="s">
        <v>28</v>
      </c>
      <c r="R129" s="35">
        <v>2985000000.4000001</v>
      </c>
      <c r="S129" s="10">
        <v>43223</v>
      </c>
      <c r="T129" s="37">
        <v>3974000000.3000002</v>
      </c>
      <c r="U129" s="10">
        <v>45282</v>
      </c>
      <c r="V129" s="34" t="s">
        <v>65</v>
      </c>
      <c r="W129" s="15" t="s">
        <v>880</v>
      </c>
      <c r="X129" s="21" t="s">
        <v>887</v>
      </c>
      <c r="Y129" s="67" t="s">
        <v>68</v>
      </c>
      <c r="Z129" s="33" t="s">
        <v>887</v>
      </c>
    </row>
    <row r="130" spans="1:26">
      <c r="A130" s="31">
        <v>129</v>
      </c>
      <c r="B130" s="8" t="s">
        <v>25</v>
      </c>
      <c r="C130" s="8" t="s">
        <v>26</v>
      </c>
      <c r="D130" s="12" t="s">
        <v>32</v>
      </c>
      <c r="E130" s="12" t="s">
        <v>194</v>
      </c>
      <c r="F130" s="34" t="s">
        <v>382</v>
      </c>
      <c r="G130" s="34" t="s">
        <v>383</v>
      </c>
      <c r="H130" s="36" t="s">
        <v>384</v>
      </c>
      <c r="I130" s="12" t="s">
        <v>118</v>
      </c>
      <c r="J130" s="12" t="s">
        <v>38</v>
      </c>
      <c r="K130" s="12" t="s">
        <v>28</v>
      </c>
      <c r="L130" s="12" t="s">
        <v>28</v>
      </c>
      <c r="M130" s="12" t="s">
        <v>38</v>
      </c>
      <c r="N130" s="9">
        <v>0</v>
      </c>
      <c r="O130" s="12" t="s">
        <v>28</v>
      </c>
      <c r="P130" s="35">
        <v>3503133315</v>
      </c>
      <c r="Q130" s="38">
        <v>41368</v>
      </c>
      <c r="R130" s="35">
        <v>0</v>
      </c>
      <c r="S130" s="10" t="s">
        <v>28</v>
      </c>
      <c r="T130" s="37">
        <v>0</v>
      </c>
      <c r="U130" s="10" t="s">
        <v>28</v>
      </c>
      <c r="V130" s="34" t="s">
        <v>65</v>
      </c>
      <c r="W130" s="15" t="s">
        <v>880</v>
      </c>
      <c r="X130" s="21" t="s">
        <v>887</v>
      </c>
      <c r="Y130" s="67" t="s">
        <v>68</v>
      </c>
      <c r="Z130" s="33" t="s">
        <v>887</v>
      </c>
    </row>
    <row r="131" spans="1:26">
      <c r="A131" s="31">
        <v>130</v>
      </c>
      <c r="B131" s="8" t="s">
        <v>25</v>
      </c>
      <c r="C131" s="8" t="s">
        <v>26</v>
      </c>
      <c r="D131" s="12" t="s">
        <v>32</v>
      </c>
      <c r="E131" s="12" t="s">
        <v>194</v>
      </c>
      <c r="F131" s="34" t="s">
        <v>385</v>
      </c>
      <c r="G131" s="34" t="s">
        <v>386</v>
      </c>
      <c r="H131" s="36" t="s">
        <v>387</v>
      </c>
      <c r="I131" s="12" t="s">
        <v>125</v>
      </c>
      <c r="J131" s="12" t="s">
        <v>38</v>
      </c>
      <c r="K131" s="12" t="s">
        <v>28</v>
      </c>
      <c r="L131" s="12" t="s">
        <v>28</v>
      </c>
      <c r="M131" s="12" t="s">
        <v>38</v>
      </c>
      <c r="N131" s="9">
        <v>0</v>
      </c>
      <c r="O131" s="12" t="s">
        <v>28</v>
      </c>
      <c r="P131" s="35">
        <v>0</v>
      </c>
      <c r="Q131" s="12" t="s">
        <v>28</v>
      </c>
      <c r="R131" s="35">
        <v>289300000</v>
      </c>
      <c r="S131" s="10">
        <v>42345</v>
      </c>
      <c r="T131" s="37">
        <v>426360000.00000006</v>
      </c>
      <c r="U131" s="10">
        <v>45405</v>
      </c>
      <c r="V131" s="34" t="s">
        <v>65</v>
      </c>
      <c r="W131" s="15" t="s">
        <v>880</v>
      </c>
      <c r="X131" s="21" t="s">
        <v>887</v>
      </c>
      <c r="Y131" s="67" t="s">
        <v>68</v>
      </c>
      <c r="Z131" s="33" t="s">
        <v>887</v>
      </c>
    </row>
    <row r="132" spans="1:26">
      <c r="A132" s="31">
        <v>131</v>
      </c>
      <c r="B132" s="8" t="s">
        <v>25</v>
      </c>
      <c r="C132" s="8" t="s">
        <v>26</v>
      </c>
      <c r="D132" s="12" t="s">
        <v>32</v>
      </c>
      <c r="E132" s="12" t="s">
        <v>194</v>
      </c>
      <c r="F132" s="34" t="s">
        <v>388</v>
      </c>
      <c r="G132" s="34" t="s">
        <v>389</v>
      </c>
      <c r="H132" s="36" t="s">
        <v>390</v>
      </c>
      <c r="I132" s="12" t="s">
        <v>118</v>
      </c>
      <c r="J132" s="12" t="s">
        <v>38</v>
      </c>
      <c r="K132" s="12" t="s">
        <v>28</v>
      </c>
      <c r="L132" s="12" t="s">
        <v>28</v>
      </c>
      <c r="M132" s="12" t="s">
        <v>38</v>
      </c>
      <c r="N132" s="9">
        <v>0</v>
      </c>
      <c r="O132" s="12" t="s">
        <v>28</v>
      </c>
      <c r="P132" s="35">
        <v>2214375600</v>
      </c>
      <c r="Q132" s="38">
        <v>41235</v>
      </c>
      <c r="R132" s="35">
        <v>0</v>
      </c>
      <c r="S132" s="10" t="s">
        <v>28</v>
      </c>
      <c r="T132" s="37">
        <v>0</v>
      </c>
      <c r="U132" s="10" t="s">
        <v>28</v>
      </c>
      <c r="V132" s="34" t="s">
        <v>65</v>
      </c>
      <c r="W132" s="15" t="s">
        <v>880</v>
      </c>
      <c r="X132" s="21" t="s">
        <v>887</v>
      </c>
      <c r="Y132" s="67" t="s">
        <v>68</v>
      </c>
      <c r="Z132" s="33" t="s">
        <v>887</v>
      </c>
    </row>
    <row r="133" spans="1:26">
      <c r="A133" s="31">
        <v>132</v>
      </c>
      <c r="B133" s="8" t="s">
        <v>25</v>
      </c>
      <c r="C133" s="8" t="s">
        <v>26</v>
      </c>
      <c r="D133" s="12" t="s">
        <v>32</v>
      </c>
      <c r="E133" s="12" t="s">
        <v>194</v>
      </c>
      <c r="F133" s="34" t="s">
        <v>391</v>
      </c>
      <c r="G133" s="34" t="s">
        <v>392</v>
      </c>
      <c r="H133" s="36" t="s">
        <v>393</v>
      </c>
      <c r="I133" s="12" t="s">
        <v>53</v>
      </c>
      <c r="J133" s="12" t="s">
        <v>38</v>
      </c>
      <c r="K133" s="12" t="s">
        <v>28</v>
      </c>
      <c r="L133" s="12" t="s">
        <v>28</v>
      </c>
      <c r="M133" s="12" t="s">
        <v>38</v>
      </c>
      <c r="N133" s="9">
        <v>0</v>
      </c>
      <c r="O133" s="12" t="s">
        <v>28</v>
      </c>
      <c r="P133" s="35">
        <v>0</v>
      </c>
      <c r="Q133" s="12" t="s">
        <v>28</v>
      </c>
      <c r="R133" s="35">
        <v>0</v>
      </c>
      <c r="S133" s="10" t="s">
        <v>28</v>
      </c>
      <c r="T133" s="37">
        <v>0</v>
      </c>
      <c r="U133" s="10" t="s">
        <v>28</v>
      </c>
      <c r="V133" s="34" t="s">
        <v>68</v>
      </c>
      <c r="W133" s="15" t="s">
        <v>68</v>
      </c>
      <c r="X133" s="21" t="s">
        <v>887</v>
      </c>
      <c r="Y133" s="67" t="s">
        <v>68</v>
      </c>
      <c r="Z133" s="33" t="s">
        <v>887</v>
      </c>
    </row>
    <row r="134" spans="1:26">
      <c r="A134" s="31">
        <v>133</v>
      </c>
      <c r="B134" s="8" t="s">
        <v>25</v>
      </c>
      <c r="C134" s="8" t="s">
        <v>26</v>
      </c>
      <c r="D134" s="12" t="s">
        <v>32</v>
      </c>
      <c r="E134" s="12" t="s">
        <v>194</v>
      </c>
      <c r="F134" s="34" t="s">
        <v>394</v>
      </c>
      <c r="G134" s="34" t="s">
        <v>395</v>
      </c>
      <c r="H134" s="36" t="s">
        <v>396</v>
      </c>
      <c r="I134" s="12" t="s">
        <v>37</v>
      </c>
      <c r="J134" s="12" t="s">
        <v>38</v>
      </c>
      <c r="K134" s="12" t="s">
        <v>28</v>
      </c>
      <c r="L134" s="12" t="s">
        <v>28</v>
      </c>
      <c r="M134" s="12" t="s">
        <v>38</v>
      </c>
      <c r="N134" s="9">
        <v>0</v>
      </c>
      <c r="O134" s="12" t="s">
        <v>28</v>
      </c>
      <c r="P134" s="35">
        <v>0</v>
      </c>
      <c r="Q134" s="12" t="s">
        <v>28</v>
      </c>
      <c r="R134" s="35">
        <v>1270935600</v>
      </c>
      <c r="S134" s="10">
        <v>42794</v>
      </c>
      <c r="T134" s="37">
        <v>1407846000</v>
      </c>
      <c r="U134" s="10">
        <v>45615</v>
      </c>
      <c r="V134" s="34" t="s">
        <v>65</v>
      </c>
      <c r="W134" s="15" t="s">
        <v>880</v>
      </c>
      <c r="X134" s="21" t="s">
        <v>887</v>
      </c>
      <c r="Y134" s="67" t="s">
        <v>68</v>
      </c>
      <c r="Z134" s="33" t="s">
        <v>887</v>
      </c>
    </row>
    <row r="135" spans="1:26">
      <c r="A135" s="31">
        <v>134</v>
      </c>
      <c r="B135" s="8" t="s">
        <v>25</v>
      </c>
      <c r="C135" s="8" t="s">
        <v>26</v>
      </c>
      <c r="D135" s="12" t="s">
        <v>32</v>
      </c>
      <c r="E135" s="12" t="s">
        <v>194</v>
      </c>
      <c r="F135" s="34" t="s">
        <v>397</v>
      </c>
      <c r="G135" s="34" t="s">
        <v>398</v>
      </c>
      <c r="H135" s="36" t="s">
        <v>399</v>
      </c>
      <c r="I135" s="12" t="s">
        <v>53</v>
      </c>
      <c r="J135" s="12" t="s">
        <v>38</v>
      </c>
      <c r="K135" s="12" t="s">
        <v>28</v>
      </c>
      <c r="L135" s="12" t="s">
        <v>28</v>
      </c>
      <c r="M135" s="12" t="s">
        <v>38</v>
      </c>
      <c r="N135" s="9">
        <v>0</v>
      </c>
      <c r="O135" s="12" t="s">
        <v>28</v>
      </c>
      <c r="P135" s="35">
        <v>0</v>
      </c>
      <c r="Q135" s="12" t="s">
        <v>28</v>
      </c>
      <c r="R135" s="35">
        <v>0</v>
      </c>
      <c r="S135" s="10" t="s">
        <v>28</v>
      </c>
      <c r="T135" s="37">
        <v>0</v>
      </c>
      <c r="U135" s="10" t="s">
        <v>28</v>
      </c>
      <c r="V135" s="34" t="s">
        <v>68</v>
      </c>
      <c r="W135" s="15" t="s">
        <v>68</v>
      </c>
      <c r="X135" s="21" t="s">
        <v>887</v>
      </c>
      <c r="Y135" s="67" t="s">
        <v>68</v>
      </c>
      <c r="Z135" s="33" t="s">
        <v>887</v>
      </c>
    </row>
    <row r="136" spans="1:26">
      <c r="A136" s="31">
        <v>135</v>
      </c>
      <c r="B136" s="8" t="s">
        <v>25</v>
      </c>
      <c r="C136" s="8" t="s">
        <v>26</v>
      </c>
      <c r="D136" s="12" t="s">
        <v>32</v>
      </c>
      <c r="E136" s="12" t="s">
        <v>194</v>
      </c>
      <c r="F136" s="34" t="s">
        <v>400</v>
      </c>
      <c r="G136" s="34" t="s">
        <v>401</v>
      </c>
      <c r="H136" s="36" t="s">
        <v>402</v>
      </c>
      <c r="I136" s="12" t="s">
        <v>118</v>
      </c>
      <c r="J136" s="12" t="s">
        <v>38</v>
      </c>
      <c r="K136" s="12" t="s">
        <v>28</v>
      </c>
      <c r="L136" s="12" t="s">
        <v>28</v>
      </c>
      <c r="M136" s="12" t="s">
        <v>38</v>
      </c>
      <c r="N136" s="9">
        <v>0</v>
      </c>
      <c r="O136" s="12" t="s">
        <v>28</v>
      </c>
      <c r="P136" s="35">
        <v>0</v>
      </c>
      <c r="Q136" s="12" t="s">
        <v>28</v>
      </c>
      <c r="R136" s="35">
        <v>968000000.00000012</v>
      </c>
      <c r="S136" s="10">
        <v>42387</v>
      </c>
      <c r="T136" s="37">
        <v>2063930000.0000002</v>
      </c>
      <c r="U136" s="10">
        <v>45447</v>
      </c>
      <c r="V136" s="34" t="s">
        <v>65</v>
      </c>
      <c r="W136" s="15" t="s">
        <v>880</v>
      </c>
      <c r="X136" s="21" t="s">
        <v>887</v>
      </c>
      <c r="Y136" s="67" t="s">
        <v>68</v>
      </c>
      <c r="Z136" s="33" t="s">
        <v>887</v>
      </c>
    </row>
    <row r="137" spans="1:26">
      <c r="A137" s="31">
        <v>136</v>
      </c>
      <c r="B137" s="8" t="s">
        <v>25</v>
      </c>
      <c r="C137" s="8" t="s">
        <v>26</v>
      </c>
      <c r="D137" s="12" t="s">
        <v>32</v>
      </c>
      <c r="E137" s="12" t="s">
        <v>194</v>
      </c>
      <c r="F137" s="34" t="s">
        <v>403</v>
      </c>
      <c r="G137" s="34" t="s">
        <v>404</v>
      </c>
      <c r="H137" s="36" t="s">
        <v>405</v>
      </c>
      <c r="I137" s="12" t="s">
        <v>53</v>
      </c>
      <c r="J137" s="12" t="s">
        <v>38</v>
      </c>
      <c r="K137" s="12" t="s">
        <v>28</v>
      </c>
      <c r="L137" s="12" t="s">
        <v>28</v>
      </c>
      <c r="M137" s="12" t="s">
        <v>38</v>
      </c>
      <c r="N137" s="9">
        <v>0</v>
      </c>
      <c r="O137" s="12" t="s">
        <v>28</v>
      </c>
      <c r="P137" s="35">
        <v>0</v>
      </c>
      <c r="Q137" s="12" t="s">
        <v>28</v>
      </c>
      <c r="R137" s="35">
        <v>1038000000.4000001</v>
      </c>
      <c r="S137" s="10">
        <v>44266</v>
      </c>
      <c r="T137" s="37">
        <v>0</v>
      </c>
      <c r="U137" s="10" t="s">
        <v>28</v>
      </c>
      <c r="V137" s="34" t="s">
        <v>65</v>
      </c>
      <c r="W137" s="15" t="s">
        <v>880</v>
      </c>
      <c r="X137" s="21" t="s">
        <v>887</v>
      </c>
      <c r="Y137" s="67" t="s">
        <v>68</v>
      </c>
      <c r="Z137" s="33" t="s">
        <v>887</v>
      </c>
    </row>
    <row r="138" spans="1:26">
      <c r="A138" s="31">
        <v>137</v>
      </c>
      <c r="B138" s="8" t="s">
        <v>25</v>
      </c>
      <c r="C138" s="8" t="s">
        <v>26</v>
      </c>
      <c r="D138" s="12" t="s">
        <v>32</v>
      </c>
      <c r="E138" s="12" t="s">
        <v>194</v>
      </c>
      <c r="F138" s="34" t="s">
        <v>406</v>
      </c>
      <c r="G138" s="34" t="s">
        <v>407</v>
      </c>
      <c r="H138" s="36" t="s">
        <v>408</v>
      </c>
      <c r="I138" s="12" t="s">
        <v>57</v>
      </c>
      <c r="J138" s="12" t="s">
        <v>38</v>
      </c>
      <c r="K138" s="12" t="s">
        <v>28</v>
      </c>
      <c r="L138" s="12" t="s">
        <v>28</v>
      </c>
      <c r="M138" s="12" t="s">
        <v>38</v>
      </c>
      <c r="N138" s="9">
        <v>0</v>
      </c>
      <c r="O138" s="12" t="s">
        <v>28</v>
      </c>
      <c r="P138" s="35">
        <v>0</v>
      </c>
      <c r="Q138" s="12" t="s">
        <v>28</v>
      </c>
      <c r="R138" s="35">
        <v>1082000000.4000001</v>
      </c>
      <c r="S138" s="10">
        <v>42845</v>
      </c>
      <c r="T138" s="37">
        <v>1544400000.0000002</v>
      </c>
      <c r="U138" s="10">
        <v>45358</v>
      </c>
      <c r="V138" s="34" t="s">
        <v>65</v>
      </c>
      <c r="W138" s="15" t="s">
        <v>880</v>
      </c>
      <c r="X138" s="21" t="s">
        <v>887</v>
      </c>
      <c r="Y138" s="67" t="s">
        <v>68</v>
      </c>
      <c r="Z138" s="33" t="s">
        <v>887</v>
      </c>
    </row>
    <row r="139" spans="1:26">
      <c r="A139" s="31">
        <v>138</v>
      </c>
      <c r="B139" s="8" t="s">
        <v>25</v>
      </c>
      <c r="C139" s="8" t="s">
        <v>26</v>
      </c>
      <c r="D139" s="12" t="s">
        <v>32</v>
      </c>
      <c r="E139" s="12" t="s">
        <v>194</v>
      </c>
      <c r="F139" s="34" t="s">
        <v>409</v>
      </c>
      <c r="G139" s="34" t="s">
        <v>410</v>
      </c>
      <c r="H139" s="36" t="s">
        <v>411</v>
      </c>
      <c r="I139" s="12" t="s">
        <v>57</v>
      </c>
      <c r="J139" s="12" t="s">
        <v>38</v>
      </c>
      <c r="K139" s="12" t="s">
        <v>28</v>
      </c>
      <c r="L139" s="12" t="s">
        <v>28</v>
      </c>
      <c r="M139" s="12" t="s">
        <v>38</v>
      </c>
      <c r="N139" s="9">
        <v>0</v>
      </c>
      <c r="O139" s="12" t="s">
        <v>28</v>
      </c>
      <c r="P139" s="35">
        <v>0</v>
      </c>
      <c r="Q139" s="12" t="s">
        <v>28</v>
      </c>
      <c r="R139" s="35">
        <v>2123000000.0000002</v>
      </c>
      <c r="S139" s="10">
        <v>42448</v>
      </c>
      <c r="T139" s="13" t="s">
        <v>412</v>
      </c>
      <c r="U139" s="40">
        <v>42448</v>
      </c>
      <c r="V139" s="34" t="s">
        <v>65</v>
      </c>
      <c r="W139" s="15" t="s">
        <v>880</v>
      </c>
      <c r="X139" s="21" t="s">
        <v>887</v>
      </c>
      <c r="Y139" s="67" t="s">
        <v>68</v>
      </c>
      <c r="Z139" s="33" t="s">
        <v>887</v>
      </c>
    </row>
    <row r="140" spans="1:26">
      <c r="A140" s="31">
        <v>139</v>
      </c>
      <c r="B140" s="8" t="s">
        <v>25</v>
      </c>
      <c r="C140" s="8" t="s">
        <v>26</v>
      </c>
      <c r="D140" s="12" t="s">
        <v>32</v>
      </c>
      <c r="E140" s="12" t="s">
        <v>194</v>
      </c>
      <c r="F140" s="34" t="s">
        <v>413</v>
      </c>
      <c r="G140" s="34" t="s">
        <v>414</v>
      </c>
      <c r="H140" s="36" t="s">
        <v>415</v>
      </c>
      <c r="I140" s="12" t="s">
        <v>191</v>
      </c>
      <c r="J140" s="12" t="s">
        <v>38</v>
      </c>
      <c r="K140" s="12" t="s">
        <v>28</v>
      </c>
      <c r="L140" s="12" t="s">
        <v>28</v>
      </c>
      <c r="M140" s="12" t="s">
        <v>38</v>
      </c>
      <c r="N140" s="9">
        <v>0</v>
      </c>
      <c r="O140" s="12" t="s">
        <v>28</v>
      </c>
      <c r="P140" s="9">
        <v>8180267429</v>
      </c>
      <c r="Q140" s="10">
        <v>40667</v>
      </c>
      <c r="R140" s="9">
        <v>19107000000</v>
      </c>
      <c r="S140" s="10">
        <v>43159</v>
      </c>
      <c r="T140" s="9">
        <v>32134000000</v>
      </c>
      <c r="U140" s="10">
        <v>45513</v>
      </c>
      <c r="V140" s="34" t="s">
        <v>65</v>
      </c>
      <c r="W140" s="15" t="s">
        <v>880</v>
      </c>
      <c r="X140" s="21" t="s">
        <v>887</v>
      </c>
      <c r="Y140" s="67" t="s">
        <v>68</v>
      </c>
      <c r="Z140" s="33" t="s">
        <v>887</v>
      </c>
    </row>
    <row r="141" spans="1:26">
      <c r="A141" s="31">
        <v>140</v>
      </c>
      <c r="B141" s="8" t="s">
        <v>25</v>
      </c>
      <c r="C141" s="8" t="s">
        <v>26</v>
      </c>
      <c r="D141" s="12" t="s">
        <v>32</v>
      </c>
      <c r="E141" s="12" t="s">
        <v>194</v>
      </c>
      <c r="F141" s="34" t="s">
        <v>416</v>
      </c>
      <c r="G141" s="34" t="s">
        <v>417</v>
      </c>
      <c r="H141" s="36" t="s">
        <v>418</v>
      </c>
      <c r="I141" s="12" t="s">
        <v>125</v>
      </c>
      <c r="J141" s="12" t="s">
        <v>38</v>
      </c>
      <c r="K141" s="12" t="s">
        <v>28</v>
      </c>
      <c r="L141" s="12" t="s">
        <v>28</v>
      </c>
      <c r="M141" s="12" t="s">
        <v>38</v>
      </c>
      <c r="N141" s="9">
        <v>0</v>
      </c>
      <c r="O141" s="12" t="s">
        <v>28</v>
      </c>
      <c r="P141" s="35">
        <v>598000000.4000001</v>
      </c>
      <c r="Q141" s="38">
        <v>42074</v>
      </c>
      <c r="R141" s="35">
        <v>198880264.00000003</v>
      </c>
      <c r="S141" s="10">
        <v>43621</v>
      </c>
      <c r="T141" s="37">
        <v>0</v>
      </c>
      <c r="U141" s="10" t="s">
        <v>28</v>
      </c>
      <c r="V141" s="34" t="s">
        <v>65</v>
      </c>
      <c r="W141" s="15" t="s">
        <v>880</v>
      </c>
      <c r="X141" s="21" t="s">
        <v>887</v>
      </c>
      <c r="Y141" s="67" t="s">
        <v>68</v>
      </c>
      <c r="Z141" s="33" t="s">
        <v>887</v>
      </c>
    </row>
    <row r="142" spans="1:26">
      <c r="A142" s="31">
        <v>141</v>
      </c>
      <c r="B142" s="8" t="s">
        <v>25</v>
      </c>
      <c r="C142" s="8" t="s">
        <v>26</v>
      </c>
      <c r="D142" s="12" t="s">
        <v>32</v>
      </c>
      <c r="E142" s="12" t="s">
        <v>194</v>
      </c>
      <c r="F142" s="34" t="s">
        <v>419</v>
      </c>
      <c r="G142" s="34" t="s">
        <v>420</v>
      </c>
      <c r="H142" s="36" t="s">
        <v>421</v>
      </c>
      <c r="I142" s="12" t="s">
        <v>125</v>
      </c>
      <c r="J142" s="12" t="s">
        <v>38</v>
      </c>
      <c r="K142" s="12" t="s">
        <v>28</v>
      </c>
      <c r="L142" s="12" t="s">
        <v>28</v>
      </c>
      <c r="M142" s="12" t="s">
        <v>38</v>
      </c>
      <c r="N142" s="9">
        <v>0</v>
      </c>
      <c r="O142" s="12" t="s">
        <v>28</v>
      </c>
      <c r="P142" s="35">
        <v>0</v>
      </c>
      <c r="Q142" s="12" t="s">
        <v>28</v>
      </c>
      <c r="R142" s="35">
        <v>434830000.00000006</v>
      </c>
      <c r="S142" s="10">
        <v>42544</v>
      </c>
      <c r="T142" s="37">
        <v>0</v>
      </c>
      <c r="U142" s="10" t="s">
        <v>28</v>
      </c>
      <c r="V142" s="34" t="s">
        <v>65</v>
      </c>
      <c r="W142" s="15" t="s">
        <v>880</v>
      </c>
      <c r="X142" s="21" t="s">
        <v>887</v>
      </c>
      <c r="Y142" s="67" t="s">
        <v>68</v>
      </c>
      <c r="Z142" s="33" t="s">
        <v>887</v>
      </c>
    </row>
    <row r="143" spans="1:26">
      <c r="A143" s="31">
        <v>142</v>
      </c>
      <c r="B143" s="8" t="s">
        <v>25</v>
      </c>
      <c r="C143" s="8" t="s">
        <v>26</v>
      </c>
      <c r="D143" s="12" t="s">
        <v>32</v>
      </c>
      <c r="E143" s="12" t="s">
        <v>194</v>
      </c>
      <c r="F143" s="34" t="s">
        <v>422</v>
      </c>
      <c r="G143" s="34" t="s">
        <v>423</v>
      </c>
      <c r="H143" s="36" t="s">
        <v>424</v>
      </c>
      <c r="I143" s="12" t="s">
        <v>43</v>
      </c>
      <c r="J143" s="12" t="s">
        <v>38</v>
      </c>
      <c r="K143" s="12" t="s">
        <v>28</v>
      </c>
      <c r="L143" s="12" t="s">
        <v>28</v>
      </c>
      <c r="M143" s="12" t="s">
        <v>38</v>
      </c>
      <c r="N143" s="9">
        <v>0</v>
      </c>
      <c r="O143" s="12" t="s">
        <v>28</v>
      </c>
      <c r="P143" s="35">
        <v>0</v>
      </c>
      <c r="Q143" s="12" t="s">
        <v>28</v>
      </c>
      <c r="R143" s="35">
        <v>1368400000</v>
      </c>
      <c r="S143" s="10">
        <v>42381</v>
      </c>
      <c r="T143" s="37">
        <v>0</v>
      </c>
      <c r="U143" s="10" t="s">
        <v>28</v>
      </c>
      <c r="V143" s="34" t="s">
        <v>65</v>
      </c>
      <c r="W143" s="15" t="s">
        <v>880</v>
      </c>
      <c r="X143" s="21" t="s">
        <v>887</v>
      </c>
      <c r="Y143" s="67" t="s">
        <v>68</v>
      </c>
      <c r="Z143" s="33" t="s">
        <v>887</v>
      </c>
    </row>
    <row r="144" spans="1:26">
      <c r="A144" s="31">
        <v>143</v>
      </c>
      <c r="B144" s="8" t="s">
        <v>25</v>
      </c>
      <c r="C144" s="8" t="s">
        <v>26</v>
      </c>
      <c r="D144" s="12" t="s">
        <v>32</v>
      </c>
      <c r="E144" s="12" t="s">
        <v>194</v>
      </c>
      <c r="F144" s="34" t="s">
        <v>425</v>
      </c>
      <c r="G144" s="34" t="s">
        <v>426</v>
      </c>
      <c r="H144" s="36" t="s">
        <v>427</v>
      </c>
      <c r="I144" s="12" t="s">
        <v>37</v>
      </c>
      <c r="J144" s="12" t="s">
        <v>38</v>
      </c>
      <c r="K144" s="12" t="s">
        <v>28</v>
      </c>
      <c r="L144" s="12" t="s">
        <v>28</v>
      </c>
      <c r="M144" s="12" t="s">
        <v>38</v>
      </c>
      <c r="N144" s="9">
        <v>0</v>
      </c>
      <c r="O144" s="12" t="s">
        <v>28</v>
      </c>
      <c r="P144" s="35">
        <v>0</v>
      </c>
      <c r="Q144" s="12" t="s">
        <v>28</v>
      </c>
      <c r="R144" s="35">
        <v>3465013200.0000005</v>
      </c>
      <c r="S144" s="10">
        <v>43293</v>
      </c>
      <c r="T144" s="37">
        <v>0</v>
      </c>
      <c r="U144" s="10" t="s">
        <v>28</v>
      </c>
      <c r="V144" s="34" t="s">
        <v>65</v>
      </c>
      <c r="W144" s="15" t="s">
        <v>882</v>
      </c>
      <c r="X144" s="21" t="s">
        <v>887</v>
      </c>
      <c r="Y144" s="67" t="s">
        <v>895</v>
      </c>
      <c r="Z144" s="33" t="s">
        <v>887</v>
      </c>
    </row>
    <row r="145" spans="1:26">
      <c r="A145" s="31">
        <v>144</v>
      </c>
      <c r="B145" s="8" t="s">
        <v>25</v>
      </c>
      <c r="C145" s="8" t="s">
        <v>26</v>
      </c>
      <c r="D145" s="12" t="s">
        <v>32</v>
      </c>
      <c r="E145" s="12" t="s">
        <v>428</v>
      </c>
      <c r="F145" s="34" t="s">
        <v>429</v>
      </c>
      <c r="G145" s="34" t="s">
        <v>430</v>
      </c>
      <c r="H145" s="36" t="s">
        <v>431</v>
      </c>
      <c r="I145" s="12" t="s">
        <v>37</v>
      </c>
      <c r="J145" s="12" t="s">
        <v>38</v>
      </c>
      <c r="K145" s="12" t="s">
        <v>28</v>
      </c>
      <c r="L145" s="12" t="s">
        <v>28</v>
      </c>
      <c r="M145" s="12" t="s">
        <v>432</v>
      </c>
      <c r="N145" s="9">
        <v>33885500000.000004</v>
      </c>
      <c r="O145" s="10">
        <v>39759</v>
      </c>
      <c r="P145" s="9">
        <v>30458539430</v>
      </c>
      <c r="Q145" s="10">
        <v>40750</v>
      </c>
      <c r="R145" s="9">
        <v>31476000000</v>
      </c>
      <c r="S145" s="10">
        <v>42460</v>
      </c>
      <c r="T145" s="37">
        <v>0</v>
      </c>
      <c r="U145" s="10" t="s">
        <v>28</v>
      </c>
      <c r="V145" s="34" t="s">
        <v>79</v>
      </c>
      <c r="W145" s="15" t="s">
        <v>882</v>
      </c>
      <c r="X145" s="21" t="s">
        <v>887</v>
      </c>
      <c r="Y145" s="67" t="s">
        <v>894</v>
      </c>
      <c r="Z145" s="33" t="s">
        <v>887</v>
      </c>
    </row>
    <row r="146" spans="1:26">
      <c r="A146" s="31">
        <v>145</v>
      </c>
      <c r="B146" s="8" t="s">
        <v>25</v>
      </c>
      <c r="C146" s="8" t="s">
        <v>26</v>
      </c>
      <c r="D146" s="12" t="s">
        <v>32</v>
      </c>
      <c r="E146" s="12" t="s">
        <v>428</v>
      </c>
      <c r="F146" s="34" t="s">
        <v>433</v>
      </c>
      <c r="G146" s="34" t="s">
        <v>434</v>
      </c>
      <c r="H146" s="36" t="s">
        <v>435</v>
      </c>
      <c r="I146" s="12" t="s">
        <v>125</v>
      </c>
      <c r="J146" s="12" t="s">
        <v>38</v>
      </c>
      <c r="K146" s="12" t="s">
        <v>28</v>
      </c>
      <c r="L146" s="12" t="s">
        <v>28</v>
      </c>
      <c r="M146" s="12" t="s">
        <v>38</v>
      </c>
      <c r="N146" s="9">
        <v>22876700000</v>
      </c>
      <c r="O146" s="10">
        <v>39770</v>
      </c>
      <c r="P146" s="9">
        <v>19129122804</v>
      </c>
      <c r="Q146" s="10">
        <v>40780</v>
      </c>
      <c r="R146" s="9">
        <v>16489000000</v>
      </c>
      <c r="S146" s="10">
        <v>42416</v>
      </c>
      <c r="T146" s="37">
        <v>0</v>
      </c>
      <c r="U146" s="10" t="s">
        <v>28</v>
      </c>
      <c r="V146" s="34" t="s">
        <v>79</v>
      </c>
      <c r="W146" s="64" t="s">
        <v>883</v>
      </c>
      <c r="X146" s="21" t="s">
        <v>887</v>
      </c>
      <c r="Y146" s="67" t="s">
        <v>68</v>
      </c>
      <c r="Z146" s="33" t="s">
        <v>887</v>
      </c>
    </row>
    <row r="147" spans="1:26">
      <c r="A147" s="31">
        <v>146</v>
      </c>
      <c r="B147" s="8" t="s">
        <v>25</v>
      </c>
      <c r="C147" s="8" t="s">
        <v>26</v>
      </c>
      <c r="D147" s="12" t="s">
        <v>32</v>
      </c>
      <c r="E147" s="12" t="s">
        <v>428</v>
      </c>
      <c r="F147" s="34" t="s">
        <v>436</v>
      </c>
      <c r="G147" s="34" t="s">
        <v>437</v>
      </c>
      <c r="H147" s="36" t="s">
        <v>438</v>
      </c>
      <c r="I147" s="12" t="s">
        <v>125</v>
      </c>
      <c r="J147" s="12" t="s">
        <v>38</v>
      </c>
      <c r="K147" s="12" t="s">
        <v>28</v>
      </c>
      <c r="L147" s="12" t="s">
        <v>28</v>
      </c>
      <c r="M147" s="12" t="s">
        <v>432</v>
      </c>
      <c r="N147" s="9">
        <v>15193200000.000002</v>
      </c>
      <c r="O147" s="10">
        <v>39772</v>
      </c>
      <c r="P147" s="9">
        <v>7634000000</v>
      </c>
      <c r="Q147" s="10">
        <v>40730</v>
      </c>
      <c r="R147" s="9">
        <v>8795000000</v>
      </c>
      <c r="S147" s="10">
        <v>42460</v>
      </c>
      <c r="T147" s="9">
        <v>9238000000</v>
      </c>
      <c r="U147" s="10">
        <v>45448</v>
      </c>
      <c r="V147" s="34" t="s">
        <v>79</v>
      </c>
      <c r="W147" s="64" t="s">
        <v>883</v>
      </c>
      <c r="X147" s="21" t="s">
        <v>887</v>
      </c>
      <c r="Y147" s="67" t="s">
        <v>68</v>
      </c>
      <c r="Z147" s="33" t="s">
        <v>887</v>
      </c>
    </row>
    <row r="148" spans="1:26">
      <c r="A148" s="31">
        <v>147</v>
      </c>
      <c r="B148" s="8" t="s">
        <v>25</v>
      </c>
      <c r="C148" s="8" t="s">
        <v>26</v>
      </c>
      <c r="D148" s="12" t="s">
        <v>32</v>
      </c>
      <c r="E148" s="12" t="s">
        <v>428</v>
      </c>
      <c r="F148" s="34" t="s">
        <v>439</v>
      </c>
      <c r="G148" s="34" t="s">
        <v>440</v>
      </c>
      <c r="H148" s="36" t="s">
        <v>441</v>
      </c>
      <c r="I148" s="12" t="s">
        <v>125</v>
      </c>
      <c r="J148" s="12" t="s">
        <v>38</v>
      </c>
      <c r="K148" s="12" t="s">
        <v>28</v>
      </c>
      <c r="L148" s="12" t="s">
        <v>28</v>
      </c>
      <c r="M148" s="12" t="s">
        <v>38</v>
      </c>
      <c r="N148" s="9">
        <v>0</v>
      </c>
      <c r="O148" s="12" t="s">
        <v>28</v>
      </c>
      <c r="P148" s="9">
        <v>6347000000</v>
      </c>
      <c r="Q148" s="10">
        <v>40781</v>
      </c>
      <c r="R148" s="35">
        <v>4619762510</v>
      </c>
      <c r="S148" s="10">
        <v>42543</v>
      </c>
      <c r="T148" s="9">
        <v>5499000000</v>
      </c>
      <c r="U148" s="10">
        <v>45448</v>
      </c>
      <c r="V148" s="34" t="s">
        <v>79</v>
      </c>
      <c r="W148" s="64" t="s">
        <v>883</v>
      </c>
      <c r="X148" s="21" t="s">
        <v>887</v>
      </c>
      <c r="Y148" s="67" t="s">
        <v>68</v>
      </c>
      <c r="Z148" s="33" t="s">
        <v>887</v>
      </c>
    </row>
    <row r="149" spans="1:26">
      <c r="A149" s="31">
        <v>148</v>
      </c>
      <c r="B149" s="8" t="s">
        <v>25</v>
      </c>
      <c r="C149" s="8" t="s">
        <v>26</v>
      </c>
      <c r="D149" s="12" t="s">
        <v>32</v>
      </c>
      <c r="E149" s="12" t="s">
        <v>428</v>
      </c>
      <c r="F149" s="34" t="s">
        <v>442</v>
      </c>
      <c r="G149" s="34" t="s">
        <v>437</v>
      </c>
      <c r="H149" s="36" t="s">
        <v>443</v>
      </c>
      <c r="I149" s="12" t="s">
        <v>28</v>
      </c>
      <c r="J149" s="12" t="s">
        <v>28</v>
      </c>
      <c r="K149" s="12" t="s">
        <v>28</v>
      </c>
      <c r="L149" s="12" t="s">
        <v>28</v>
      </c>
      <c r="M149" s="12" t="s">
        <v>28</v>
      </c>
      <c r="N149" s="9">
        <v>0</v>
      </c>
      <c r="O149" s="12" t="s">
        <v>28</v>
      </c>
      <c r="P149" s="9">
        <v>7740000000</v>
      </c>
      <c r="Q149" s="10">
        <v>41808</v>
      </c>
      <c r="R149" s="35">
        <v>0</v>
      </c>
      <c r="S149" s="10" t="s">
        <v>28</v>
      </c>
      <c r="T149" s="37">
        <v>0</v>
      </c>
      <c r="U149" s="10" t="s">
        <v>28</v>
      </c>
      <c r="V149" s="34" t="s">
        <v>79</v>
      </c>
      <c r="W149" s="64" t="s">
        <v>883</v>
      </c>
      <c r="X149" s="21" t="s">
        <v>887</v>
      </c>
      <c r="Y149" s="67" t="s">
        <v>68</v>
      </c>
      <c r="Z149" s="33" t="s">
        <v>887</v>
      </c>
    </row>
    <row r="150" spans="1:26">
      <c r="A150" s="31">
        <v>149</v>
      </c>
      <c r="B150" s="8" t="s">
        <v>25</v>
      </c>
      <c r="C150" s="8" t="s">
        <v>26</v>
      </c>
      <c r="D150" s="12" t="s">
        <v>32</v>
      </c>
      <c r="E150" s="12" t="s">
        <v>428</v>
      </c>
      <c r="F150" s="34" t="s">
        <v>444</v>
      </c>
      <c r="G150" s="34" t="s">
        <v>445</v>
      </c>
      <c r="H150" s="36" t="s">
        <v>446</v>
      </c>
      <c r="I150" s="12" t="s">
        <v>37</v>
      </c>
      <c r="J150" s="12" t="s">
        <v>38</v>
      </c>
      <c r="K150" s="12" t="s">
        <v>28</v>
      </c>
      <c r="L150" s="12" t="s">
        <v>28</v>
      </c>
      <c r="M150" s="12" t="s">
        <v>432</v>
      </c>
      <c r="N150" s="9">
        <v>0</v>
      </c>
      <c r="O150" s="12" t="s">
        <v>28</v>
      </c>
      <c r="P150" s="35">
        <v>0</v>
      </c>
      <c r="Q150" s="12" t="s">
        <v>28</v>
      </c>
      <c r="R150" s="9">
        <v>7425000000</v>
      </c>
      <c r="S150" s="10">
        <v>42900</v>
      </c>
      <c r="T150" s="37">
        <v>0</v>
      </c>
      <c r="U150" s="10" t="s">
        <v>28</v>
      </c>
      <c r="V150" s="34" t="s">
        <v>29</v>
      </c>
      <c r="W150" s="15" t="s">
        <v>882</v>
      </c>
      <c r="X150" s="21" t="s">
        <v>887</v>
      </c>
      <c r="Y150" s="67" t="s">
        <v>896</v>
      </c>
      <c r="Z150" s="33" t="s">
        <v>887</v>
      </c>
    </row>
    <row r="151" spans="1:26">
      <c r="A151" s="31">
        <v>150</v>
      </c>
      <c r="B151" s="8" t="s">
        <v>25</v>
      </c>
      <c r="C151" s="8" t="s">
        <v>26</v>
      </c>
      <c r="D151" s="12" t="s">
        <v>32</v>
      </c>
      <c r="E151" s="12" t="s">
        <v>428</v>
      </c>
      <c r="F151" s="34" t="s">
        <v>447</v>
      </c>
      <c r="G151" s="34" t="s">
        <v>448</v>
      </c>
      <c r="H151" s="36" t="s">
        <v>449</v>
      </c>
      <c r="I151" s="12" t="s">
        <v>450</v>
      </c>
      <c r="J151" s="12" t="s">
        <v>38</v>
      </c>
      <c r="K151" s="12" t="s">
        <v>28</v>
      </c>
      <c r="L151" s="12" t="s">
        <v>28</v>
      </c>
      <c r="M151" s="12" t="s">
        <v>38</v>
      </c>
      <c r="N151" s="9">
        <v>0</v>
      </c>
      <c r="O151" s="12" t="s">
        <v>28</v>
      </c>
      <c r="P151" s="9">
        <v>8159000000</v>
      </c>
      <c r="Q151" s="10">
        <v>41239</v>
      </c>
      <c r="R151" s="9">
        <v>14536000000</v>
      </c>
      <c r="S151" s="10">
        <v>42489</v>
      </c>
      <c r="T151" s="37">
        <v>0</v>
      </c>
      <c r="U151" s="10" t="s">
        <v>28</v>
      </c>
      <c r="V151" s="34" t="s">
        <v>29</v>
      </c>
      <c r="W151" s="15" t="s">
        <v>882</v>
      </c>
      <c r="X151" s="21" t="s">
        <v>887</v>
      </c>
      <c r="Y151" s="67" t="s">
        <v>896</v>
      </c>
      <c r="Z151" s="33" t="s">
        <v>887</v>
      </c>
    </row>
    <row r="152" spans="1:26">
      <c r="A152" s="31">
        <v>151</v>
      </c>
      <c r="B152" s="8" t="s">
        <v>25</v>
      </c>
      <c r="C152" s="8" t="s">
        <v>26</v>
      </c>
      <c r="D152" s="12" t="s">
        <v>32</v>
      </c>
      <c r="E152" s="12" t="s">
        <v>428</v>
      </c>
      <c r="F152" s="34" t="s">
        <v>451</v>
      </c>
      <c r="G152" s="34" t="s">
        <v>452</v>
      </c>
      <c r="H152" s="36" t="s">
        <v>453</v>
      </c>
      <c r="I152" s="12" t="s">
        <v>125</v>
      </c>
      <c r="J152" s="12" t="s">
        <v>38</v>
      </c>
      <c r="K152" s="12" t="s">
        <v>28</v>
      </c>
      <c r="L152" s="12" t="s">
        <v>28</v>
      </c>
      <c r="M152" s="12" t="s">
        <v>38</v>
      </c>
      <c r="N152" s="9">
        <v>0</v>
      </c>
      <c r="O152" s="12" t="s">
        <v>28</v>
      </c>
      <c r="P152" s="35">
        <v>0</v>
      </c>
      <c r="Q152" s="12" t="s">
        <v>28</v>
      </c>
      <c r="R152" s="9">
        <v>5753000000</v>
      </c>
      <c r="S152" s="10">
        <v>42713</v>
      </c>
      <c r="T152" s="37">
        <v>0</v>
      </c>
      <c r="U152" s="10" t="s">
        <v>28</v>
      </c>
      <c r="V152" s="34" t="s">
        <v>29</v>
      </c>
      <c r="W152" s="15" t="s">
        <v>880</v>
      </c>
      <c r="X152" s="21" t="s">
        <v>887</v>
      </c>
      <c r="Y152" s="67" t="s">
        <v>68</v>
      </c>
      <c r="Z152" s="33" t="s">
        <v>887</v>
      </c>
    </row>
    <row r="153" spans="1:26">
      <c r="A153" s="31">
        <v>152</v>
      </c>
      <c r="B153" s="8" t="s">
        <v>25</v>
      </c>
      <c r="C153" s="8" t="s">
        <v>26</v>
      </c>
      <c r="D153" s="12" t="s">
        <v>32</v>
      </c>
      <c r="E153" s="12" t="s">
        <v>428</v>
      </c>
      <c r="F153" s="34" t="s">
        <v>454</v>
      </c>
      <c r="G153" s="34" t="s">
        <v>455</v>
      </c>
      <c r="H153" s="36" t="s">
        <v>456</v>
      </c>
      <c r="I153" s="12" t="s">
        <v>37</v>
      </c>
      <c r="J153" s="12" t="s">
        <v>38</v>
      </c>
      <c r="K153" s="12" t="s">
        <v>28</v>
      </c>
      <c r="L153" s="12" t="s">
        <v>28</v>
      </c>
      <c r="M153" s="12" t="s">
        <v>38</v>
      </c>
      <c r="N153" s="9">
        <v>0</v>
      </c>
      <c r="O153" s="12" t="s">
        <v>28</v>
      </c>
      <c r="P153" s="35">
        <v>0</v>
      </c>
      <c r="Q153" s="12" t="s">
        <v>28</v>
      </c>
      <c r="R153" s="35">
        <v>3250500000.0000005</v>
      </c>
      <c r="S153" s="10">
        <v>42704</v>
      </c>
      <c r="T153" s="37">
        <v>4961000000</v>
      </c>
      <c r="U153" s="10">
        <v>45615</v>
      </c>
      <c r="V153" s="34" t="s">
        <v>29</v>
      </c>
      <c r="W153" s="15" t="s">
        <v>882</v>
      </c>
      <c r="X153" s="21" t="s">
        <v>887</v>
      </c>
      <c r="Y153" s="67" t="s">
        <v>896</v>
      </c>
      <c r="Z153" s="33" t="s">
        <v>887</v>
      </c>
    </row>
    <row r="154" spans="1:26">
      <c r="A154" s="31">
        <v>153</v>
      </c>
      <c r="B154" s="8" t="s">
        <v>25</v>
      </c>
      <c r="C154" s="8" t="s">
        <v>26</v>
      </c>
      <c r="D154" s="12" t="s">
        <v>32</v>
      </c>
      <c r="E154" s="12" t="s">
        <v>428</v>
      </c>
      <c r="F154" s="34" t="s">
        <v>457</v>
      </c>
      <c r="G154" s="34" t="s">
        <v>458</v>
      </c>
      <c r="H154" s="36" t="s">
        <v>459</v>
      </c>
      <c r="I154" s="12" t="s">
        <v>57</v>
      </c>
      <c r="J154" s="12" t="s">
        <v>38</v>
      </c>
      <c r="K154" s="12" t="s">
        <v>28</v>
      </c>
      <c r="L154" s="12" t="s">
        <v>28</v>
      </c>
      <c r="M154" s="12" t="s">
        <v>38</v>
      </c>
      <c r="N154" s="9">
        <v>0</v>
      </c>
      <c r="O154" s="12" t="s">
        <v>28</v>
      </c>
      <c r="P154" s="35">
        <v>0</v>
      </c>
      <c r="Q154" s="12" t="s">
        <v>28</v>
      </c>
      <c r="R154" s="35">
        <v>3443000000.0000005</v>
      </c>
      <c r="S154" s="10">
        <v>42731</v>
      </c>
      <c r="T154" s="9">
        <v>5374000000</v>
      </c>
      <c r="U154" s="10">
        <v>45474</v>
      </c>
      <c r="V154" s="34" t="s">
        <v>29</v>
      </c>
      <c r="W154" s="15" t="s">
        <v>880</v>
      </c>
      <c r="X154" s="21" t="s">
        <v>887</v>
      </c>
      <c r="Y154" s="67" t="s">
        <v>68</v>
      </c>
      <c r="Z154" s="33" t="s">
        <v>887</v>
      </c>
    </row>
    <row r="155" spans="1:26">
      <c r="A155" s="31">
        <v>154</v>
      </c>
      <c r="B155" s="8" t="s">
        <v>25</v>
      </c>
      <c r="C155" s="8" t="s">
        <v>26</v>
      </c>
      <c r="D155" s="12" t="s">
        <v>32</v>
      </c>
      <c r="E155" s="12" t="s">
        <v>428</v>
      </c>
      <c r="F155" s="34" t="s">
        <v>460</v>
      </c>
      <c r="G155" s="34" t="s">
        <v>461</v>
      </c>
      <c r="H155" s="36" t="s">
        <v>462</v>
      </c>
      <c r="I155" s="12" t="s">
        <v>57</v>
      </c>
      <c r="J155" s="12" t="s">
        <v>38</v>
      </c>
      <c r="K155" s="12" t="s">
        <v>28</v>
      </c>
      <c r="L155" s="12" t="s">
        <v>28</v>
      </c>
      <c r="M155" s="12" t="s">
        <v>38</v>
      </c>
      <c r="N155" s="9">
        <v>0</v>
      </c>
      <c r="O155" s="12" t="s">
        <v>28</v>
      </c>
      <c r="P155" s="35">
        <v>0</v>
      </c>
      <c r="Q155" s="12" t="s">
        <v>28</v>
      </c>
      <c r="R155" s="9">
        <v>7085000000</v>
      </c>
      <c r="S155" s="10">
        <v>42538</v>
      </c>
      <c r="T155" s="37">
        <v>0</v>
      </c>
      <c r="U155" s="10" t="s">
        <v>28</v>
      </c>
      <c r="V155" s="34" t="s">
        <v>29</v>
      </c>
      <c r="W155" s="15" t="s">
        <v>880</v>
      </c>
      <c r="X155" s="21" t="s">
        <v>887</v>
      </c>
      <c r="Y155" s="67" t="s">
        <v>68</v>
      </c>
      <c r="Z155" s="33" t="s">
        <v>887</v>
      </c>
    </row>
    <row r="156" spans="1:26">
      <c r="A156" s="31">
        <v>155</v>
      </c>
      <c r="B156" s="8" t="s">
        <v>25</v>
      </c>
      <c r="C156" s="8" t="s">
        <v>26</v>
      </c>
      <c r="D156" s="12" t="s">
        <v>32</v>
      </c>
      <c r="E156" s="12" t="s">
        <v>428</v>
      </c>
      <c r="F156" s="34" t="s">
        <v>463</v>
      </c>
      <c r="G156" s="34" t="s">
        <v>464</v>
      </c>
      <c r="H156" s="36" t="s">
        <v>465</v>
      </c>
      <c r="I156" s="12" t="s">
        <v>57</v>
      </c>
      <c r="J156" s="12" t="s">
        <v>38</v>
      </c>
      <c r="K156" s="12" t="s">
        <v>28</v>
      </c>
      <c r="L156" s="12" t="s">
        <v>28</v>
      </c>
      <c r="M156" s="12" t="s">
        <v>38</v>
      </c>
      <c r="N156" s="9">
        <v>0</v>
      </c>
      <c r="O156" s="12" t="s">
        <v>28</v>
      </c>
      <c r="P156" s="35">
        <v>0</v>
      </c>
      <c r="Q156" s="12" t="s">
        <v>28</v>
      </c>
      <c r="R156" s="35">
        <v>1735479900.0000002</v>
      </c>
      <c r="S156" s="10">
        <v>42489</v>
      </c>
      <c r="T156" s="37">
        <v>2162767200</v>
      </c>
      <c r="U156" s="10">
        <v>45474</v>
      </c>
      <c r="V156" s="34" t="s">
        <v>29</v>
      </c>
      <c r="W156" s="15" t="s">
        <v>880</v>
      </c>
      <c r="X156" s="21" t="s">
        <v>887</v>
      </c>
      <c r="Y156" s="67" t="s">
        <v>68</v>
      </c>
      <c r="Z156" s="33" t="s">
        <v>887</v>
      </c>
    </row>
    <row r="157" spans="1:26">
      <c r="A157" s="31">
        <v>156</v>
      </c>
      <c r="B157" s="8" t="s">
        <v>25</v>
      </c>
      <c r="C157" s="8" t="s">
        <v>26</v>
      </c>
      <c r="D157" s="12" t="s">
        <v>32</v>
      </c>
      <c r="E157" s="12" t="s">
        <v>428</v>
      </c>
      <c r="F157" s="34" t="s">
        <v>466</v>
      </c>
      <c r="G157" s="34" t="s">
        <v>467</v>
      </c>
      <c r="H157" s="36" t="s">
        <v>468</v>
      </c>
      <c r="I157" s="12" t="s">
        <v>125</v>
      </c>
      <c r="J157" s="12" t="s">
        <v>38</v>
      </c>
      <c r="K157" s="12" t="s">
        <v>28</v>
      </c>
      <c r="L157" s="12" t="s">
        <v>28</v>
      </c>
      <c r="M157" s="12" t="s">
        <v>38</v>
      </c>
      <c r="N157" s="9">
        <v>0</v>
      </c>
      <c r="O157" s="12" t="s">
        <v>28</v>
      </c>
      <c r="P157" s="9">
        <v>6103900000.000001</v>
      </c>
      <c r="Q157" s="10">
        <v>40282</v>
      </c>
      <c r="R157" s="9">
        <v>8622000000</v>
      </c>
      <c r="S157" s="10">
        <v>42471</v>
      </c>
      <c r="T157" s="9">
        <v>16264000000</v>
      </c>
      <c r="U157" s="10">
        <v>45476</v>
      </c>
      <c r="V157" s="34" t="s">
        <v>29</v>
      </c>
      <c r="W157" s="15" t="s">
        <v>880</v>
      </c>
      <c r="X157" s="21" t="s">
        <v>887</v>
      </c>
      <c r="Y157" s="67" t="s">
        <v>68</v>
      </c>
      <c r="Z157" s="33" t="s">
        <v>887</v>
      </c>
    </row>
    <row r="158" spans="1:26">
      <c r="A158" s="31">
        <v>157</v>
      </c>
      <c r="B158" s="8" t="s">
        <v>25</v>
      </c>
      <c r="C158" s="8" t="s">
        <v>26</v>
      </c>
      <c r="D158" s="12" t="s">
        <v>32</v>
      </c>
      <c r="E158" s="12" t="s">
        <v>428</v>
      </c>
      <c r="F158" s="34" t="s">
        <v>469</v>
      </c>
      <c r="G158" s="34" t="s">
        <v>470</v>
      </c>
      <c r="H158" s="36" t="s">
        <v>471</v>
      </c>
      <c r="I158" s="12" t="s">
        <v>125</v>
      </c>
      <c r="J158" s="12" t="s">
        <v>38</v>
      </c>
      <c r="K158" s="12" t="s">
        <v>28</v>
      </c>
      <c r="L158" s="12" t="s">
        <v>28</v>
      </c>
      <c r="M158" s="12" t="s">
        <v>38</v>
      </c>
      <c r="N158" s="9">
        <v>0</v>
      </c>
      <c r="O158" s="12" t="s">
        <v>28</v>
      </c>
      <c r="P158" s="35">
        <v>0</v>
      </c>
      <c r="Q158" s="12" t="s">
        <v>28</v>
      </c>
      <c r="R158" s="35">
        <v>2562098000</v>
      </c>
      <c r="S158" s="10">
        <v>42599</v>
      </c>
      <c r="T158" s="37">
        <v>0</v>
      </c>
      <c r="U158" s="10" t="s">
        <v>28</v>
      </c>
      <c r="V158" s="34" t="s">
        <v>29</v>
      </c>
      <c r="W158" s="15" t="s">
        <v>880</v>
      </c>
      <c r="X158" s="21" t="s">
        <v>887</v>
      </c>
      <c r="Y158" s="67" t="s">
        <v>68</v>
      </c>
      <c r="Z158" s="33" t="s">
        <v>887</v>
      </c>
    </row>
    <row r="159" spans="1:26">
      <c r="A159" s="31">
        <v>158</v>
      </c>
      <c r="B159" s="8" t="s">
        <v>25</v>
      </c>
      <c r="C159" s="8" t="s">
        <v>26</v>
      </c>
      <c r="D159" s="12" t="s">
        <v>32</v>
      </c>
      <c r="E159" s="12" t="s">
        <v>428</v>
      </c>
      <c r="F159" s="34" t="s">
        <v>472</v>
      </c>
      <c r="G159" s="34" t="s">
        <v>473</v>
      </c>
      <c r="H159" s="36" t="s">
        <v>474</v>
      </c>
      <c r="I159" s="12" t="s">
        <v>43</v>
      </c>
      <c r="J159" s="12" t="s">
        <v>38</v>
      </c>
      <c r="K159" s="12" t="s">
        <v>28</v>
      </c>
      <c r="L159" s="12" t="s">
        <v>28</v>
      </c>
      <c r="M159" s="12" t="s">
        <v>38</v>
      </c>
      <c r="N159" s="9">
        <v>0</v>
      </c>
      <c r="O159" s="12" t="s">
        <v>28</v>
      </c>
      <c r="P159" s="35">
        <v>836872608</v>
      </c>
      <c r="Q159" s="10">
        <v>41134</v>
      </c>
      <c r="R159" s="35">
        <v>0</v>
      </c>
      <c r="S159" s="10" t="s">
        <v>28</v>
      </c>
      <c r="T159" s="37">
        <v>0</v>
      </c>
      <c r="U159" s="10" t="s">
        <v>28</v>
      </c>
      <c r="V159" s="34" t="s">
        <v>79</v>
      </c>
      <c r="W159" s="15" t="s">
        <v>880</v>
      </c>
      <c r="X159" s="21" t="s">
        <v>887</v>
      </c>
      <c r="Y159" s="67" t="s">
        <v>68</v>
      </c>
      <c r="Z159" s="33" t="s">
        <v>887</v>
      </c>
    </row>
    <row r="160" spans="1:26">
      <c r="A160" s="31">
        <v>159</v>
      </c>
      <c r="B160" s="8" t="s">
        <v>25</v>
      </c>
      <c r="C160" s="8" t="s">
        <v>26</v>
      </c>
      <c r="D160" s="12" t="s">
        <v>32</v>
      </c>
      <c r="E160" s="12" t="s">
        <v>428</v>
      </c>
      <c r="F160" s="34" t="s">
        <v>475</v>
      </c>
      <c r="G160" s="34" t="s">
        <v>476</v>
      </c>
      <c r="H160" s="36" t="s">
        <v>477</v>
      </c>
      <c r="I160" s="12" t="s">
        <v>118</v>
      </c>
      <c r="J160" s="12" t="s">
        <v>38</v>
      </c>
      <c r="K160" s="12" t="s">
        <v>28</v>
      </c>
      <c r="L160" s="12" t="s">
        <v>28</v>
      </c>
      <c r="M160" s="12" t="s">
        <v>38</v>
      </c>
      <c r="N160" s="9">
        <v>0</v>
      </c>
      <c r="O160" s="12" t="s">
        <v>28</v>
      </c>
      <c r="P160" s="35">
        <v>0</v>
      </c>
      <c r="Q160" s="12" t="s">
        <v>28</v>
      </c>
      <c r="R160" s="35">
        <v>495206800.00000006</v>
      </c>
      <c r="S160" s="10">
        <v>42825</v>
      </c>
      <c r="T160" s="37">
        <v>0</v>
      </c>
      <c r="U160" s="10" t="s">
        <v>28</v>
      </c>
      <c r="V160" s="34" t="s">
        <v>79</v>
      </c>
      <c r="W160" s="15" t="s">
        <v>880</v>
      </c>
      <c r="X160" s="21" t="s">
        <v>887</v>
      </c>
      <c r="Y160" s="67" t="s">
        <v>68</v>
      </c>
      <c r="Z160" s="33" t="s">
        <v>887</v>
      </c>
    </row>
    <row r="161" spans="1:26">
      <c r="A161" s="31">
        <v>160</v>
      </c>
      <c r="B161" s="8" t="s">
        <v>25</v>
      </c>
      <c r="C161" s="8" t="s">
        <v>26</v>
      </c>
      <c r="D161" s="12" t="s">
        <v>32</v>
      </c>
      <c r="E161" s="12" t="s">
        <v>428</v>
      </c>
      <c r="F161" s="34" t="s">
        <v>478</v>
      </c>
      <c r="G161" s="34" t="s">
        <v>479</v>
      </c>
      <c r="H161" s="36" t="s">
        <v>480</v>
      </c>
      <c r="I161" s="12" t="s">
        <v>125</v>
      </c>
      <c r="J161" s="12" t="s">
        <v>38</v>
      </c>
      <c r="K161" s="12" t="s">
        <v>28</v>
      </c>
      <c r="L161" s="12" t="s">
        <v>28</v>
      </c>
      <c r="M161" s="12" t="s">
        <v>38</v>
      </c>
      <c r="N161" s="9">
        <v>0</v>
      </c>
      <c r="O161" s="12" t="s">
        <v>28</v>
      </c>
      <c r="P161" s="35">
        <v>0</v>
      </c>
      <c r="Q161" s="12" t="s">
        <v>28</v>
      </c>
      <c r="R161" s="35">
        <v>984500000.00000012</v>
      </c>
      <c r="S161" s="10">
        <v>43595</v>
      </c>
      <c r="T161" s="37">
        <v>0</v>
      </c>
      <c r="U161" s="10" t="s">
        <v>28</v>
      </c>
      <c r="V161" s="34" t="s">
        <v>79</v>
      </c>
      <c r="W161" s="15" t="s">
        <v>880</v>
      </c>
      <c r="X161" s="21" t="s">
        <v>887</v>
      </c>
      <c r="Y161" s="67" t="s">
        <v>68</v>
      </c>
      <c r="Z161" s="33" t="s">
        <v>887</v>
      </c>
    </row>
    <row r="162" spans="1:26">
      <c r="A162" s="31">
        <v>161</v>
      </c>
      <c r="B162" s="8" t="s">
        <v>25</v>
      </c>
      <c r="C162" s="8" t="s">
        <v>26</v>
      </c>
      <c r="D162" s="12" t="s">
        <v>32</v>
      </c>
      <c r="E162" s="12" t="s">
        <v>428</v>
      </c>
      <c r="F162" s="34" t="s">
        <v>481</v>
      </c>
      <c r="G162" s="34" t="s">
        <v>482</v>
      </c>
      <c r="H162" s="36" t="s">
        <v>483</v>
      </c>
      <c r="I162" s="12" t="s">
        <v>118</v>
      </c>
      <c r="J162" s="12" t="s">
        <v>38</v>
      </c>
      <c r="K162" s="12" t="s">
        <v>28</v>
      </c>
      <c r="L162" s="12" t="s">
        <v>28</v>
      </c>
      <c r="M162" s="12" t="s">
        <v>38</v>
      </c>
      <c r="N162" s="9">
        <v>0</v>
      </c>
      <c r="O162" s="12" t="s">
        <v>28</v>
      </c>
      <c r="P162" s="35">
        <v>663566812</v>
      </c>
      <c r="Q162" s="38">
        <v>40589</v>
      </c>
      <c r="R162" s="35">
        <v>0</v>
      </c>
      <c r="S162" s="10" t="s">
        <v>28</v>
      </c>
      <c r="T162" s="37">
        <v>0</v>
      </c>
      <c r="U162" s="10" t="s">
        <v>28</v>
      </c>
      <c r="V162" s="34" t="s">
        <v>79</v>
      </c>
      <c r="W162" s="15" t="s">
        <v>880</v>
      </c>
      <c r="X162" s="21" t="s">
        <v>887</v>
      </c>
      <c r="Y162" s="67" t="s">
        <v>68</v>
      </c>
      <c r="Z162" s="33" t="s">
        <v>887</v>
      </c>
    </row>
    <row r="163" spans="1:26">
      <c r="A163" s="31">
        <v>162</v>
      </c>
      <c r="B163" s="8" t="s">
        <v>25</v>
      </c>
      <c r="C163" s="8" t="s">
        <v>26</v>
      </c>
      <c r="D163" s="12" t="s">
        <v>32</v>
      </c>
      <c r="E163" s="12" t="s">
        <v>428</v>
      </c>
      <c r="F163" s="34" t="s">
        <v>484</v>
      </c>
      <c r="G163" s="34" t="s">
        <v>485</v>
      </c>
      <c r="H163" s="36" t="s">
        <v>486</v>
      </c>
      <c r="I163" s="12" t="s">
        <v>53</v>
      </c>
      <c r="J163" s="12" t="s">
        <v>38</v>
      </c>
      <c r="K163" s="12" t="s">
        <v>28</v>
      </c>
      <c r="L163" s="12" t="s">
        <v>28</v>
      </c>
      <c r="M163" s="12" t="s">
        <v>38</v>
      </c>
      <c r="N163" s="9">
        <v>0</v>
      </c>
      <c r="O163" s="12" t="s">
        <v>28</v>
      </c>
      <c r="P163" s="35">
        <v>0</v>
      </c>
      <c r="Q163" s="12" t="s">
        <v>28</v>
      </c>
      <c r="R163" s="35">
        <v>2014980000.0000002</v>
      </c>
      <c r="S163" s="10">
        <v>42536</v>
      </c>
      <c r="T163" s="37">
        <v>0</v>
      </c>
      <c r="U163" s="10" t="s">
        <v>28</v>
      </c>
      <c r="V163" s="34" t="s">
        <v>79</v>
      </c>
      <c r="W163" s="15" t="s">
        <v>880</v>
      </c>
      <c r="X163" s="21" t="s">
        <v>887</v>
      </c>
      <c r="Y163" s="67" t="s">
        <v>68</v>
      </c>
      <c r="Z163" s="33" t="s">
        <v>887</v>
      </c>
    </row>
    <row r="164" spans="1:26">
      <c r="A164" s="31">
        <v>163</v>
      </c>
      <c r="B164" s="8" t="s">
        <v>25</v>
      </c>
      <c r="C164" s="8" t="s">
        <v>26</v>
      </c>
      <c r="D164" s="12" t="s">
        <v>32</v>
      </c>
      <c r="E164" s="12" t="s">
        <v>428</v>
      </c>
      <c r="F164" s="34" t="s">
        <v>487</v>
      </c>
      <c r="G164" s="34" t="s">
        <v>488</v>
      </c>
      <c r="H164" s="36" t="s">
        <v>489</v>
      </c>
      <c r="I164" s="12" t="s">
        <v>57</v>
      </c>
      <c r="J164" s="12" t="s">
        <v>38</v>
      </c>
      <c r="K164" s="12" t="s">
        <v>28</v>
      </c>
      <c r="L164" s="12" t="s">
        <v>28</v>
      </c>
      <c r="M164" s="12" t="s">
        <v>38</v>
      </c>
      <c r="N164" s="9">
        <v>0</v>
      </c>
      <c r="O164" s="12" t="s">
        <v>28</v>
      </c>
      <c r="P164" s="35">
        <v>0</v>
      </c>
      <c r="Q164" s="12" t="s">
        <v>28</v>
      </c>
      <c r="R164" s="35">
        <v>2728002200</v>
      </c>
      <c r="S164" s="10">
        <v>42881</v>
      </c>
      <c r="T164" s="37">
        <v>5823620000</v>
      </c>
      <c r="U164" s="10">
        <v>45618</v>
      </c>
      <c r="V164" s="34" t="s">
        <v>79</v>
      </c>
      <c r="W164" s="15" t="s">
        <v>880</v>
      </c>
      <c r="X164" s="21" t="s">
        <v>887</v>
      </c>
      <c r="Y164" s="67" t="s">
        <v>68</v>
      </c>
      <c r="Z164" s="33" t="s">
        <v>887</v>
      </c>
    </row>
    <row r="165" spans="1:26">
      <c r="A165" s="31">
        <v>163</v>
      </c>
      <c r="B165" s="8" t="s">
        <v>25</v>
      </c>
      <c r="C165" s="8" t="s">
        <v>26</v>
      </c>
      <c r="D165" s="12" t="s">
        <v>32</v>
      </c>
      <c r="E165" s="12" t="s">
        <v>428</v>
      </c>
      <c r="F165" s="34" t="s">
        <v>487</v>
      </c>
      <c r="G165" s="34" t="s">
        <v>488</v>
      </c>
      <c r="H165" s="36" t="s">
        <v>489</v>
      </c>
      <c r="I165" s="12" t="s">
        <v>57</v>
      </c>
      <c r="J165" s="12" t="s">
        <v>38</v>
      </c>
      <c r="K165" s="12" t="s">
        <v>28</v>
      </c>
      <c r="L165" s="12" t="s">
        <v>28</v>
      </c>
      <c r="M165" s="12" t="s">
        <v>38</v>
      </c>
      <c r="N165" s="9">
        <v>0</v>
      </c>
      <c r="O165" s="12" t="s">
        <v>28</v>
      </c>
      <c r="P165" s="35">
        <v>0</v>
      </c>
      <c r="Q165" s="12" t="s">
        <v>28</v>
      </c>
      <c r="R165" s="35">
        <v>2728002200</v>
      </c>
      <c r="S165" s="10">
        <v>42881</v>
      </c>
      <c r="T165" s="37">
        <v>5823620000</v>
      </c>
      <c r="U165" s="10">
        <v>45618</v>
      </c>
      <c r="V165" s="34" t="s">
        <v>79</v>
      </c>
      <c r="W165" s="15" t="s">
        <v>880</v>
      </c>
      <c r="X165" s="21" t="s">
        <v>887</v>
      </c>
      <c r="Y165" s="67" t="s">
        <v>68</v>
      </c>
      <c r="Z165" s="33" t="s">
        <v>887</v>
      </c>
    </row>
    <row r="166" spans="1:26">
      <c r="A166" s="31">
        <v>164</v>
      </c>
      <c r="B166" s="8" t="s">
        <v>25</v>
      </c>
      <c r="C166" s="8" t="s">
        <v>26</v>
      </c>
      <c r="D166" s="12" t="s">
        <v>32</v>
      </c>
      <c r="E166" s="12" t="s">
        <v>428</v>
      </c>
      <c r="F166" s="34" t="s">
        <v>490</v>
      </c>
      <c r="G166" s="34" t="s">
        <v>28</v>
      </c>
      <c r="H166" s="36" t="s">
        <v>491</v>
      </c>
      <c r="I166" s="12" t="s">
        <v>37</v>
      </c>
      <c r="J166" s="12" t="s">
        <v>28</v>
      </c>
      <c r="K166" s="12" t="s">
        <v>28</v>
      </c>
      <c r="L166" s="12" t="s">
        <v>38</v>
      </c>
      <c r="M166" s="12" t="s">
        <v>38</v>
      </c>
      <c r="N166" s="9">
        <v>0</v>
      </c>
      <c r="O166" s="12" t="s">
        <v>28</v>
      </c>
      <c r="P166" s="35">
        <v>0</v>
      </c>
      <c r="Q166" s="12" t="s">
        <v>28</v>
      </c>
      <c r="R166" s="35">
        <v>0</v>
      </c>
      <c r="S166" s="10" t="s">
        <v>28</v>
      </c>
      <c r="T166" s="37">
        <v>0</v>
      </c>
      <c r="U166" s="10" t="s">
        <v>28</v>
      </c>
      <c r="V166" s="11" t="s">
        <v>68</v>
      </c>
      <c r="W166" s="15" t="s">
        <v>68</v>
      </c>
      <c r="X166" s="21" t="s">
        <v>887</v>
      </c>
      <c r="Y166" s="67" t="s">
        <v>894</v>
      </c>
      <c r="Z166" s="33" t="s">
        <v>887</v>
      </c>
    </row>
    <row r="167" spans="1:26">
      <c r="A167" s="31">
        <v>165</v>
      </c>
      <c r="B167" s="8" t="s">
        <v>25</v>
      </c>
      <c r="C167" s="8" t="s">
        <v>26</v>
      </c>
      <c r="D167" s="12" t="s">
        <v>32</v>
      </c>
      <c r="E167" s="12" t="s">
        <v>428</v>
      </c>
      <c r="F167" s="34" t="s">
        <v>492</v>
      </c>
      <c r="G167" s="34" t="s">
        <v>28</v>
      </c>
      <c r="H167" s="36" t="s">
        <v>493</v>
      </c>
      <c r="I167" s="12" t="s">
        <v>118</v>
      </c>
      <c r="J167" s="12" t="s">
        <v>28</v>
      </c>
      <c r="K167" s="12" t="s">
        <v>28</v>
      </c>
      <c r="L167" s="12" t="s">
        <v>38</v>
      </c>
      <c r="M167" s="12" t="s">
        <v>38</v>
      </c>
      <c r="N167" s="9">
        <v>0</v>
      </c>
      <c r="O167" s="12" t="s">
        <v>28</v>
      </c>
      <c r="P167" s="35">
        <v>0</v>
      </c>
      <c r="Q167" s="12" t="s">
        <v>28</v>
      </c>
      <c r="R167" s="35">
        <v>0</v>
      </c>
      <c r="S167" s="10" t="s">
        <v>28</v>
      </c>
      <c r="T167" s="37">
        <v>0</v>
      </c>
      <c r="U167" s="10" t="s">
        <v>28</v>
      </c>
      <c r="V167" s="11" t="s">
        <v>68</v>
      </c>
      <c r="W167" s="15" t="s">
        <v>68</v>
      </c>
      <c r="X167" s="21" t="s">
        <v>887</v>
      </c>
      <c r="Y167" s="67" t="s">
        <v>68</v>
      </c>
      <c r="Z167" s="33" t="s">
        <v>887</v>
      </c>
    </row>
    <row r="168" spans="1:26">
      <c r="A168" s="31">
        <v>166</v>
      </c>
      <c r="B168" s="8" t="s">
        <v>25</v>
      </c>
      <c r="C168" s="8" t="s">
        <v>26</v>
      </c>
      <c r="D168" s="12" t="s">
        <v>32</v>
      </c>
      <c r="E168" s="12" t="s">
        <v>428</v>
      </c>
      <c r="F168" s="34" t="s">
        <v>494</v>
      </c>
      <c r="G168" s="34" t="s">
        <v>28</v>
      </c>
      <c r="H168" s="36" t="s">
        <v>495</v>
      </c>
      <c r="I168" s="12" t="s">
        <v>37</v>
      </c>
      <c r="J168" s="12" t="s">
        <v>28</v>
      </c>
      <c r="K168" s="12" t="s">
        <v>28</v>
      </c>
      <c r="L168" s="12" t="s">
        <v>38</v>
      </c>
      <c r="M168" s="12" t="s">
        <v>38</v>
      </c>
      <c r="N168" s="9">
        <v>0</v>
      </c>
      <c r="O168" s="12" t="s">
        <v>28</v>
      </c>
      <c r="P168" s="35">
        <v>0</v>
      </c>
      <c r="Q168" s="12" t="s">
        <v>28</v>
      </c>
      <c r="R168" s="35">
        <v>0</v>
      </c>
      <c r="S168" s="10" t="s">
        <v>28</v>
      </c>
      <c r="T168" s="37">
        <v>0</v>
      </c>
      <c r="U168" s="10" t="s">
        <v>28</v>
      </c>
      <c r="V168" s="11" t="s">
        <v>68</v>
      </c>
      <c r="W168" s="15" t="s">
        <v>68</v>
      </c>
      <c r="X168" s="21" t="s">
        <v>887</v>
      </c>
      <c r="Y168" s="67" t="s">
        <v>895</v>
      </c>
      <c r="Z168" s="33" t="s">
        <v>887</v>
      </c>
    </row>
    <row r="169" spans="1:26">
      <c r="A169" s="31">
        <v>167</v>
      </c>
      <c r="B169" s="8" t="s">
        <v>25</v>
      </c>
      <c r="C169" s="8" t="s">
        <v>26</v>
      </c>
      <c r="D169" s="12" t="s">
        <v>32</v>
      </c>
      <c r="E169" s="12" t="s">
        <v>428</v>
      </c>
      <c r="F169" s="34" t="s">
        <v>496</v>
      </c>
      <c r="G169" s="34" t="s">
        <v>28</v>
      </c>
      <c r="H169" s="36" t="s">
        <v>497</v>
      </c>
      <c r="I169" s="12" t="s">
        <v>43</v>
      </c>
      <c r="J169" s="12" t="s">
        <v>28</v>
      </c>
      <c r="K169" s="12" t="s">
        <v>28</v>
      </c>
      <c r="L169" s="12" t="s">
        <v>38</v>
      </c>
      <c r="M169" s="12" t="s">
        <v>38</v>
      </c>
      <c r="N169" s="9">
        <v>0</v>
      </c>
      <c r="O169" s="12" t="s">
        <v>28</v>
      </c>
      <c r="P169" s="35">
        <v>0</v>
      </c>
      <c r="Q169" s="12" t="s">
        <v>28</v>
      </c>
      <c r="R169" s="35">
        <v>0</v>
      </c>
      <c r="S169" s="10" t="s">
        <v>28</v>
      </c>
      <c r="T169" s="37">
        <v>0</v>
      </c>
      <c r="U169" s="10" t="s">
        <v>28</v>
      </c>
      <c r="V169" s="11" t="s">
        <v>68</v>
      </c>
      <c r="W169" s="15" t="s">
        <v>68</v>
      </c>
      <c r="X169" s="21" t="s">
        <v>887</v>
      </c>
      <c r="Y169" s="67" t="s">
        <v>68</v>
      </c>
      <c r="Z169" s="33" t="s">
        <v>887</v>
      </c>
    </row>
    <row r="170" spans="1:26">
      <c r="A170" s="31">
        <v>168</v>
      </c>
      <c r="B170" s="8" t="s">
        <v>25</v>
      </c>
      <c r="C170" s="8" t="s">
        <v>26</v>
      </c>
      <c r="D170" s="12" t="s">
        <v>32</v>
      </c>
      <c r="E170" s="12" t="s">
        <v>428</v>
      </c>
      <c r="F170" s="34" t="s">
        <v>498</v>
      </c>
      <c r="G170" s="34" t="s">
        <v>28</v>
      </c>
      <c r="H170" s="36" t="s">
        <v>499</v>
      </c>
      <c r="I170" s="12" t="s">
        <v>53</v>
      </c>
      <c r="J170" s="12" t="s">
        <v>28</v>
      </c>
      <c r="K170" s="12" t="s">
        <v>28</v>
      </c>
      <c r="L170" s="12" t="s">
        <v>38</v>
      </c>
      <c r="M170" s="12" t="s">
        <v>38</v>
      </c>
      <c r="N170" s="9">
        <v>0</v>
      </c>
      <c r="O170" s="12" t="s">
        <v>28</v>
      </c>
      <c r="P170" s="35">
        <v>0</v>
      </c>
      <c r="Q170" s="12" t="s">
        <v>28</v>
      </c>
      <c r="R170" s="35">
        <v>0</v>
      </c>
      <c r="S170" s="10" t="s">
        <v>28</v>
      </c>
      <c r="T170" s="37">
        <v>0</v>
      </c>
      <c r="U170" s="10" t="s">
        <v>28</v>
      </c>
      <c r="V170" s="11" t="s">
        <v>68</v>
      </c>
      <c r="W170" s="15" t="s">
        <v>68</v>
      </c>
      <c r="X170" s="21" t="s">
        <v>887</v>
      </c>
      <c r="Y170" s="67" t="s">
        <v>68</v>
      </c>
      <c r="Z170" s="33" t="s">
        <v>887</v>
      </c>
    </row>
    <row r="171" spans="1:26">
      <c r="A171" s="31">
        <v>169</v>
      </c>
      <c r="B171" s="8" t="s">
        <v>25</v>
      </c>
      <c r="C171" s="8" t="s">
        <v>26</v>
      </c>
      <c r="D171" s="12" t="s">
        <v>32</v>
      </c>
      <c r="E171" s="12" t="s">
        <v>428</v>
      </c>
      <c r="F171" s="34" t="s">
        <v>500</v>
      </c>
      <c r="G171" s="34" t="s">
        <v>28</v>
      </c>
      <c r="H171" s="36" t="s">
        <v>501</v>
      </c>
      <c r="I171" s="12" t="s">
        <v>53</v>
      </c>
      <c r="J171" s="12" t="s">
        <v>28</v>
      </c>
      <c r="K171" s="12" t="s">
        <v>28</v>
      </c>
      <c r="L171" s="12" t="s">
        <v>38</v>
      </c>
      <c r="M171" s="12" t="s">
        <v>38</v>
      </c>
      <c r="N171" s="9">
        <v>0</v>
      </c>
      <c r="O171" s="12" t="s">
        <v>28</v>
      </c>
      <c r="P171" s="35">
        <v>0</v>
      </c>
      <c r="Q171" s="12" t="s">
        <v>28</v>
      </c>
      <c r="R171" s="35">
        <v>0</v>
      </c>
      <c r="S171" s="10" t="s">
        <v>28</v>
      </c>
      <c r="T171" s="37">
        <v>0</v>
      </c>
      <c r="U171" s="10" t="s">
        <v>28</v>
      </c>
      <c r="V171" s="11" t="s">
        <v>68</v>
      </c>
      <c r="W171" s="15" t="s">
        <v>68</v>
      </c>
      <c r="X171" s="21" t="s">
        <v>887</v>
      </c>
      <c r="Y171" s="67" t="s">
        <v>68</v>
      </c>
      <c r="Z171" s="33" t="s">
        <v>887</v>
      </c>
    </row>
    <row r="172" spans="1:26">
      <c r="A172" s="31">
        <v>170</v>
      </c>
      <c r="B172" s="8" t="s">
        <v>25</v>
      </c>
      <c r="C172" s="8" t="s">
        <v>26</v>
      </c>
      <c r="D172" s="12" t="s">
        <v>32</v>
      </c>
      <c r="E172" s="12" t="s">
        <v>502</v>
      </c>
      <c r="F172" s="34" t="s">
        <v>503</v>
      </c>
      <c r="G172" s="34" t="s">
        <v>504</v>
      </c>
      <c r="H172" s="36" t="s">
        <v>505</v>
      </c>
      <c r="I172" s="12" t="s">
        <v>227</v>
      </c>
      <c r="J172" s="12" t="s">
        <v>38</v>
      </c>
      <c r="K172" s="12" t="s">
        <v>432</v>
      </c>
      <c r="L172" s="12" t="s">
        <v>28</v>
      </c>
      <c r="M172" s="12" t="s">
        <v>28</v>
      </c>
      <c r="N172" s="9">
        <v>73150000000</v>
      </c>
      <c r="O172" s="10">
        <v>40067</v>
      </c>
      <c r="P172" s="9">
        <v>69300000000</v>
      </c>
      <c r="Q172" s="10">
        <v>40725</v>
      </c>
      <c r="R172" s="9">
        <v>64166000000</v>
      </c>
      <c r="S172" s="10">
        <v>43068</v>
      </c>
      <c r="T172" s="37">
        <v>99642400000.000015</v>
      </c>
      <c r="U172" s="10">
        <v>45593</v>
      </c>
      <c r="V172" s="34" t="s">
        <v>506</v>
      </c>
      <c r="W172" s="15" t="s">
        <v>881</v>
      </c>
      <c r="X172" s="21" t="s">
        <v>887</v>
      </c>
      <c r="Y172" s="67" t="s">
        <v>68</v>
      </c>
      <c r="Z172" s="33" t="s">
        <v>887</v>
      </c>
    </row>
    <row r="173" spans="1:26">
      <c r="A173" s="31">
        <v>171</v>
      </c>
      <c r="B173" s="8" t="s">
        <v>25</v>
      </c>
      <c r="C173" s="8" t="s">
        <v>26</v>
      </c>
      <c r="D173" s="12" t="s">
        <v>32</v>
      </c>
      <c r="E173" s="12" t="s">
        <v>502</v>
      </c>
      <c r="F173" s="34" t="s">
        <v>507</v>
      </c>
      <c r="G173" s="34" t="s">
        <v>508</v>
      </c>
      <c r="H173" s="36" t="s">
        <v>509</v>
      </c>
      <c r="I173" s="12" t="s">
        <v>118</v>
      </c>
      <c r="J173" s="12" t="s">
        <v>38</v>
      </c>
      <c r="K173" s="12" t="s">
        <v>28</v>
      </c>
      <c r="L173" s="12" t="s">
        <v>28</v>
      </c>
      <c r="M173" s="12" t="s">
        <v>38</v>
      </c>
      <c r="N173" s="9">
        <v>0</v>
      </c>
      <c r="O173" s="12" t="s">
        <v>28</v>
      </c>
      <c r="P173" s="35">
        <v>0</v>
      </c>
      <c r="Q173" s="12" t="s">
        <v>28</v>
      </c>
      <c r="R173" s="35">
        <v>832592999.70000005</v>
      </c>
      <c r="S173" s="10">
        <v>42384</v>
      </c>
      <c r="T173" s="37">
        <v>2018500000.0000002</v>
      </c>
      <c r="U173" s="10">
        <v>45446</v>
      </c>
      <c r="V173" s="34" t="s">
        <v>506</v>
      </c>
      <c r="W173" s="15" t="s">
        <v>881</v>
      </c>
      <c r="X173" s="21" t="s">
        <v>887</v>
      </c>
      <c r="Y173" s="67" t="s">
        <v>68</v>
      </c>
      <c r="Z173" s="33" t="s">
        <v>887</v>
      </c>
    </row>
    <row r="174" spans="1:26">
      <c r="A174" s="31">
        <v>172</v>
      </c>
      <c r="B174" s="8" t="s">
        <v>25</v>
      </c>
      <c r="C174" s="8" t="s">
        <v>26</v>
      </c>
      <c r="D174" s="12" t="s">
        <v>32</v>
      </c>
      <c r="E174" s="12" t="s">
        <v>502</v>
      </c>
      <c r="F174" s="34" t="s">
        <v>510</v>
      </c>
      <c r="G174" s="34" t="s">
        <v>511</v>
      </c>
      <c r="H174" s="36" t="s">
        <v>512</v>
      </c>
      <c r="I174" s="12" t="s">
        <v>43</v>
      </c>
      <c r="J174" s="12" t="s">
        <v>38</v>
      </c>
      <c r="K174" s="12" t="s">
        <v>28</v>
      </c>
      <c r="L174" s="12" t="s">
        <v>28</v>
      </c>
      <c r="M174" s="12" t="s">
        <v>38</v>
      </c>
      <c r="N174" s="9">
        <v>0</v>
      </c>
      <c r="O174" s="12" t="s">
        <v>28</v>
      </c>
      <c r="P174" s="9">
        <v>8635000000</v>
      </c>
      <c r="Q174" s="10">
        <v>40407</v>
      </c>
      <c r="R174" s="9">
        <v>23727000000</v>
      </c>
      <c r="S174" s="10">
        <v>42726</v>
      </c>
      <c r="T174" s="37">
        <v>0</v>
      </c>
      <c r="U174" s="10" t="s">
        <v>28</v>
      </c>
      <c r="V174" s="34" t="s">
        <v>506</v>
      </c>
      <c r="W174" s="15" t="s">
        <v>881</v>
      </c>
      <c r="X174" s="21" t="s">
        <v>887</v>
      </c>
      <c r="Y174" s="67" t="s">
        <v>68</v>
      </c>
      <c r="Z174" s="33" t="s">
        <v>887</v>
      </c>
    </row>
    <row r="175" spans="1:26">
      <c r="A175" s="31">
        <v>173</v>
      </c>
      <c r="B175" s="8" t="s">
        <v>25</v>
      </c>
      <c r="C175" s="8" t="s">
        <v>26</v>
      </c>
      <c r="D175" s="12" t="s">
        <v>32</v>
      </c>
      <c r="E175" s="12" t="s">
        <v>502</v>
      </c>
      <c r="F175" s="34" t="s">
        <v>513</v>
      </c>
      <c r="G175" s="34" t="s">
        <v>514</v>
      </c>
      <c r="H175" s="36" t="s">
        <v>515</v>
      </c>
      <c r="I175" s="12" t="s">
        <v>43</v>
      </c>
      <c r="J175" s="12" t="s">
        <v>38</v>
      </c>
      <c r="K175" s="12" t="s">
        <v>28</v>
      </c>
      <c r="L175" s="12" t="s">
        <v>28</v>
      </c>
      <c r="M175" s="12" t="s">
        <v>38</v>
      </c>
      <c r="N175" s="9">
        <v>11027500000</v>
      </c>
      <c r="O175" s="10">
        <v>39542</v>
      </c>
      <c r="P175" s="9">
        <v>7535000000.000001</v>
      </c>
      <c r="Q175" s="10">
        <v>40539</v>
      </c>
      <c r="R175" s="9">
        <v>14916000000</v>
      </c>
      <c r="S175" s="10">
        <v>42538</v>
      </c>
      <c r="T175" s="37">
        <v>0</v>
      </c>
      <c r="U175" s="10" t="s">
        <v>28</v>
      </c>
      <c r="V175" s="34" t="s">
        <v>506</v>
      </c>
      <c r="W175" s="15" t="s">
        <v>881</v>
      </c>
      <c r="X175" s="21" t="s">
        <v>887</v>
      </c>
      <c r="Y175" s="67" t="s">
        <v>68</v>
      </c>
      <c r="Z175" s="33" t="s">
        <v>887</v>
      </c>
    </row>
    <row r="176" spans="1:26">
      <c r="A176" s="31">
        <v>174</v>
      </c>
      <c r="B176" s="8" t="s">
        <v>25</v>
      </c>
      <c r="C176" s="8" t="s">
        <v>26</v>
      </c>
      <c r="D176" s="12" t="s">
        <v>32</v>
      </c>
      <c r="E176" s="12" t="s">
        <v>502</v>
      </c>
      <c r="F176" s="34" t="s">
        <v>516</v>
      </c>
      <c r="G176" s="34" t="s">
        <v>517</v>
      </c>
      <c r="H176" s="36" t="s">
        <v>518</v>
      </c>
      <c r="I176" s="12" t="s">
        <v>43</v>
      </c>
      <c r="J176" s="12" t="s">
        <v>38</v>
      </c>
      <c r="K176" s="12" t="s">
        <v>28</v>
      </c>
      <c r="L176" s="12" t="s">
        <v>28</v>
      </c>
      <c r="M176" s="12" t="s">
        <v>38</v>
      </c>
      <c r="N176" s="9">
        <v>0</v>
      </c>
      <c r="O176" s="12" t="s">
        <v>28</v>
      </c>
      <c r="P176" s="9">
        <v>5324000000</v>
      </c>
      <c r="Q176" s="10">
        <v>40610</v>
      </c>
      <c r="R176" s="9">
        <v>15684000000</v>
      </c>
      <c r="S176" s="10">
        <v>42580</v>
      </c>
      <c r="T176" s="37">
        <v>0</v>
      </c>
      <c r="U176" s="10" t="s">
        <v>28</v>
      </c>
      <c r="V176" s="34" t="s">
        <v>506</v>
      </c>
      <c r="W176" s="15" t="s">
        <v>881</v>
      </c>
      <c r="X176" s="21" t="s">
        <v>887</v>
      </c>
      <c r="Y176" s="67" t="s">
        <v>68</v>
      </c>
      <c r="Z176" s="33" t="s">
        <v>887</v>
      </c>
    </row>
    <row r="177" spans="1:26">
      <c r="A177" s="31">
        <v>175</v>
      </c>
      <c r="B177" s="8" t="s">
        <v>25</v>
      </c>
      <c r="C177" s="8" t="s">
        <v>26</v>
      </c>
      <c r="D177" s="12" t="s">
        <v>32</v>
      </c>
      <c r="E177" s="12" t="s">
        <v>502</v>
      </c>
      <c r="F177" s="34" t="s">
        <v>519</v>
      </c>
      <c r="G177" s="34" t="s">
        <v>520</v>
      </c>
      <c r="H177" s="36" t="s">
        <v>521</v>
      </c>
      <c r="I177" s="12" t="s">
        <v>125</v>
      </c>
      <c r="J177" s="12" t="s">
        <v>38</v>
      </c>
      <c r="K177" s="12" t="s">
        <v>28</v>
      </c>
      <c r="L177" s="12" t="s">
        <v>28</v>
      </c>
      <c r="M177" s="12" t="s">
        <v>38</v>
      </c>
      <c r="N177" s="9">
        <v>0</v>
      </c>
      <c r="O177" s="12" t="s">
        <v>28</v>
      </c>
      <c r="P177" s="9">
        <v>7018000000.000001</v>
      </c>
      <c r="Q177" s="10">
        <v>40476</v>
      </c>
      <c r="R177" s="9">
        <v>8360000000</v>
      </c>
      <c r="S177" s="10">
        <v>42733</v>
      </c>
      <c r="T177" s="37">
        <v>0</v>
      </c>
      <c r="U177" s="10" t="s">
        <v>28</v>
      </c>
      <c r="V177" s="34" t="s">
        <v>506</v>
      </c>
      <c r="W177" s="15" t="s">
        <v>881</v>
      </c>
      <c r="X177" s="21" t="s">
        <v>887</v>
      </c>
      <c r="Y177" s="67" t="s">
        <v>68</v>
      </c>
      <c r="Z177" s="33" t="s">
        <v>887</v>
      </c>
    </row>
    <row r="178" spans="1:26">
      <c r="A178" s="31">
        <v>176</v>
      </c>
      <c r="B178" s="8" t="s">
        <v>25</v>
      </c>
      <c r="C178" s="8" t="s">
        <v>26</v>
      </c>
      <c r="D178" s="12" t="s">
        <v>32</v>
      </c>
      <c r="E178" s="12" t="s">
        <v>502</v>
      </c>
      <c r="F178" s="34" t="s">
        <v>522</v>
      </c>
      <c r="G178" s="34" t="s">
        <v>523</v>
      </c>
      <c r="H178" s="36" t="s">
        <v>524</v>
      </c>
      <c r="I178" s="12" t="s">
        <v>125</v>
      </c>
      <c r="J178" s="12" t="s">
        <v>38</v>
      </c>
      <c r="K178" s="12" t="s">
        <v>28</v>
      </c>
      <c r="L178" s="12" t="s">
        <v>28</v>
      </c>
      <c r="M178" s="12" t="s">
        <v>38</v>
      </c>
      <c r="N178" s="9">
        <v>8476600000.000001</v>
      </c>
      <c r="O178" s="10">
        <v>39932</v>
      </c>
      <c r="P178" s="9">
        <v>8137841897</v>
      </c>
      <c r="Q178" s="10">
        <v>40697</v>
      </c>
      <c r="R178" s="9">
        <v>5074000000</v>
      </c>
      <c r="S178" s="10">
        <v>42621</v>
      </c>
      <c r="T178" s="37">
        <v>0</v>
      </c>
      <c r="U178" s="10" t="s">
        <v>28</v>
      </c>
      <c r="V178" s="34" t="s">
        <v>506</v>
      </c>
      <c r="W178" s="15" t="s">
        <v>881</v>
      </c>
      <c r="X178" s="21" t="s">
        <v>887</v>
      </c>
      <c r="Y178" s="67" t="s">
        <v>68</v>
      </c>
      <c r="Z178" s="33" t="s">
        <v>887</v>
      </c>
    </row>
    <row r="179" spans="1:26">
      <c r="A179" s="31">
        <v>177</v>
      </c>
      <c r="B179" s="8" t="s">
        <v>25</v>
      </c>
      <c r="C179" s="8" t="s">
        <v>26</v>
      </c>
      <c r="D179" s="12" t="s">
        <v>32</v>
      </c>
      <c r="E179" s="12" t="s">
        <v>502</v>
      </c>
      <c r="F179" s="34" t="s">
        <v>525</v>
      </c>
      <c r="G179" s="34" t="s">
        <v>526</v>
      </c>
      <c r="H179" s="36" t="s">
        <v>527</v>
      </c>
      <c r="I179" s="12" t="s">
        <v>528</v>
      </c>
      <c r="J179" s="12" t="s">
        <v>38</v>
      </c>
      <c r="K179" s="12" t="s">
        <v>28</v>
      </c>
      <c r="L179" s="12" t="s">
        <v>28</v>
      </c>
      <c r="M179" s="12" t="s">
        <v>38</v>
      </c>
      <c r="N179" s="9">
        <v>0</v>
      </c>
      <c r="O179" s="12" t="s">
        <v>28</v>
      </c>
      <c r="P179" s="35">
        <v>0</v>
      </c>
      <c r="Q179" s="12" t="s">
        <v>28</v>
      </c>
      <c r="R179" s="9">
        <v>5331000000</v>
      </c>
      <c r="S179" s="10">
        <v>42429</v>
      </c>
      <c r="T179" s="37">
        <v>0</v>
      </c>
      <c r="U179" s="10" t="s">
        <v>28</v>
      </c>
      <c r="V179" s="34" t="s">
        <v>506</v>
      </c>
      <c r="W179" s="15" t="s">
        <v>881</v>
      </c>
      <c r="X179" s="21" t="s">
        <v>887</v>
      </c>
      <c r="Y179" s="67" t="s">
        <v>68</v>
      </c>
      <c r="Z179" s="33" t="s">
        <v>887</v>
      </c>
    </row>
    <row r="180" spans="1:26">
      <c r="A180" s="31">
        <v>178</v>
      </c>
      <c r="B180" s="8" t="s">
        <v>25</v>
      </c>
      <c r="C180" s="8" t="s">
        <v>26</v>
      </c>
      <c r="D180" s="12" t="s">
        <v>32</v>
      </c>
      <c r="E180" s="12" t="s">
        <v>502</v>
      </c>
      <c r="F180" s="34" t="s">
        <v>529</v>
      </c>
      <c r="G180" s="34" t="s">
        <v>530</v>
      </c>
      <c r="H180" s="36" t="s">
        <v>531</v>
      </c>
      <c r="I180" s="12" t="s">
        <v>37</v>
      </c>
      <c r="J180" s="12" t="s">
        <v>38</v>
      </c>
      <c r="K180" s="12" t="s">
        <v>28</v>
      </c>
      <c r="L180" s="12" t="s">
        <v>28</v>
      </c>
      <c r="M180" s="12" t="s">
        <v>38</v>
      </c>
      <c r="N180" s="9">
        <v>0</v>
      </c>
      <c r="O180" s="12" t="s">
        <v>28</v>
      </c>
      <c r="P180" s="35">
        <v>0</v>
      </c>
      <c r="Q180" s="12" t="s">
        <v>28</v>
      </c>
      <c r="R180" s="35">
        <v>0</v>
      </c>
      <c r="S180" s="10" t="s">
        <v>28</v>
      </c>
      <c r="T180" s="9">
        <v>5244000000</v>
      </c>
      <c r="U180" s="10">
        <v>45426</v>
      </c>
      <c r="V180" s="34" t="s">
        <v>506</v>
      </c>
      <c r="W180" s="15" t="s">
        <v>881</v>
      </c>
      <c r="X180" s="21" t="s">
        <v>887</v>
      </c>
      <c r="Y180" s="67" t="s">
        <v>68</v>
      </c>
      <c r="Z180" s="33" t="s">
        <v>887</v>
      </c>
    </row>
    <row r="181" spans="1:26">
      <c r="A181" s="31">
        <v>179</v>
      </c>
      <c r="B181" s="8" t="s">
        <v>25</v>
      </c>
      <c r="C181" s="8" t="s">
        <v>26</v>
      </c>
      <c r="D181" s="12" t="s">
        <v>32</v>
      </c>
      <c r="E181" s="12" t="s">
        <v>502</v>
      </c>
      <c r="F181" s="34" t="s">
        <v>532</v>
      </c>
      <c r="G181" s="34" t="s">
        <v>533</v>
      </c>
      <c r="H181" s="36" t="s">
        <v>534</v>
      </c>
      <c r="I181" s="12" t="s">
        <v>118</v>
      </c>
      <c r="J181" s="12" t="s">
        <v>38</v>
      </c>
      <c r="K181" s="12" t="s">
        <v>28</v>
      </c>
      <c r="L181" s="12" t="s">
        <v>28</v>
      </c>
      <c r="M181" s="12" t="s">
        <v>38</v>
      </c>
      <c r="N181" s="9">
        <v>0</v>
      </c>
      <c r="O181" s="12" t="s">
        <v>28</v>
      </c>
      <c r="P181" s="35">
        <v>0</v>
      </c>
      <c r="Q181" s="12" t="s">
        <v>28</v>
      </c>
      <c r="R181" s="35">
        <v>0</v>
      </c>
      <c r="S181" s="10" t="s">
        <v>28</v>
      </c>
      <c r="T181" s="37">
        <v>4554748000</v>
      </c>
      <c r="U181" s="10">
        <v>45476</v>
      </c>
      <c r="V181" s="34" t="s">
        <v>506</v>
      </c>
      <c r="W181" s="15" t="s">
        <v>881</v>
      </c>
      <c r="X181" s="21" t="s">
        <v>887</v>
      </c>
      <c r="Y181" s="67" t="s">
        <v>68</v>
      </c>
      <c r="Z181" s="33" t="s">
        <v>887</v>
      </c>
    </row>
    <row r="182" spans="1:26">
      <c r="A182" s="31">
        <v>180</v>
      </c>
      <c r="B182" s="8" t="s">
        <v>25</v>
      </c>
      <c r="C182" s="8" t="s">
        <v>26</v>
      </c>
      <c r="D182" s="12" t="s">
        <v>32</v>
      </c>
      <c r="E182" s="12" t="s">
        <v>502</v>
      </c>
      <c r="F182" s="34" t="s">
        <v>535</v>
      </c>
      <c r="G182" s="34" t="s">
        <v>536</v>
      </c>
      <c r="H182" s="36" t="s">
        <v>537</v>
      </c>
      <c r="I182" s="12" t="s">
        <v>43</v>
      </c>
      <c r="J182" s="12" t="s">
        <v>38</v>
      </c>
      <c r="K182" s="12" t="s">
        <v>28</v>
      </c>
      <c r="L182" s="12" t="s">
        <v>28</v>
      </c>
      <c r="M182" s="12" t="s">
        <v>38</v>
      </c>
      <c r="N182" s="9">
        <v>0</v>
      </c>
      <c r="O182" s="12" t="s">
        <v>28</v>
      </c>
      <c r="P182" s="35">
        <v>0</v>
      </c>
      <c r="Q182" s="12" t="s">
        <v>28</v>
      </c>
      <c r="R182" s="9">
        <v>11022000000</v>
      </c>
      <c r="S182" s="10">
        <v>43068</v>
      </c>
      <c r="T182" s="37">
        <v>0</v>
      </c>
      <c r="U182" s="10" t="s">
        <v>28</v>
      </c>
      <c r="V182" s="34" t="s">
        <v>506</v>
      </c>
      <c r="W182" s="15" t="s">
        <v>881</v>
      </c>
      <c r="X182" s="21" t="s">
        <v>887</v>
      </c>
      <c r="Y182" s="67" t="s">
        <v>68</v>
      </c>
      <c r="Z182" s="33" t="s">
        <v>887</v>
      </c>
    </row>
    <row r="183" spans="1:26">
      <c r="A183" s="31">
        <v>181</v>
      </c>
      <c r="B183" s="8" t="s">
        <v>25</v>
      </c>
      <c r="C183" s="8" t="s">
        <v>26</v>
      </c>
      <c r="D183" s="12" t="s">
        <v>32</v>
      </c>
      <c r="E183" s="12" t="s">
        <v>502</v>
      </c>
      <c r="F183" s="34" t="s">
        <v>538</v>
      </c>
      <c r="G183" s="34" t="s">
        <v>539</v>
      </c>
      <c r="H183" s="36" t="s">
        <v>540</v>
      </c>
      <c r="I183" s="12" t="s">
        <v>118</v>
      </c>
      <c r="J183" s="12" t="s">
        <v>38</v>
      </c>
      <c r="K183" s="12" t="s">
        <v>38</v>
      </c>
      <c r="L183" s="12" t="s">
        <v>28</v>
      </c>
      <c r="M183" s="12" t="s">
        <v>28</v>
      </c>
      <c r="N183" s="9">
        <v>0</v>
      </c>
      <c r="O183" s="12" t="s">
        <v>28</v>
      </c>
      <c r="P183" s="9">
        <v>133650000000</v>
      </c>
      <c r="Q183" s="10">
        <v>40704</v>
      </c>
      <c r="R183" s="9">
        <v>46824000000</v>
      </c>
      <c r="S183" s="10">
        <v>42842</v>
      </c>
      <c r="T183" s="37">
        <v>0</v>
      </c>
      <c r="U183" s="10" t="s">
        <v>28</v>
      </c>
      <c r="V183" s="34" t="s">
        <v>506</v>
      </c>
      <c r="W183" s="15" t="s">
        <v>881</v>
      </c>
      <c r="X183" s="21" t="s">
        <v>887</v>
      </c>
      <c r="Y183" s="67" t="s">
        <v>68</v>
      </c>
      <c r="Z183" s="33" t="s">
        <v>887</v>
      </c>
    </row>
    <row r="184" spans="1:26">
      <c r="A184" s="31">
        <v>182</v>
      </c>
      <c r="B184" s="8" t="s">
        <v>25</v>
      </c>
      <c r="C184" s="8" t="s">
        <v>26</v>
      </c>
      <c r="D184" s="12" t="s">
        <v>32</v>
      </c>
      <c r="E184" s="12" t="s">
        <v>502</v>
      </c>
      <c r="F184" s="34" t="s">
        <v>541</v>
      </c>
      <c r="G184" s="34" t="s">
        <v>542</v>
      </c>
      <c r="H184" s="36" t="s">
        <v>543</v>
      </c>
      <c r="I184" s="12" t="s">
        <v>118</v>
      </c>
      <c r="J184" s="12" t="s">
        <v>38</v>
      </c>
      <c r="K184" s="12" t="s">
        <v>38</v>
      </c>
      <c r="L184" s="12" t="s">
        <v>28</v>
      </c>
      <c r="M184" s="12" t="s">
        <v>28</v>
      </c>
      <c r="N184" s="9">
        <v>0</v>
      </c>
      <c r="O184" s="12" t="s">
        <v>28</v>
      </c>
      <c r="P184" s="9">
        <v>9130000000</v>
      </c>
      <c r="Q184" s="10">
        <v>40779</v>
      </c>
      <c r="R184" s="35">
        <v>0</v>
      </c>
      <c r="S184" s="10" t="s">
        <v>28</v>
      </c>
      <c r="T184" s="37">
        <v>0</v>
      </c>
      <c r="U184" s="10" t="s">
        <v>28</v>
      </c>
      <c r="V184" s="34" t="s">
        <v>506</v>
      </c>
      <c r="W184" s="15" t="s">
        <v>881</v>
      </c>
      <c r="X184" s="21" t="s">
        <v>887</v>
      </c>
      <c r="Y184" s="67" t="s">
        <v>68</v>
      </c>
      <c r="Z184" s="33" t="s">
        <v>887</v>
      </c>
    </row>
    <row r="185" spans="1:26">
      <c r="A185" s="31">
        <v>182</v>
      </c>
      <c r="B185" s="8" t="s">
        <v>25</v>
      </c>
      <c r="C185" s="8" t="s">
        <v>26</v>
      </c>
      <c r="D185" s="12" t="s">
        <v>32</v>
      </c>
      <c r="E185" s="12" t="s">
        <v>502</v>
      </c>
      <c r="F185" s="34" t="s">
        <v>544</v>
      </c>
      <c r="G185" s="34" t="s">
        <v>545</v>
      </c>
      <c r="H185" s="36" t="s">
        <v>546</v>
      </c>
      <c r="I185" s="12"/>
      <c r="J185" s="12"/>
      <c r="K185" s="12"/>
      <c r="L185" s="12"/>
      <c r="M185" s="12"/>
      <c r="N185" s="9">
        <v>0</v>
      </c>
      <c r="O185" s="12"/>
      <c r="P185" s="9">
        <v>0</v>
      </c>
      <c r="Q185" s="10"/>
      <c r="R185" s="35">
        <v>3971000000.0000005</v>
      </c>
      <c r="S185" s="10">
        <v>43159</v>
      </c>
      <c r="T185" s="37"/>
      <c r="U185" s="10"/>
      <c r="V185" s="34" t="s">
        <v>506</v>
      </c>
      <c r="W185" s="15" t="s">
        <v>881</v>
      </c>
      <c r="X185" s="21" t="s">
        <v>887</v>
      </c>
      <c r="Y185" s="67" t="s">
        <v>68</v>
      </c>
      <c r="Z185" s="33" t="s">
        <v>887</v>
      </c>
    </row>
    <row r="186" spans="1:26">
      <c r="A186" s="31">
        <v>183</v>
      </c>
      <c r="B186" s="8" t="s">
        <v>25</v>
      </c>
      <c r="C186" s="8" t="s">
        <v>26</v>
      </c>
      <c r="D186" s="12" t="s">
        <v>32</v>
      </c>
      <c r="E186" s="12" t="s">
        <v>502</v>
      </c>
      <c r="F186" s="34" t="s">
        <v>547</v>
      </c>
      <c r="G186" s="34" t="s">
        <v>28</v>
      </c>
      <c r="H186" s="36" t="s">
        <v>548</v>
      </c>
      <c r="I186" s="12" t="s">
        <v>125</v>
      </c>
      <c r="J186" s="12" t="s">
        <v>38</v>
      </c>
      <c r="K186" s="12" t="s">
        <v>28</v>
      </c>
      <c r="L186" s="12" t="s">
        <v>28</v>
      </c>
      <c r="M186" s="12" t="s">
        <v>38</v>
      </c>
      <c r="N186" s="9">
        <v>0</v>
      </c>
      <c r="O186" s="12" t="s">
        <v>28</v>
      </c>
      <c r="P186" s="35">
        <v>0</v>
      </c>
      <c r="Q186" s="12" t="s">
        <v>28</v>
      </c>
      <c r="R186" s="35">
        <v>0</v>
      </c>
      <c r="S186" s="10" t="s">
        <v>28</v>
      </c>
      <c r="T186" s="37">
        <v>0</v>
      </c>
      <c r="U186" s="10" t="s">
        <v>28</v>
      </c>
      <c r="V186" s="34" t="s">
        <v>68</v>
      </c>
      <c r="W186" s="15" t="s">
        <v>68</v>
      </c>
      <c r="X186" s="21" t="s">
        <v>887</v>
      </c>
      <c r="Y186" s="67" t="s">
        <v>68</v>
      </c>
      <c r="Z186" s="33" t="s">
        <v>887</v>
      </c>
    </row>
    <row r="187" spans="1:26">
      <c r="A187" s="31">
        <v>184</v>
      </c>
      <c r="B187" s="8" t="s">
        <v>25</v>
      </c>
      <c r="C187" s="8" t="s">
        <v>26</v>
      </c>
      <c r="D187" s="12" t="s">
        <v>32</v>
      </c>
      <c r="E187" s="12" t="s">
        <v>502</v>
      </c>
      <c r="F187" s="34" t="s">
        <v>549</v>
      </c>
      <c r="G187" s="34" t="s">
        <v>550</v>
      </c>
      <c r="H187" s="36" t="s">
        <v>551</v>
      </c>
      <c r="I187" s="12" t="s">
        <v>125</v>
      </c>
      <c r="J187" s="12" t="s">
        <v>38</v>
      </c>
      <c r="K187" s="12" t="s">
        <v>28</v>
      </c>
      <c r="L187" s="12" t="s">
        <v>28</v>
      </c>
      <c r="M187" s="12" t="s">
        <v>38</v>
      </c>
      <c r="N187" s="9">
        <v>0</v>
      </c>
      <c r="O187" s="12" t="s">
        <v>28</v>
      </c>
      <c r="P187" s="35">
        <v>0</v>
      </c>
      <c r="Q187" s="12" t="s">
        <v>28</v>
      </c>
      <c r="R187" s="35">
        <v>368500000</v>
      </c>
      <c r="S187" s="10">
        <v>43122</v>
      </c>
      <c r="T187" s="37">
        <v>0</v>
      </c>
      <c r="U187" s="10" t="s">
        <v>28</v>
      </c>
      <c r="V187" s="34" t="s">
        <v>506</v>
      </c>
      <c r="W187" s="15" t="s">
        <v>881</v>
      </c>
      <c r="X187" s="21" t="s">
        <v>887</v>
      </c>
      <c r="Y187" s="67" t="s">
        <v>68</v>
      </c>
      <c r="Z187" s="33" t="s">
        <v>887</v>
      </c>
    </row>
    <row r="188" spans="1:26">
      <c r="A188" s="31">
        <v>185</v>
      </c>
      <c r="B188" s="8" t="s">
        <v>25</v>
      </c>
      <c r="C188" s="8" t="s">
        <v>26</v>
      </c>
      <c r="D188" s="12" t="s">
        <v>32</v>
      </c>
      <c r="E188" s="12" t="s">
        <v>502</v>
      </c>
      <c r="F188" s="34" t="s">
        <v>552</v>
      </c>
      <c r="G188" s="34" t="s">
        <v>553</v>
      </c>
      <c r="H188" s="36" t="s">
        <v>554</v>
      </c>
      <c r="I188" s="12" t="s">
        <v>118</v>
      </c>
      <c r="J188" s="12" t="s">
        <v>38</v>
      </c>
      <c r="K188" s="12" t="s">
        <v>38</v>
      </c>
      <c r="L188" s="12" t="s">
        <v>28</v>
      </c>
      <c r="M188" s="12" t="s">
        <v>28</v>
      </c>
      <c r="N188" s="9">
        <v>0</v>
      </c>
      <c r="O188" s="12" t="s">
        <v>28</v>
      </c>
      <c r="P188" s="9">
        <v>11900000000</v>
      </c>
      <c r="Q188" s="10">
        <v>41019</v>
      </c>
      <c r="R188" s="35">
        <v>0</v>
      </c>
      <c r="S188" s="10" t="s">
        <v>28</v>
      </c>
      <c r="T188" s="37">
        <v>0</v>
      </c>
      <c r="U188" s="10" t="s">
        <v>28</v>
      </c>
      <c r="V188" s="34" t="s">
        <v>555</v>
      </c>
      <c r="W188" s="15" t="s">
        <v>881</v>
      </c>
      <c r="X188" s="21" t="s">
        <v>887</v>
      </c>
      <c r="Y188" s="67" t="s">
        <v>68</v>
      </c>
      <c r="Z188" s="33" t="s">
        <v>887</v>
      </c>
    </row>
    <row r="189" spans="1:26">
      <c r="A189" s="31">
        <v>185</v>
      </c>
      <c r="B189" s="8" t="s">
        <v>25</v>
      </c>
      <c r="C189" s="8" t="s">
        <v>26</v>
      </c>
      <c r="D189" s="12" t="s">
        <v>32</v>
      </c>
      <c r="E189" s="12" t="s">
        <v>502</v>
      </c>
      <c r="F189" s="34" t="s">
        <v>556</v>
      </c>
      <c r="G189" s="34" t="s">
        <v>557</v>
      </c>
      <c r="H189" s="36" t="s">
        <v>558</v>
      </c>
      <c r="I189" s="12"/>
      <c r="J189" s="12"/>
      <c r="K189" s="12"/>
      <c r="L189" s="12"/>
      <c r="M189" s="12"/>
      <c r="N189" s="9">
        <v>0</v>
      </c>
      <c r="O189" s="12" t="s">
        <v>28</v>
      </c>
      <c r="P189" s="9">
        <v>0</v>
      </c>
      <c r="Q189" s="12" t="s">
        <v>28</v>
      </c>
      <c r="R189" s="35">
        <v>4290000000.0000005</v>
      </c>
      <c r="S189" s="10">
        <v>42361</v>
      </c>
      <c r="T189" s="37"/>
      <c r="U189" s="10"/>
      <c r="V189" s="34" t="s">
        <v>555</v>
      </c>
      <c r="W189" s="15" t="s">
        <v>881</v>
      </c>
      <c r="X189" s="21" t="s">
        <v>887</v>
      </c>
      <c r="Y189" s="67" t="s">
        <v>68</v>
      </c>
      <c r="Z189" s="33" t="s">
        <v>887</v>
      </c>
    </row>
    <row r="190" spans="1:26">
      <c r="A190" s="31">
        <v>186</v>
      </c>
      <c r="B190" s="8" t="s">
        <v>25</v>
      </c>
      <c r="C190" s="8" t="s">
        <v>26</v>
      </c>
      <c r="D190" s="12" t="s">
        <v>32</v>
      </c>
      <c r="E190" s="12" t="s">
        <v>502</v>
      </c>
      <c r="F190" s="34" t="s">
        <v>559</v>
      </c>
      <c r="G190" s="34" t="s">
        <v>560</v>
      </c>
      <c r="H190" s="36" t="s">
        <v>561</v>
      </c>
      <c r="I190" s="12" t="s">
        <v>53</v>
      </c>
      <c r="J190" s="12" t="s">
        <v>38</v>
      </c>
      <c r="K190" s="12" t="s">
        <v>28</v>
      </c>
      <c r="L190" s="12" t="s">
        <v>28</v>
      </c>
      <c r="M190" s="12" t="s">
        <v>432</v>
      </c>
      <c r="N190" s="9">
        <v>0</v>
      </c>
      <c r="O190" s="12" t="s">
        <v>28</v>
      </c>
      <c r="P190" s="35">
        <v>0</v>
      </c>
      <c r="Q190" s="12" t="s">
        <v>28</v>
      </c>
      <c r="R190" s="35">
        <v>0</v>
      </c>
      <c r="S190" s="10" t="s">
        <v>28</v>
      </c>
      <c r="T190" s="37">
        <v>0</v>
      </c>
      <c r="U190" s="10" t="s">
        <v>28</v>
      </c>
      <c r="V190" s="34" t="s">
        <v>68</v>
      </c>
      <c r="W190" s="15" t="s">
        <v>68</v>
      </c>
      <c r="X190" s="21" t="s">
        <v>887</v>
      </c>
      <c r="Y190" s="67" t="s">
        <v>68</v>
      </c>
      <c r="Z190" s="33" t="s">
        <v>887</v>
      </c>
    </row>
    <row r="191" spans="1:26">
      <c r="A191" s="31">
        <v>187</v>
      </c>
      <c r="B191" s="8" t="s">
        <v>25</v>
      </c>
      <c r="C191" s="8" t="s">
        <v>26</v>
      </c>
      <c r="D191" s="12" t="s">
        <v>32</v>
      </c>
      <c r="E191" s="12" t="s">
        <v>502</v>
      </c>
      <c r="F191" s="34" t="s">
        <v>562</v>
      </c>
      <c r="G191" s="34" t="s">
        <v>563</v>
      </c>
      <c r="H191" s="36" t="s">
        <v>564</v>
      </c>
      <c r="I191" s="12" t="s">
        <v>57</v>
      </c>
      <c r="J191" s="12" t="s">
        <v>38</v>
      </c>
      <c r="K191" s="12" t="s">
        <v>28</v>
      </c>
      <c r="L191" s="12" t="s">
        <v>28</v>
      </c>
      <c r="M191" s="12" t="s">
        <v>38</v>
      </c>
      <c r="N191" s="9">
        <v>0</v>
      </c>
      <c r="O191" s="12" t="s">
        <v>28</v>
      </c>
      <c r="P191" s="9">
        <v>13605900000.000002</v>
      </c>
      <c r="Q191" s="10">
        <v>40540</v>
      </c>
      <c r="R191" s="9">
        <v>12731000000</v>
      </c>
      <c r="S191" s="10">
        <v>42369</v>
      </c>
      <c r="T191" s="9">
        <v>24205000000</v>
      </c>
      <c r="U191" s="10">
        <v>45281</v>
      </c>
      <c r="V191" s="34" t="s">
        <v>506</v>
      </c>
      <c r="W191" s="15" t="s">
        <v>881</v>
      </c>
      <c r="X191" s="21" t="s">
        <v>887</v>
      </c>
      <c r="Y191" s="67" t="s">
        <v>68</v>
      </c>
      <c r="Z191" s="33" t="s">
        <v>887</v>
      </c>
    </row>
    <row r="192" spans="1:26">
      <c r="A192" s="31">
        <v>188</v>
      </c>
      <c r="B192" s="8" t="s">
        <v>25</v>
      </c>
      <c r="C192" s="8" t="s">
        <v>26</v>
      </c>
      <c r="D192" s="12" t="s">
        <v>32</v>
      </c>
      <c r="E192" s="12" t="s">
        <v>502</v>
      </c>
      <c r="F192" s="34" t="s">
        <v>565</v>
      </c>
      <c r="G192" s="34" t="s">
        <v>566</v>
      </c>
      <c r="H192" s="36" t="s">
        <v>567</v>
      </c>
      <c r="I192" s="12" t="s">
        <v>118</v>
      </c>
      <c r="J192" s="12" t="s">
        <v>38</v>
      </c>
      <c r="K192" s="12" t="s">
        <v>28</v>
      </c>
      <c r="L192" s="12" t="s">
        <v>28</v>
      </c>
      <c r="M192" s="12" t="s">
        <v>38</v>
      </c>
      <c r="N192" s="9">
        <v>0</v>
      </c>
      <c r="O192" s="12" t="s">
        <v>28</v>
      </c>
      <c r="P192" s="35">
        <v>0</v>
      </c>
      <c r="Q192" s="12" t="s">
        <v>28</v>
      </c>
      <c r="R192" s="35">
        <v>3512366000.0000005</v>
      </c>
      <c r="S192" s="10">
        <v>42683</v>
      </c>
      <c r="T192" s="37">
        <v>0</v>
      </c>
      <c r="U192" s="10" t="s">
        <v>28</v>
      </c>
      <c r="V192" s="34" t="s">
        <v>506</v>
      </c>
      <c r="W192" s="15" t="s">
        <v>881</v>
      </c>
      <c r="X192" s="21" t="s">
        <v>887</v>
      </c>
      <c r="Y192" s="67" t="s">
        <v>68</v>
      </c>
      <c r="Z192" s="33" t="s">
        <v>887</v>
      </c>
    </row>
    <row r="193" spans="1:26">
      <c r="A193" s="31">
        <v>189</v>
      </c>
      <c r="B193" s="8" t="s">
        <v>25</v>
      </c>
      <c r="C193" s="8" t="s">
        <v>26</v>
      </c>
      <c r="D193" s="12" t="s">
        <v>32</v>
      </c>
      <c r="E193" s="12" t="s">
        <v>502</v>
      </c>
      <c r="F193" s="34" t="s">
        <v>568</v>
      </c>
      <c r="G193" s="34" t="s">
        <v>569</v>
      </c>
      <c r="H193" s="36" t="s">
        <v>570</v>
      </c>
      <c r="I193" s="12" t="s">
        <v>118</v>
      </c>
      <c r="J193" s="12" t="s">
        <v>38</v>
      </c>
      <c r="K193" s="12" t="s">
        <v>28</v>
      </c>
      <c r="L193" s="12" t="s">
        <v>28</v>
      </c>
      <c r="M193" s="12" t="s">
        <v>38</v>
      </c>
      <c r="N193" s="9">
        <v>0</v>
      </c>
      <c r="O193" s="12" t="s">
        <v>28</v>
      </c>
      <c r="P193" s="35">
        <v>0</v>
      </c>
      <c r="Q193" s="12" t="s">
        <v>28</v>
      </c>
      <c r="R193" s="35">
        <v>2090000000.0000002</v>
      </c>
      <c r="S193" s="10">
        <v>42402</v>
      </c>
      <c r="T193" s="37">
        <v>3364900000.0000005</v>
      </c>
      <c r="U193" s="38">
        <v>45540</v>
      </c>
      <c r="V193" s="34" t="s">
        <v>506</v>
      </c>
      <c r="W193" s="15" t="s">
        <v>881</v>
      </c>
      <c r="X193" s="21" t="s">
        <v>887</v>
      </c>
      <c r="Y193" s="67" t="s">
        <v>68</v>
      </c>
      <c r="Z193" s="33" t="s">
        <v>887</v>
      </c>
    </row>
    <row r="194" spans="1:26">
      <c r="A194" s="31">
        <v>190</v>
      </c>
      <c r="B194" s="8" t="s">
        <v>25</v>
      </c>
      <c r="C194" s="8" t="s">
        <v>26</v>
      </c>
      <c r="D194" s="12" t="s">
        <v>32</v>
      </c>
      <c r="E194" s="12" t="s">
        <v>502</v>
      </c>
      <c r="F194" s="34" t="s">
        <v>571</v>
      </c>
      <c r="G194" s="34" t="s">
        <v>572</v>
      </c>
      <c r="H194" s="36" t="s">
        <v>573</v>
      </c>
      <c r="I194" s="12" t="s">
        <v>53</v>
      </c>
      <c r="J194" s="12" t="s">
        <v>38</v>
      </c>
      <c r="K194" s="12" t="s">
        <v>28</v>
      </c>
      <c r="L194" s="12" t="s">
        <v>28</v>
      </c>
      <c r="M194" s="12" t="s">
        <v>38</v>
      </c>
      <c r="N194" s="9">
        <v>0</v>
      </c>
      <c r="O194" s="12" t="s">
        <v>28</v>
      </c>
      <c r="P194" s="35">
        <v>0</v>
      </c>
      <c r="Q194" s="12" t="s">
        <v>28</v>
      </c>
      <c r="R194" s="35">
        <v>73700000</v>
      </c>
      <c r="S194" s="10">
        <v>43398</v>
      </c>
      <c r="T194" s="37">
        <v>0</v>
      </c>
      <c r="U194" s="10" t="s">
        <v>28</v>
      </c>
      <c r="V194" s="34" t="s">
        <v>506</v>
      </c>
      <c r="W194" s="15" t="s">
        <v>881</v>
      </c>
      <c r="X194" s="21" t="s">
        <v>887</v>
      </c>
      <c r="Y194" s="67" t="s">
        <v>68</v>
      </c>
      <c r="Z194" s="33" t="s">
        <v>887</v>
      </c>
    </row>
    <row r="195" spans="1:26">
      <c r="A195" s="31">
        <v>191</v>
      </c>
      <c r="B195" s="8" t="s">
        <v>25</v>
      </c>
      <c r="C195" s="8" t="s">
        <v>26</v>
      </c>
      <c r="D195" s="12" t="s">
        <v>32</v>
      </c>
      <c r="E195" s="12" t="s">
        <v>502</v>
      </c>
      <c r="F195" s="34" t="s">
        <v>574</v>
      </c>
      <c r="G195" s="34" t="s">
        <v>575</v>
      </c>
      <c r="H195" s="36" t="s">
        <v>576</v>
      </c>
      <c r="I195" s="12" t="s">
        <v>53</v>
      </c>
      <c r="J195" s="12" t="s">
        <v>38</v>
      </c>
      <c r="K195" s="12" t="s">
        <v>28</v>
      </c>
      <c r="L195" s="12" t="s">
        <v>28</v>
      </c>
      <c r="M195" s="12" t="s">
        <v>38</v>
      </c>
      <c r="N195" s="9">
        <v>0</v>
      </c>
      <c r="O195" s="12" t="s">
        <v>28</v>
      </c>
      <c r="P195" s="35">
        <v>0</v>
      </c>
      <c r="Q195" s="12" t="s">
        <v>28</v>
      </c>
      <c r="R195" s="35">
        <v>1232000000</v>
      </c>
      <c r="S195" s="10">
        <v>42901</v>
      </c>
      <c r="T195" s="37">
        <v>0</v>
      </c>
      <c r="U195" s="10" t="s">
        <v>28</v>
      </c>
      <c r="V195" s="34" t="s">
        <v>506</v>
      </c>
      <c r="W195" s="15" t="s">
        <v>881</v>
      </c>
      <c r="X195" s="21" t="s">
        <v>887</v>
      </c>
      <c r="Y195" s="67" t="s">
        <v>68</v>
      </c>
      <c r="Z195" s="33" t="s">
        <v>887</v>
      </c>
    </row>
    <row r="196" spans="1:26">
      <c r="A196" s="31">
        <v>192</v>
      </c>
      <c r="B196" s="8" t="s">
        <v>25</v>
      </c>
      <c r="C196" s="8" t="s">
        <v>26</v>
      </c>
      <c r="D196" s="12" t="s">
        <v>32</v>
      </c>
      <c r="E196" s="12" t="s">
        <v>502</v>
      </c>
      <c r="F196" s="34" t="s">
        <v>577</v>
      </c>
      <c r="G196" s="34" t="s">
        <v>578</v>
      </c>
      <c r="H196" s="36" t="s">
        <v>579</v>
      </c>
      <c r="I196" s="12" t="s">
        <v>118</v>
      </c>
      <c r="J196" s="12" t="s">
        <v>38</v>
      </c>
      <c r="K196" s="12" t="s">
        <v>28</v>
      </c>
      <c r="L196" s="12" t="s">
        <v>28</v>
      </c>
      <c r="M196" s="12" t="s">
        <v>432</v>
      </c>
      <c r="N196" s="9">
        <v>0</v>
      </c>
      <c r="O196" s="12" t="s">
        <v>28</v>
      </c>
      <c r="P196" s="35">
        <v>0</v>
      </c>
      <c r="Q196" s="12" t="s">
        <v>28</v>
      </c>
      <c r="R196" s="35">
        <v>3025000000.0000005</v>
      </c>
      <c r="S196" s="10">
        <v>42745</v>
      </c>
      <c r="T196" s="37">
        <v>0</v>
      </c>
      <c r="U196" s="10" t="s">
        <v>28</v>
      </c>
      <c r="V196" s="34" t="s">
        <v>506</v>
      </c>
      <c r="W196" s="15" t="s">
        <v>881</v>
      </c>
      <c r="X196" s="21" t="s">
        <v>887</v>
      </c>
      <c r="Y196" s="67" t="s">
        <v>68</v>
      </c>
      <c r="Z196" s="33" t="s">
        <v>887</v>
      </c>
    </row>
    <row r="197" spans="1:26">
      <c r="A197" s="31">
        <v>193</v>
      </c>
      <c r="B197" s="8" t="s">
        <v>25</v>
      </c>
      <c r="C197" s="8" t="s">
        <v>26</v>
      </c>
      <c r="D197" s="12" t="s">
        <v>32</v>
      </c>
      <c r="E197" s="12" t="s">
        <v>502</v>
      </c>
      <c r="F197" s="34" t="s">
        <v>580</v>
      </c>
      <c r="G197" s="34" t="s">
        <v>581</v>
      </c>
      <c r="H197" s="36" t="s">
        <v>582</v>
      </c>
      <c r="I197" s="12" t="s">
        <v>37</v>
      </c>
      <c r="J197" s="12" t="s">
        <v>38</v>
      </c>
      <c r="K197" s="12" t="s">
        <v>28</v>
      </c>
      <c r="L197" s="12" t="s">
        <v>28</v>
      </c>
      <c r="M197" s="12" t="s">
        <v>38</v>
      </c>
      <c r="N197" s="9">
        <v>0</v>
      </c>
      <c r="O197" s="12" t="s">
        <v>28</v>
      </c>
      <c r="P197" s="35">
        <v>0</v>
      </c>
      <c r="Q197" s="12" t="s">
        <v>28</v>
      </c>
      <c r="R197" s="35">
        <v>0</v>
      </c>
      <c r="S197" s="10" t="s">
        <v>28</v>
      </c>
      <c r="T197" s="37">
        <v>0</v>
      </c>
      <c r="U197" s="10" t="s">
        <v>28</v>
      </c>
      <c r="V197" s="34" t="s">
        <v>68</v>
      </c>
      <c r="W197" s="15" t="s">
        <v>68</v>
      </c>
      <c r="X197" s="21" t="s">
        <v>887</v>
      </c>
      <c r="Y197" s="67" t="s">
        <v>68</v>
      </c>
      <c r="Z197" s="33" t="s">
        <v>887</v>
      </c>
    </row>
    <row r="198" spans="1:26">
      <c r="A198" s="31">
        <v>194</v>
      </c>
      <c r="B198" s="8" t="s">
        <v>25</v>
      </c>
      <c r="C198" s="8" t="s">
        <v>26</v>
      </c>
      <c r="D198" s="12" t="s">
        <v>32</v>
      </c>
      <c r="E198" s="12" t="s">
        <v>502</v>
      </c>
      <c r="F198" s="34" t="s">
        <v>583</v>
      </c>
      <c r="G198" s="34" t="s">
        <v>584</v>
      </c>
      <c r="H198" s="36" t="s">
        <v>585</v>
      </c>
      <c r="I198" s="12" t="s">
        <v>37</v>
      </c>
      <c r="J198" s="12" t="s">
        <v>38</v>
      </c>
      <c r="K198" s="12" t="s">
        <v>28</v>
      </c>
      <c r="L198" s="12" t="s">
        <v>28</v>
      </c>
      <c r="M198" s="12" t="s">
        <v>38</v>
      </c>
      <c r="N198" s="9">
        <v>14468300000.000002</v>
      </c>
      <c r="O198" s="10">
        <v>41654</v>
      </c>
      <c r="P198" s="35">
        <v>0</v>
      </c>
      <c r="Q198" s="12" t="s">
        <v>28</v>
      </c>
      <c r="R198" s="35">
        <v>14366000000.000002</v>
      </c>
      <c r="S198" s="41">
        <v>43735</v>
      </c>
      <c r="T198" s="9">
        <v>20678000000</v>
      </c>
      <c r="U198" s="10">
        <v>45481</v>
      </c>
      <c r="V198" s="34" t="s">
        <v>555</v>
      </c>
      <c r="W198" s="15" t="s">
        <v>881</v>
      </c>
      <c r="X198" s="21" t="s">
        <v>887</v>
      </c>
      <c r="Y198" s="67" t="s">
        <v>899</v>
      </c>
      <c r="Z198" s="33" t="s">
        <v>887</v>
      </c>
    </row>
    <row r="199" spans="1:26">
      <c r="A199" s="31">
        <v>195</v>
      </c>
      <c r="B199" s="8" t="s">
        <v>25</v>
      </c>
      <c r="C199" s="8" t="s">
        <v>26</v>
      </c>
      <c r="D199" s="12" t="s">
        <v>32</v>
      </c>
      <c r="E199" s="12" t="s">
        <v>502</v>
      </c>
      <c r="F199" s="34" t="s">
        <v>586</v>
      </c>
      <c r="G199" s="34" t="s">
        <v>587</v>
      </c>
      <c r="H199" s="36" t="s">
        <v>588</v>
      </c>
      <c r="I199" s="12" t="s">
        <v>118</v>
      </c>
      <c r="J199" s="12" t="s">
        <v>38</v>
      </c>
      <c r="K199" s="12" t="s">
        <v>28</v>
      </c>
      <c r="L199" s="12" t="s">
        <v>28</v>
      </c>
      <c r="M199" s="12" t="s">
        <v>38</v>
      </c>
      <c r="N199" s="9">
        <v>0</v>
      </c>
      <c r="O199" s="12" t="s">
        <v>28</v>
      </c>
      <c r="P199" s="9">
        <v>19689848860</v>
      </c>
      <c r="Q199" s="10">
        <v>40707</v>
      </c>
      <c r="R199" s="9">
        <v>20590000000</v>
      </c>
      <c r="S199" s="10">
        <v>43661</v>
      </c>
      <c r="T199" s="37">
        <v>0</v>
      </c>
      <c r="U199" s="10" t="s">
        <v>28</v>
      </c>
      <c r="V199" s="34" t="s">
        <v>555</v>
      </c>
      <c r="W199" s="15" t="s">
        <v>881</v>
      </c>
      <c r="X199" s="21" t="s">
        <v>68</v>
      </c>
      <c r="Y199" s="67" t="s">
        <v>68</v>
      </c>
      <c r="Z199" s="33" t="s">
        <v>887</v>
      </c>
    </row>
    <row r="200" spans="1:26">
      <c r="A200" s="31">
        <v>196</v>
      </c>
      <c r="B200" s="8" t="s">
        <v>25</v>
      </c>
      <c r="C200" s="8" t="s">
        <v>26</v>
      </c>
      <c r="D200" s="12" t="s">
        <v>32</v>
      </c>
      <c r="E200" s="12" t="s">
        <v>502</v>
      </c>
      <c r="F200" s="34" t="s">
        <v>589</v>
      </c>
      <c r="G200" s="34" t="s">
        <v>590</v>
      </c>
      <c r="H200" s="36" t="s">
        <v>591</v>
      </c>
      <c r="I200" s="12" t="s">
        <v>125</v>
      </c>
      <c r="J200" s="12" t="s">
        <v>38</v>
      </c>
      <c r="K200" s="12" t="s">
        <v>28</v>
      </c>
      <c r="L200" s="12" t="s">
        <v>28</v>
      </c>
      <c r="M200" s="12" t="s">
        <v>38</v>
      </c>
      <c r="N200" s="9">
        <v>0</v>
      </c>
      <c r="O200" s="12" t="s">
        <v>28</v>
      </c>
      <c r="P200" s="9">
        <v>6703000000</v>
      </c>
      <c r="Q200" s="10">
        <v>41990</v>
      </c>
      <c r="R200" s="9">
        <v>6609000000</v>
      </c>
      <c r="S200" s="10">
        <v>43656</v>
      </c>
      <c r="T200" s="37">
        <v>0</v>
      </c>
      <c r="U200" s="10" t="s">
        <v>28</v>
      </c>
      <c r="V200" s="34" t="s">
        <v>555</v>
      </c>
      <c r="W200" s="15" t="s">
        <v>881</v>
      </c>
      <c r="X200" s="21" t="s">
        <v>887</v>
      </c>
      <c r="Y200" s="67" t="s">
        <v>68</v>
      </c>
      <c r="Z200" s="33" t="s">
        <v>887</v>
      </c>
    </row>
    <row r="201" spans="1:26">
      <c r="A201" s="31">
        <v>197</v>
      </c>
      <c r="B201" s="8" t="s">
        <v>25</v>
      </c>
      <c r="C201" s="8" t="s">
        <v>26</v>
      </c>
      <c r="D201" s="12" t="s">
        <v>32</v>
      </c>
      <c r="E201" s="12" t="s">
        <v>502</v>
      </c>
      <c r="F201" s="34" t="s">
        <v>589</v>
      </c>
      <c r="G201" s="34" t="s">
        <v>590</v>
      </c>
      <c r="H201" s="36" t="s">
        <v>592</v>
      </c>
      <c r="I201" s="12" t="s">
        <v>125</v>
      </c>
      <c r="J201" s="12" t="s">
        <v>38</v>
      </c>
      <c r="K201" s="12" t="s">
        <v>28</v>
      </c>
      <c r="L201" s="12" t="s">
        <v>28</v>
      </c>
      <c r="M201" s="12" t="s">
        <v>38</v>
      </c>
      <c r="N201" s="9">
        <v>0</v>
      </c>
      <c r="O201" s="12" t="s">
        <v>28</v>
      </c>
      <c r="P201" s="9">
        <v>7703701610</v>
      </c>
      <c r="Q201" s="10">
        <v>40605</v>
      </c>
      <c r="R201" s="35">
        <v>0</v>
      </c>
      <c r="S201" s="10" t="s">
        <v>28</v>
      </c>
      <c r="T201" s="37">
        <v>0</v>
      </c>
      <c r="U201" s="10" t="s">
        <v>28</v>
      </c>
      <c r="V201" s="34" t="s">
        <v>555</v>
      </c>
      <c r="W201" s="15" t="s">
        <v>881</v>
      </c>
      <c r="X201" s="21" t="s">
        <v>887</v>
      </c>
      <c r="Y201" s="67" t="s">
        <v>68</v>
      </c>
      <c r="Z201" s="33" t="s">
        <v>887</v>
      </c>
    </row>
    <row r="202" spans="1:26">
      <c r="A202" s="31">
        <v>198</v>
      </c>
      <c r="B202" s="8" t="s">
        <v>25</v>
      </c>
      <c r="C202" s="8" t="s">
        <v>26</v>
      </c>
      <c r="D202" s="12" t="s">
        <v>32</v>
      </c>
      <c r="E202" s="12" t="s">
        <v>502</v>
      </c>
      <c r="F202" s="34" t="s">
        <v>593</v>
      </c>
      <c r="G202" s="34" t="s">
        <v>594</v>
      </c>
      <c r="H202" s="36" t="s">
        <v>595</v>
      </c>
      <c r="I202" s="12" t="s">
        <v>53</v>
      </c>
      <c r="J202" s="12" t="s">
        <v>38</v>
      </c>
      <c r="K202" s="12" t="s">
        <v>28</v>
      </c>
      <c r="L202" s="12" t="s">
        <v>28</v>
      </c>
      <c r="M202" s="12" t="s">
        <v>38</v>
      </c>
      <c r="N202" s="9">
        <v>0</v>
      </c>
      <c r="O202" s="12" t="s">
        <v>28</v>
      </c>
      <c r="P202" s="35">
        <v>0</v>
      </c>
      <c r="Q202" s="12" t="s">
        <v>28</v>
      </c>
      <c r="R202" s="35">
        <v>3590400000.0000005</v>
      </c>
      <c r="S202" s="10">
        <v>43787</v>
      </c>
      <c r="T202" s="37">
        <v>0</v>
      </c>
      <c r="U202" s="10" t="s">
        <v>28</v>
      </c>
      <c r="V202" s="34" t="s">
        <v>555</v>
      </c>
      <c r="W202" s="15" t="s">
        <v>881</v>
      </c>
      <c r="X202" s="21" t="s">
        <v>68</v>
      </c>
      <c r="Y202" s="67" t="s">
        <v>68</v>
      </c>
      <c r="Z202" s="33" t="s">
        <v>887</v>
      </c>
    </row>
    <row r="203" spans="1:26">
      <c r="A203" s="31">
        <v>199</v>
      </c>
      <c r="B203" s="8" t="s">
        <v>25</v>
      </c>
      <c r="C203" s="8" t="s">
        <v>26</v>
      </c>
      <c r="D203" s="12" t="s">
        <v>32</v>
      </c>
      <c r="E203" s="12" t="s">
        <v>502</v>
      </c>
      <c r="F203" s="34" t="s">
        <v>596</v>
      </c>
      <c r="G203" s="34" t="s">
        <v>597</v>
      </c>
      <c r="H203" s="36" t="s">
        <v>598</v>
      </c>
      <c r="I203" s="12" t="s">
        <v>53</v>
      </c>
      <c r="J203" s="12" t="s">
        <v>38</v>
      </c>
      <c r="K203" s="12" t="s">
        <v>28</v>
      </c>
      <c r="L203" s="12" t="s">
        <v>28</v>
      </c>
      <c r="M203" s="12" t="s">
        <v>38</v>
      </c>
      <c r="N203" s="9">
        <v>0</v>
      </c>
      <c r="O203" s="12" t="s">
        <v>28</v>
      </c>
      <c r="P203" s="35">
        <v>1073105990.0000001</v>
      </c>
      <c r="Q203" s="10">
        <v>42115</v>
      </c>
      <c r="R203" s="35">
        <v>1219782740</v>
      </c>
      <c r="S203" s="10">
        <v>43958</v>
      </c>
      <c r="T203" s="37">
        <v>0</v>
      </c>
      <c r="U203" s="10" t="s">
        <v>28</v>
      </c>
      <c r="V203" s="34" t="s">
        <v>555</v>
      </c>
      <c r="W203" s="15" t="s">
        <v>881</v>
      </c>
      <c r="X203" s="21" t="s">
        <v>68</v>
      </c>
      <c r="Y203" s="67" t="s">
        <v>68</v>
      </c>
      <c r="Z203" s="33" t="s">
        <v>887</v>
      </c>
    </row>
    <row r="204" spans="1:26">
      <c r="A204" s="31">
        <v>200</v>
      </c>
      <c r="B204" s="8" t="s">
        <v>25</v>
      </c>
      <c r="C204" s="8" t="s">
        <v>26</v>
      </c>
      <c r="D204" s="12" t="s">
        <v>32</v>
      </c>
      <c r="E204" s="12" t="s">
        <v>502</v>
      </c>
      <c r="F204" s="34" t="s">
        <v>599</v>
      </c>
      <c r="G204" s="34" t="s">
        <v>600</v>
      </c>
      <c r="H204" s="36" t="s">
        <v>601</v>
      </c>
      <c r="I204" s="12" t="s">
        <v>53</v>
      </c>
      <c r="J204" s="12" t="s">
        <v>38</v>
      </c>
      <c r="K204" s="12" t="s">
        <v>28</v>
      </c>
      <c r="L204" s="12" t="s">
        <v>28</v>
      </c>
      <c r="M204" s="12" t="s">
        <v>38</v>
      </c>
      <c r="N204" s="9">
        <v>0</v>
      </c>
      <c r="O204" s="12" t="s">
        <v>28</v>
      </c>
      <c r="P204" s="35">
        <v>0</v>
      </c>
      <c r="Q204" s="12" t="s">
        <v>28</v>
      </c>
      <c r="R204" s="35">
        <v>0</v>
      </c>
      <c r="S204" s="10" t="s">
        <v>28</v>
      </c>
      <c r="T204" s="37">
        <v>0</v>
      </c>
      <c r="U204" s="10" t="s">
        <v>28</v>
      </c>
      <c r="V204" s="34" t="s">
        <v>68</v>
      </c>
      <c r="W204" s="15" t="s">
        <v>68</v>
      </c>
      <c r="X204" s="21" t="s">
        <v>887</v>
      </c>
      <c r="Y204" s="67" t="s">
        <v>68</v>
      </c>
      <c r="Z204" s="33" t="s">
        <v>887</v>
      </c>
    </row>
    <row r="205" spans="1:26">
      <c r="A205" s="31">
        <v>201</v>
      </c>
      <c r="B205" s="8" t="s">
        <v>25</v>
      </c>
      <c r="C205" s="8" t="s">
        <v>26</v>
      </c>
      <c r="D205" s="12" t="s">
        <v>32</v>
      </c>
      <c r="E205" s="12" t="s">
        <v>502</v>
      </c>
      <c r="F205" s="34" t="s">
        <v>602</v>
      </c>
      <c r="G205" s="34" t="s">
        <v>603</v>
      </c>
      <c r="H205" s="36" t="s">
        <v>604</v>
      </c>
      <c r="I205" s="12" t="s">
        <v>53</v>
      </c>
      <c r="J205" s="12" t="s">
        <v>38</v>
      </c>
      <c r="K205" s="12" t="s">
        <v>28</v>
      </c>
      <c r="L205" s="12" t="s">
        <v>28</v>
      </c>
      <c r="M205" s="12" t="s">
        <v>38</v>
      </c>
      <c r="N205" s="9">
        <v>0</v>
      </c>
      <c r="O205" s="12" t="s">
        <v>28</v>
      </c>
      <c r="P205" s="35">
        <v>0</v>
      </c>
      <c r="Q205" s="12" t="s">
        <v>28</v>
      </c>
      <c r="R205" s="35">
        <v>1152868200</v>
      </c>
      <c r="S205" s="10">
        <v>42611</v>
      </c>
      <c r="T205" s="9">
        <v>5720000000</v>
      </c>
      <c r="U205" s="10">
        <v>45246</v>
      </c>
      <c r="V205" s="34" t="s">
        <v>506</v>
      </c>
      <c r="W205" s="15" t="s">
        <v>881</v>
      </c>
      <c r="X205" s="21" t="s">
        <v>887</v>
      </c>
      <c r="Y205" s="67" t="s">
        <v>68</v>
      </c>
      <c r="Z205" s="33" t="s">
        <v>887</v>
      </c>
    </row>
    <row r="206" spans="1:26">
      <c r="A206" s="31">
        <v>202</v>
      </c>
      <c r="B206" s="8" t="s">
        <v>25</v>
      </c>
      <c r="C206" s="8" t="s">
        <v>26</v>
      </c>
      <c r="D206" s="12" t="s">
        <v>32</v>
      </c>
      <c r="E206" s="12" t="s">
        <v>502</v>
      </c>
      <c r="F206" s="34" t="s">
        <v>605</v>
      </c>
      <c r="G206" s="34" t="s">
        <v>606</v>
      </c>
      <c r="H206" s="36" t="s">
        <v>607</v>
      </c>
      <c r="I206" s="12" t="s">
        <v>118</v>
      </c>
      <c r="J206" s="12" t="s">
        <v>38</v>
      </c>
      <c r="K206" s="12" t="s">
        <v>28</v>
      </c>
      <c r="L206" s="12" t="s">
        <v>28</v>
      </c>
      <c r="M206" s="12" t="s">
        <v>38</v>
      </c>
      <c r="N206" s="9">
        <v>0</v>
      </c>
      <c r="O206" s="12" t="s">
        <v>28</v>
      </c>
      <c r="P206" s="9">
        <v>6154500000.000001</v>
      </c>
      <c r="Q206" s="10">
        <v>40388</v>
      </c>
      <c r="R206" s="35">
        <v>0</v>
      </c>
      <c r="S206" s="10" t="s">
        <v>28</v>
      </c>
      <c r="T206" s="37">
        <v>1991901000.1000001</v>
      </c>
      <c r="U206" s="10">
        <v>45187</v>
      </c>
      <c r="V206" s="34" t="s">
        <v>506</v>
      </c>
      <c r="W206" s="15" t="s">
        <v>881</v>
      </c>
      <c r="X206" s="21" t="s">
        <v>887</v>
      </c>
      <c r="Y206" s="67" t="s">
        <v>68</v>
      </c>
      <c r="Z206" s="33" t="s">
        <v>887</v>
      </c>
    </row>
    <row r="207" spans="1:26">
      <c r="A207" s="31">
        <v>203</v>
      </c>
      <c r="B207" s="8" t="s">
        <v>25</v>
      </c>
      <c r="C207" s="8" t="s">
        <v>26</v>
      </c>
      <c r="D207" s="12" t="s">
        <v>32</v>
      </c>
      <c r="E207" s="12" t="s">
        <v>502</v>
      </c>
      <c r="F207" s="34" t="s">
        <v>608</v>
      </c>
      <c r="G207" s="34" t="s">
        <v>609</v>
      </c>
      <c r="H207" s="36" t="s">
        <v>610</v>
      </c>
      <c r="I207" s="12" t="s">
        <v>57</v>
      </c>
      <c r="J207" s="12" t="s">
        <v>38</v>
      </c>
      <c r="K207" s="12" t="s">
        <v>28</v>
      </c>
      <c r="L207" s="12" t="s">
        <v>28</v>
      </c>
      <c r="M207" s="12" t="s">
        <v>38</v>
      </c>
      <c r="N207" s="9">
        <v>0</v>
      </c>
      <c r="O207" s="12" t="s">
        <v>28</v>
      </c>
      <c r="P207" s="35">
        <v>0</v>
      </c>
      <c r="Q207" s="12" t="s">
        <v>28</v>
      </c>
      <c r="R207" s="35">
        <v>0</v>
      </c>
      <c r="S207" s="10" t="s">
        <v>28</v>
      </c>
      <c r="T207" s="37">
        <v>0</v>
      </c>
      <c r="U207" s="10" t="s">
        <v>28</v>
      </c>
      <c r="V207" s="34" t="s">
        <v>68</v>
      </c>
      <c r="W207" s="15" t="s">
        <v>68</v>
      </c>
      <c r="X207" s="21" t="s">
        <v>887</v>
      </c>
      <c r="Y207" s="67" t="s">
        <v>68</v>
      </c>
      <c r="Z207" s="33" t="s">
        <v>887</v>
      </c>
    </row>
    <row r="208" spans="1:26">
      <c r="A208" s="31">
        <v>204</v>
      </c>
      <c r="B208" s="8" t="s">
        <v>25</v>
      </c>
      <c r="C208" s="8" t="s">
        <v>26</v>
      </c>
      <c r="D208" s="12" t="s">
        <v>32</v>
      </c>
      <c r="E208" s="12" t="s">
        <v>502</v>
      </c>
      <c r="F208" s="34" t="s">
        <v>611</v>
      </c>
      <c r="G208" s="34" t="s">
        <v>612</v>
      </c>
      <c r="H208" s="36" t="s">
        <v>613</v>
      </c>
      <c r="I208" s="12" t="s">
        <v>57</v>
      </c>
      <c r="J208" s="12" t="s">
        <v>38</v>
      </c>
      <c r="K208" s="12" t="s">
        <v>28</v>
      </c>
      <c r="L208" s="12" t="s">
        <v>28</v>
      </c>
      <c r="M208" s="12" t="s">
        <v>38</v>
      </c>
      <c r="N208" s="9">
        <v>0</v>
      </c>
      <c r="O208" s="12" t="s">
        <v>28</v>
      </c>
      <c r="P208" s="35">
        <v>0</v>
      </c>
      <c r="Q208" s="12" t="s">
        <v>28</v>
      </c>
      <c r="R208" s="35">
        <v>3833478000.0000005</v>
      </c>
      <c r="S208" s="10">
        <v>42853</v>
      </c>
      <c r="T208" s="37">
        <v>0</v>
      </c>
      <c r="U208" s="10" t="s">
        <v>28</v>
      </c>
      <c r="V208" s="34" t="s">
        <v>555</v>
      </c>
      <c r="W208" s="15" t="s">
        <v>881</v>
      </c>
      <c r="X208" s="21" t="s">
        <v>887</v>
      </c>
      <c r="Y208" s="67" t="s">
        <v>68</v>
      </c>
      <c r="Z208" s="33" t="s">
        <v>887</v>
      </c>
    </row>
    <row r="209" spans="1:26">
      <c r="A209" s="31">
        <v>205</v>
      </c>
      <c r="B209" s="8" t="s">
        <v>25</v>
      </c>
      <c r="C209" s="8" t="s">
        <v>26</v>
      </c>
      <c r="D209" s="12" t="s">
        <v>32</v>
      </c>
      <c r="E209" s="12" t="s">
        <v>502</v>
      </c>
      <c r="F209" s="34" t="s">
        <v>614</v>
      </c>
      <c r="G209" s="34" t="s">
        <v>28</v>
      </c>
      <c r="H209" s="36" t="s">
        <v>615</v>
      </c>
      <c r="I209" s="12" t="s">
        <v>53</v>
      </c>
      <c r="J209" s="12" t="s">
        <v>28</v>
      </c>
      <c r="K209" s="12" t="s">
        <v>28</v>
      </c>
      <c r="L209" s="12" t="s">
        <v>38</v>
      </c>
      <c r="M209" s="12" t="s">
        <v>38</v>
      </c>
      <c r="N209" s="9">
        <v>0</v>
      </c>
      <c r="O209" s="12" t="s">
        <v>28</v>
      </c>
      <c r="P209" s="35">
        <v>0</v>
      </c>
      <c r="Q209" s="12" t="s">
        <v>28</v>
      </c>
      <c r="R209" s="35">
        <v>0</v>
      </c>
      <c r="S209" s="10" t="s">
        <v>28</v>
      </c>
      <c r="T209" s="37">
        <v>0</v>
      </c>
      <c r="U209" s="10" t="s">
        <v>28</v>
      </c>
      <c r="V209" s="34" t="s">
        <v>68</v>
      </c>
      <c r="W209" s="15" t="s">
        <v>68</v>
      </c>
      <c r="X209" s="21" t="s">
        <v>887</v>
      </c>
      <c r="Y209" s="67" t="s">
        <v>68</v>
      </c>
      <c r="Z209" s="33" t="s">
        <v>887</v>
      </c>
    </row>
    <row r="210" spans="1:26">
      <c r="A210" s="31">
        <v>206</v>
      </c>
      <c r="B210" s="8" t="s">
        <v>25</v>
      </c>
      <c r="C210" s="8" t="s">
        <v>26</v>
      </c>
      <c r="D210" s="12" t="s">
        <v>32</v>
      </c>
      <c r="E210" s="12" t="s">
        <v>502</v>
      </c>
      <c r="F210" s="34" t="s">
        <v>616</v>
      </c>
      <c r="G210" s="34" t="s">
        <v>617</v>
      </c>
      <c r="H210" s="36" t="s">
        <v>618</v>
      </c>
      <c r="I210" s="12" t="s">
        <v>53</v>
      </c>
      <c r="J210" s="12" t="s">
        <v>38</v>
      </c>
      <c r="K210" s="12" t="s">
        <v>28</v>
      </c>
      <c r="L210" s="12" t="s">
        <v>28</v>
      </c>
      <c r="M210" s="12" t="s">
        <v>432</v>
      </c>
      <c r="N210" s="9">
        <v>0</v>
      </c>
      <c r="O210" s="12" t="s">
        <v>28</v>
      </c>
      <c r="P210" s="35">
        <v>0</v>
      </c>
      <c r="Q210" s="12" t="s">
        <v>28</v>
      </c>
      <c r="R210" s="42">
        <v>3184500000.0000005</v>
      </c>
      <c r="S210" s="10">
        <v>42601</v>
      </c>
      <c r="T210" s="9">
        <v>5548000000</v>
      </c>
      <c r="U210" s="10">
        <v>45436</v>
      </c>
      <c r="V210" s="34" t="s">
        <v>506</v>
      </c>
      <c r="W210" s="15" t="s">
        <v>881</v>
      </c>
      <c r="X210" s="21" t="s">
        <v>887</v>
      </c>
      <c r="Y210" s="67" t="s">
        <v>68</v>
      </c>
      <c r="Z210" s="33" t="s">
        <v>887</v>
      </c>
    </row>
    <row r="211" spans="1:26">
      <c r="A211" s="31">
        <v>207</v>
      </c>
      <c r="B211" s="8" t="s">
        <v>25</v>
      </c>
      <c r="C211" s="8" t="s">
        <v>26</v>
      </c>
      <c r="D211" s="12" t="s">
        <v>32</v>
      </c>
      <c r="E211" s="12" t="s">
        <v>502</v>
      </c>
      <c r="F211" s="34" t="s">
        <v>619</v>
      </c>
      <c r="G211" s="34" t="s">
        <v>620</v>
      </c>
      <c r="H211" s="36" t="s">
        <v>621</v>
      </c>
      <c r="I211" s="12" t="s">
        <v>53</v>
      </c>
      <c r="J211" s="12" t="s">
        <v>38</v>
      </c>
      <c r="K211" s="12" t="s">
        <v>28</v>
      </c>
      <c r="L211" s="43" t="s">
        <v>28</v>
      </c>
      <c r="M211" s="12" t="s">
        <v>38</v>
      </c>
      <c r="N211" s="9">
        <v>0</v>
      </c>
      <c r="O211" s="12" t="s">
        <v>28</v>
      </c>
      <c r="P211" s="35">
        <v>0</v>
      </c>
      <c r="Q211" s="12" t="s">
        <v>28</v>
      </c>
      <c r="R211" s="42">
        <v>4341150000</v>
      </c>
      <c r="S211" s="10">
        <v>43070</v>
      </c>
      <c r="T211" s="37">
        <v>0</v>
      </c>
      <c r="U211" s="10" t="s">
        <v>28</v>
      </c>
      <c r="V211" s="34" t="s">
        <v>622</v>
      </c>
      <c r="W211" s="15" t="s">
        <v>881</v>
      </c>
      <c r="X211" s="21" t="s">
        <v>68</v>
      </c>
      <c r="Y211" s="67" t="s">
        <v>68</v>
      </c>
      <c r="Z211" s="33" t="s">
        <v>887</v>
      </c>
    </row>
    <row r="212" spans="1:26">
      <c r="A212" s="31">
        <v>208</v>
      </c>
      <c r="B212" s="8" t="s">
        <v>25</v>
      </c>
      <c r="C212" s="8" t="s">
        <v>26</v>
      </c>
      <c r="D212" s="12" t="s">
        <v>32</v>
      </c>
      <c r="E212" s="12" t="s">
        <v>502</v>
      </c>
      <c r="F212" s="34" t="s">
        <v>623</v>
      </c>
      <c r="G212" s="34" t="s">
        <v>624</v>
      </c>
      <c r="H212" s="36" t="s">
        <v>625</v>
      </c>
      <c r="I212" s="12" t="s">
        <v>53</v>
      </c>
      <c r="J212" s="12" t="s">
        <v>38</v>
      </c>
      <c r="K212" s="12" t="s">
        <v>28</v>
      </c>
      <c r="L212" s="12" t="s">
        <v>28</v>
      </c>
      <c r="M212" s="12" t="s">
        <v>38</v>
      </c>
      <c r="N212" s="9">
        <v>0</v>
      </c>
      <c r="O212" s="12" t="s">
        <v>28</v>
      </c>
      <c r="P212" s="35">
        <v>0</v>
      </c>
      <c r="Q212" s="12" t="s">
        <v>28</v>
      </c>
      <c r="R212" s="42">
        <v>4509467411.9000006</v>
      </c>
      <c r="S212" s="10">
        <v>43300</v>
      </c>
      <c r="T212" s="37">
        <v>0</v>
      </c>
      <c r="U212" s="10" t="s">
        <v>28</v>
      </c>
      <c r="V212" s="34" t="s">
        <v>622</v>
      </c>
      <c r="W212" s="15" t="s">
        <v>881</v>
      </c>
      <c r="X212" s="21" t="s">
        <v>68</v>
      </c>
      <c r="Y212" s="67" t="s">
        <v>68</v>
      </c>
      <c r="Z212" s="33" t="s">
        <v>887</v>
      </c>
    </row>
    <row r="213" spans="1:26">
      <c r="A213" s="31">
        <v>209</v>
      </c>
      <c r="B213" s="8" t="s">
        <v>25</v>
      </c>
      <c r="C213" s="8" t="s">
        <v>26</v>
      </c>
      <c r="D213" s="12" t="s">
        <v>32</v>
      </c>
      <c r="E213" s="12" t="s">
        <v>502</v>
      </c>
      <c r="F213" s="34" t="s">
        <v>626</v>
      </c>
      <c r="G213" s="34" t="s">
        <v>627</v>
      </c>
      <c r="H213" s="36" t="s">
        <v>628</v>
      </c>
      <c r="I213" s="12" t="s">
        <v>53</v>
      </c>
      <c r="J213" s="12" t="s">
        <v>38</v>
      </c>
      <c r="K213" s="12" t="s">
        <v>28</v>
      </c>
      <c r="L213" s="12" t="s">
        <v>28</v>
      </c>
      <c r="M213" s="12" t="s">
        <v>38</v>
      </c>
      <c r="N213" s="9">
        <v>0</v>
      </c>
      <c r="O213" s="12" t="s">
        <v>28</v>
      </c>
      <c r="P213" s="35">
        <v>0</v>
      </c>
      <c r="Q213" s="12" t="s">
        <v>28</v>
      </c>
      <c r="R213" s="42">
        <v>530000000.20000005</v>
      </c>
      <c r="S213" s="10">
        <v>42740</v>
      </c>
      <c r="T213" s="37">
        <v>0</v>
      </c>
      <c r="U213" s="10" t="s">
        <v>28</v>
      </c>
      <c r="V213" s="34" t="s">
        <v>622</v>
      </c>
      <c r="W213" s="15" t="s">
        <v>881</v>
      </c>
      <c r="X213" s="21" t="s">
        <v>68</v>
      </c>
      <c r="Y213" s="67" t="s">
        <v>68</v>
      </c>
      <c r="Z213" s="33" t="s">
        <v>887</v>
      </c>
    </row>
    <row r="214" spans="1:26">
      <c r="A214" s="31">
        <v>210</v>
      </c>
      <c r="B214" s="8" t="s">
        <v>25</v>
      </c>
      <c r="C214" s="8" t="s">
        <v>26</v>
      </c>
      <c r="D214" s="12" t="s">
        <v>32</v>
      </c>
      <c r="E214" s="12" t="s">
        <v>502</v>
      </c>
      <c r="F214" s="34" t="s">
        <v>629</v>
      </c>
      <c r="G214" s="34" t="s">
        <v>630</v>
      </c>
      <c r="H214" s="36" t="s">
        <v>631</v>
      </c>
      <c r="I214" s="12" t="s">
        <v>53</v>
      </c>
      <c r="J214" s="12" t="s">
        <v>38</v>
      </c>
      <c r="K214" s="12" t="s">
        <v>28</v>
      </c>
      <c r="L214" s="12" t="s">
        <v>28</v>
      </c>
      <c r="M214" s="12" t="s">
        <v>38</v>
      </c>
      <c r="N214" s="9">
        <v>0</v>
      </c>
      <c r="O214" s="12" t="s">
        <v>28</v>
      </c>
      <c r="P214" s="35">
        <v>0</v>
      </c>
      <c r="Q214" s="12" t="s">
        <v>28</v>
      </c>
      <c r="R214" s="42">
        <v>852500000.00000012</v>
      </c>
      <c r="S214" s="10">
        <v>42914</v>
      </c>
      <c r="T214" s="37">
        <v>0</v>
      </c>
      <c r="U214" s="10" t="s">
        <v>28</v>
      </c>
      <c r="V214" s="34" t="s">
        <v>622</v>
      </c>
      <c r="W214" s="15" t="s">
        <v>881</v>
      </c>
      <c r="X214" s="21" t="s">
        <v>68</v>
      </c>
      <c r="Y214" s="67" t="s">
        <v>68</v>
      </c>
      <c r="Z214" s="33" t="s">
        <v>887</v>
      </c>
    </row>
    <row r="215" spans="1:26">
      <c r="A215" s="31">
        <v>211</v>
      </c>
      <c r="B215" s="8" t="s">
        <v>25</v>
      </c>
      <c r="C215" s="8" t="s">
        <v>26</v>
      </c>
      <c r="D215" s="12" t="s">
        <v>32</v>
      </c>
      <c r="E215" s="12" t="s">
        <v>502</v>
      </c>
      <c r="F215" s="34" t="s">
        <v>632</v>
      </c>
      <c r="G215" s="34" t="s">
        <v>633</v>
      </c>
      <c r="H215" s="36" t="s">
        <v>634</v>
      </c>
      <c r="I215" s="12" t="s">
        <v>53</v>
      </c>
      <c r="J215" s="12" t="s">
        <v>38</v>
      </c>
      <c r="K215" s="12" t="s">
        <v>28</v>
      </c>
      <c r="L215" s="12" t="s">
        <v>28</v>
      </c>
      <c r="M215" s="12" t="s">
        <v>38</v>
      </c>
      <c r="N215" s="9">
        <v>0</v>
      </c>
      <c r="O215" s="12" t="s">
        <v>28</v>
      </c>
      <c r="P215" s="35">
        <v>0</v>
      </c>
      <c r="Q215" s="12" t="s">
        <v>28</v>
      </c>
      <c r="R215" s="42">
        <v>322080000</v>
      </c>
      <c r="S215" s="10">
        <v>42916</v>
      </c>
      <c r="T215" s="37">
        <v>0</v>
      </c>
      <c r="U215" s="10" t="s">
        <v>28</v>
      </c>
      <c r="V215" s="34" t="s">
        <v>622</v>
      </c>
      <c r="W215" s="15" t="s">
        <v>881</v>
      </c>
      <c r="X215" s="21" t="s">
        <v>68</v>
      </c>
      <c r="Y215" s="67" t="s">
        <v>68</v>
      </c>
      <c r="Z215" s="33" t="s">
        <v>887</v>
      </c>
    </row>
    <row r="216" spans="1:26">
      <c r="A216" s="31">
        <v>212</v>
      </c>
      <c r="B216" s="8" t="s">
        <v>25</v>
      </c>
      <c r="C216" s="8" t="s">
        <v>26</v>
      </c>
      <c r="D216" s="12" t="s">
        <v>32</v>
      </c>
      <c r="E216" s="12" t="s">
        <v>502</v>
      </c>
      <c r="F216" s="34" t="s">
        <v>635</v>
      </c>
      <c r="G216" s="34" t="s">
        <v>636</v>
      </c>
      <c r="H216" s="36" t="s">
        <v>637</v>
      </c>
      <c r="I216" s="12" t="s">
        <v>53</v>
      </c>
      <c r="J216" s="12" t="s">
        <v>38</v>
      </c>
      <c r="K216" s="12" t="s">
        <v>28</v>
      </c>
      <c r="L216" s="12" t="s">
        <v>28</v>
      </c>
      <c r="M216" s="12" t="s">
        <v>38</v>
      </c>
      <c r="N216" s="9">
        <v>0</v>
      </c>
      <c r="O216" s="12" t="s">
        <v>28</v>
      </c>
      <c r="P216" s="35">
        <v>0</v>
      </c>
      <c r="Q216" s="12" t="s">
        <v>28</v>
      </c>
      <c r="R216" s="42">
        <v>283922100</v>
      </c>
      <c r="S216" s="10">
        <v>42716</v>
      </c>
      <c r="T216" s="37">
        <v>0</v>
      </c>
      <c r="U216" s="10" t="s">
        <v>28</v>
      </c>
      <c r="V216" s="34" t="s">
        <v>622</v>
      </c>
      <c r="W216" s="15" t="s">
        <v>881</v>
      </c>
      <c r="X216" s="21" t="s">
        <v>68</v>
      </c>
      <c r="Y216" s="67" t="s">
        <v>68</v>
      </c>
      <c r="Z216" s="33" t="s">
        <v>887</v>
      </c>
    </row>
    <row r="217" spans="1:26">
      <c r="A217" s="31">
        <v>213</v>
      </c>
      <c r="B217" s="8" t="s">
        <v>25</v>
      </c>
      <c r="C217" s="8" t="s">
        <v>26</v>
      </c>
      <c r="D217" s="12" t="s">
        <v>32</v>
      </c>
      <c r="E217" s="12" t="s">
        <v>502</v>
      </c>
      <c r="F217" s="34" t="s">
        <v>638</v>
      </c>
      <c r="G217" s="34" t="s">
        <v>639</v>
      </c>
      <c r="H217" s="36" t="s">
        <v>640</v>
      </c>
      <c r="I217" s="12" t="s">
        <v>125</v>
      </c>
      <c r="J217" s="12" t="s">
        <v>38</v>
      </c>
      <c r="K217" s="12" t="s">
        <v>28</v>
      </c>
      <c r="L217" s="12" t="s">
        <v>28</v>
      </c>
      <c r="M217" s="12" t="s">
        <v>38</v>
      </c>
      <c r="N217" s="9">
        <v>0</v>
      </c>
      <c r="O217" s="12" t="s">
        <v>28</v>
      </c>
      <c r="P217" s="35">
        <v>0</v>
      </c>
      <c r="Q217" s="12" t="s">
        <v>28</v>
      </c>
      <c r="R217" s="42">
        <v>2099051900.0000002</v>
      </c>
      <c r="S217" s="10">
        <v>42818</v>
      </c>
      <c r="T217" s="37">
        <v>0</v>
      </c>
      <c r="U217" s="10" t="s">
        <v>28</v>
      </c>
      <c r="V217" s="34" t="s">
        <v>622</v>
      </c>
      <c r="W217" s="15" t="s">
        <v>881</v>
      </c>
      <c r="X217" s="21" t="s">
        <v>68</v>
      </c>
      <c r="Y217" s="67" t="s">
        <v>68</v>
      </c>
      <c r="Z217" s="33" t="s">
        <v>887</v>
      </c>
    </row>
    <row r="218" spans="1:26">
      <c r="A218" s="31">
        <v>214</v>
      </c>
      <c r="B218" s="8" t="s">
        <v>25</v>
      </c>
      <c r="C218" s="8" t="s">
        <v>26</v>
      </c>
      <c r="D218" s="12" t="s">
        <v>32</v>
      </c>
      <c r="E218" s="12" t="s">
        <v>502</v>
      </c>
      <c r="F218" s="34" t="s">
        <v>641</v>
      </c>
      <c r="G218" s="34" t="s">
        <v>642</v>
      </c>
      <c r="H218" s="36" t="s">
        <v>643</v>
      </c>
      <c r="I218" s="12" t="s">
        <v>118</v>
      </c>
      <c r="J218" s="12" t="s">
        <v>38</v>
      </c>
      <c r="K218" s="12" t="s">
        <v>28</v>
      </c>
      <c r="L218" s="12" t="s">
        <v>28</v>
      </c>
      <c r="M218" s="12" t="s">
        <v>38</v>
      </c>
      <c r="N218" s="9">
        <v>0</v>
      </c>
      <c r="O218" s="12" t="s">
        <v>28</v>
      </c>
      <c r="P218" s="35">
        <v>0</v>
      </c>
      <c r="Q218" s="12" t="s">
        <v>28</v>
      </c>
      <c r="R218" s="42">
        <v>19026999999.700001</v>
      </c>
      <c r="S218" s="10">
        <v>45068</v>
      </c>
      <c r="T218" s="37">
        <v>0</v>
      </c>
      <c r="U218" s="10" t="s">
        <v>28</v>
      </c>
      <c r="V218" s="34" t="s">
        <v>622</v>
      </c>
      <c r="W218" s="15" t="s">
        <v>881</v>
      </c>
      <c r="X218" s="21" t="s">
        <v>68</v>
      </c>
      <c r="Y218" s="67" t="s">
        <v>68</v>
      </c>
      <c r="Z218" s="33" t="s">
        <v>887</v>
      </c>
    </row>
    <row r="219" spans="1:26">
      <c r="A219" s="31">
        <v>215</v>
      </c>
      <c r="B219" s="8" t="s">
        <v>25</v>
      </c>
      <c r="C219" s="8" t="s">
        <v>26</v>
      </c>
      <c r="D219" s="12" t="s">
        <v>32</v>
      </c>
      <c r="E219" s="12" t="s">
        <v>502</v>
      </c>
      <c r="F219" s="34" t="s">
        <v>644</v>
      </c>
      <c r="G219" s="34" t="s">
        <v>645</v>
      </c>
      <c r="H219" s="36" t="s">
        <v>646</v>
      </c>
      <c r="I219" s="12" t="s">
        <v>53</v>
      </c>
      <c r="J219" s="12" t="s">
        <v>38</v>
      </c>
      <c r="K219" s="12" t="s">
        <v>28</v>
      </c>
      <c r="L219" s="12" t="s">
        <v>28</v>
      </c>
      <c r="M219" s="12" t="s">
        <v>38</v>
      </c>
      <c r="N219" s="9">
        <v>0</v>
      </c>
      <c r="O219" s="12" t="s">
        <v>28</v>
      </c>
      <c r="P219" s="35">
        <v>0</v>
      </c>
      <c r="Q219" s="12" t="s">
        <v>28</v>
      </c>
      <c r="R219" s="42">
        <v>576457310</v>
      </c>
      <c r="S219" s="10">
        <v>42640</v>
      </c>
      <c r="T219" s="37">
        <v>0</v>
      </c>
      <c r="U219" s="10" t="s">
        <v>28</v>
      </c>
      <c r="V219" s="34" t="s">
        <v>622</v>
      </c>
      <c r="W219" s="15" t="s">
        <v>881</v>
      </c>
      <c r="X219" s="21" t="s">
        <v>68</v>
      </c>
      <c r="Y219" s="67" t="s">
        <v>68</v>
      </c>
      <c r="Z219" s="33" t="s">
        <v>887</v>
      </c>
    </row>
    <row r="220" spans="1:26">
      <c r="A220" s="31">
        <v>216</v>
      </c>
      <c r="B220" s="8" t="s">
        <v>25</v>
      </c>
      <c r="C220" s="8" t="s">
        <v>26</v>
      </c>
      <c r="D220" s="12" t="s">
        <v>32</v>
      </c>
      <c r="E220" s="12" t="s">
        <v>502</v>
      </c>
      <c r="F220" s="34" t="s">
        <v>647</v>
      </c>
      <c r="G220" s="34" t="s">
        <v>28</v>
      </c>
      <c r="H220" s="36" t="s">
        <v>648</v>
      </c>
      <c r="I220" s="12" t="s">
        <v>118</v>
      </c>
      <c r="J220" s="12" t="s">
        <v>28</v>
      </c>
      <c r="K220" s="12" t="s">
        <v>28</v>
      </c>
      <c r="L220" s="12" t="s">
        <v>38</v>
      </c>
      <c r="M220" s="12" t="s">
        <v>38</v>
      </c>
      <c r="N220" s="9">
        <v>0</v>
      </c>
      <c r="O220" s="12" t="s">
        <v>28</v>
      </c>
      <c r="P220" s="35">
        <v>0</v>
      </c>
      <c r="Q220" s="12" t="s">
        <v>28</v>
      </c>
      <c r="R220" s="35">
        <v>0</v>
      </c>
      <c r="S220" s="10" t="s">
        <v>28</v>
      </c>
      <c r="T220" s="37">
        <v>0</v>
      </c>
      <c r="U220" s="10" t="s">
        <v>28</v>
      </c>
      <c r="V220" s="34" t="s">
        <v>68</v>
      </c>
      <c r="W220" s="15" t="s">
        <v>68</v>
      </c>
      <c r="X220" s="21" t="s">
        <v>887</v>
      </c>
      <c r="Y220" s="67" t="s">
        <v>68</v>
      </c>
      <c r="Z220" s="33" t="s">
        <v>887</v>
      </c>
    </row>
    <row r="221" spans="1:26">
      <c r="A221" s="31">
        <v>217</v>
      </c>
      <c r="B221" s="8" t="s">
        <v>25</v>
      </c>
      <c r="C221" s="8" t="s">
        <v>26</v>
      </c>
      <c r="D221" s="12" t="s">
        <v>32</v>
      </c>
      <c r="E221" s="12" t="s">
        <v>502</v>
      </c>
      <c r="F221" s="34" t="s">
        <v>649</v>
      </c>
      <c r="G221" s="34" t="s">
        <v>28</v>
      </c>
      <c r="H221" s="36" t="s">
        <v>650</v>
      </c>
      <c r="I221" s="12" t="s">
        <v>53</v>
      </c>
      <c r="J221" s="12" t="s">
        <v>28</v>
      </c>
      <c r="K221" s="12" t="s">
        <v>28</v>
      </c>
      <c r="L221" s="12" t="s">
        <v>38</v>
      </c>
      <c r="M221" s="12" t="s">
        <v>38</v>
      </c>
      <c r="N221" s="9">
        <v>0</v>
      </c>
      <c r="O221" s="12" t="s">
        <v>28</v>
      </c>
      <c r="P221" s="35">
        <v>0</v>
      </c>
      <c r="Q221" s="12" t="s">
        <v>28</v>
      </c>
      <c r="R221" s="35">
        <v>0</v>
      </c>
      <c r="S221" s="10" t="s">
        <v>28</v>
      </c>
      <c r="T221" s="37">
        <v>0</v>
      </c>
      <c r="U221" s="10" t="s">
        <v>28</v>
      </c>
      <c r="V221" s="34" t="s">
        <v>68</v>
      </c>
      <c r="W221" s="15" t="s">
        <v>68</v>
      </c>
      <c r="X221" s="21" t="s">
        <v>887</v>
      </c>
      <c r="Y221" s="67" t="s">
        <v>68</v>
      </c>
      <c r="Z221" s="33" t="s">
        <v>887</v>
      </c>
    </row>
    <row r="222" spans="1:26">
      <c r="A222" s="31">
        <v>218</v>
      </c>
      <c r="B222" s="8" t="s">
        <v>25</v>
      </c>
      <c r="C222" s="8" t="s">
        <v>26</v>
      </c>
      <c r="D222" s="12" t="s">
        <v>32</v>
      </c>
      <c r="E222" s="12" t="s">
        <v>502</v>
      </c>
      <c r="F222" s="34" t="s">
        <v>651</v>
      </c>
      <c r="G222" s="34" t="s">
        <v>28</v>
      </c>
      <c r="H222" s="36" t="s">
        <v>652</v>
      </c>
      <c r="I222" s="12" t="s">
        <v>37</v>
      </c>
      <c r="J222" s="12" t="s">
        <v>28</v>
      </c>
      <c r="K222" s="12" t="s">
        <v>28</v>
      </c>
      <c r="L222" s="12" t="s">
        <v>38</v>
      </c>
      <c r="M222" s="12" t="s">
        <v>38</v>
      </c>
      <c r="N222" s="9">
        <v>0</v>
      </c>
      <c r="O222" s="12" t="s">
        <v>28</v>
      </c>
      <c r="P222" s="35">
        <v>0</v>
      </c>
      <c r="Q222" s="12" t="s">
        <v>28</v>
      </c>
      <c r="R222" s="35">
        <v>0</v>
      </c>
      <c r="S222" s="10" t="s">
        <v>28</v>
      </c>
      <c r="T222" s="37">
        <v>0</v>
      </c>
      <c r="U222" s="10" t="s">
        <v>28</v>
      </c>
      <c r="V222" s="34" t="s">
        <v>68</v>
      </c>
      <c r="W222" s="15" t="s">
        <v>68</v>
      </c>
      <c r="X222" s="21" t="s">
        <v>887</v>
      </c>
      <c r="Y222" s="67" t="s">
        <v>68</v>
      </c>
      <c r="Z222" s="33" t="s">
        <v>887</v>
      </c>
    </row>
    <row r="223" spans="1:26">
      <c r="A223" s="31">
        <v>219</v>
      </c>
      <c r="B223" s="8" t="s">
        <v>25</v>
      </c>
      <c r="C223" s="8" t="s">
        <v>26</v>
      </c>
      <c r="D223" s="12" t="s">
        <v>32</v>
      </c>
      <c r="E223" s="12" t="s">
        <v>502</v>
      </c>
      <c r="F223" s="34" t="s">
        <v>653</v>
      </c>
      <c r="G223" s="34" t="s">
        <v>28</v>
      </c>
      <c r="H223" s="36" t="s">
        <v>654</v>
      </c>
      <c r="I223" s="12" t="s">
        <v>53</v>
      </c>
      <c r="J223" s="12" t="s">
        <v>28</v>
      </c>
      <c r="K223" s="12" t="s">
        <v>28</v>
      </c>
      <c r="L223" s="12" t="s">
        <v>38</v>
      </c>
      <c r="M223" s="12" t="s">
        <v>38</v>
      </c>
      <c r="N223" s="9">
        <v>0</v>
      </c>
      <c r="O223" s="12" t="s">
        <v>28</v>
      </c>
      <c r="P223" s="35">
        <v>0</v>
      </c>
      <c r="Q223" s="12" t="s">
        <v>28</v>
      </c>
      <c r="R223" s="35">
        <v>0</v>
      </c>
      <c r="S223" s="10" t="s">
        <v>28</v>
      </c>
      <c r="T223" s="37">
        <v>0</v>
      </c>
      <c r="U223" s="10" t="s">
        <v>28</v>
      </c>
      <c r="V223" s="34" t="s">
        <v>68</v>
      </c>
      <c r="W223" s="15" t="s">
        <v>68</v>
      </c>
      <c r="X223" s="21" t="s">
        <v>887</v>
      </c>
      <c r="Y223" s="67" t="s">
        <v>68</v>
      </c>
      <c r="Z223" s="33" t="s">
        <v>887</v>
      </c>
    </row>
    <row r="224" spans="1:26">
      <c r="A224" s="31">
        <v>220</v>
      </c>
      <c r="B224" s="8" t="s">
        <v>25</v>
      </c>
      <c r="C224" s="8" t="s">
        <v>26</v>
      </c>
      <c r="D224" s="12" t="s">
        <v>32</v>
      </c>
      <c r="E224" s="12" t="s">
        <v>502</v>
      </c>
      <c r="F224" s="34" t="s">
        <v>655</v>
      </c>
      <c r="G224" s="34" t="s">
        <v>28</v>
      </c>
      <c r="H224" s="36" t="s">
        <v>656</v>
      </c>
      <c r="I224" s="12" t="s">
        <v>53</v>
      </c>
      <c r="J224" s="12" t="s">
        <v>28</v>
      </c>
      <c r="K224" s="12" t="s">
        <v>28</v>
      </c>
      <c r="L224" s="12" t="s">
        <v>38</v>
      </c>
      <c r="M224" s="12" t="s">
        <v>38</v>
      </c>
      <c r="N224" s="9">
        <v>0</v>
      </c>
      <c r="O224" s="12" t="s">
        <v>28</v>
      </c>
      <c r="P224" s="35">
        <v>0</v>
      </c>
      <c r="Q224" s="12" t="s">
        <v>28</v>
      </c>
      <c r="R224" s="35">
        <v>0</v>
      </c>
      <c r="S224" s="10" t="s">
        <v>28</v>
      </c>
      <c r="T224" s="37">
        <v>0</v>
      </c>
      <c r="U224" s="10" t="s">
        <v>28</v>
      </c>
      <c r="V224" s="34" t="s">
        <v>68</v>
      </c>
      <c r="W224" s="15" t="s">
        <v>68</v>
      </c>
      <c r="X224" s="21" t="s">
        <v>887</v>
      </c>
      <c r="Y224" s="67" t="s">
        <v>68</v>
      </c>
      <c r="Z224" s="33" t="s">
        <v>887</v>
      </c>
    </row>
    <row r="225" spans="1:26">
      <c r="A225" s="31">
        <v>221</v>
      </c>
      <c r="B225" s="8" t="s">
        <v>25</v>
      </c>
      <c r="C225" s="8" t="s">
        <v>26</v>
      </c>
      <c r="D225" s="12" t="s">
        <v>32</v>
      </c>
      <c r="E225" s="12" t="s">
        <v>502</v>
      </c>
      <c r="F225" s="34" t="s">
        <v>657</v>
      </c>
      <c r="G225" s="34" t="s">
        <v>28</v>
      </c>
      <c r="H225" s="36" t="s">
        <v>658</v>
      </c>
      <c r="I225" s="12" t="s">
        <v>61</v>
      </c>
      <c r="J225" s="12" t="s">
        <v>28</v>
      </c>
      <c r="K225" s="12" t="s">
        <v>28</v>
      </c>
      <c r="L225" s="12" t="s">
        <v>38</v>
      </c>
      <c r="M225" s="12" t="s">
        <v>38</v>
      </c>
      <c r="N225" s="9">
        <v>0</v>
      </c>
      <c r="O225" s="12" t="s">
        <v>28</v>
      </c>
      <c r="P225" s="35">
        <v>0</v>
      </c>
      <c r="Q225" s="12" t="s">
        <v>28</v>
      </c>
      <c r="R225" s="35">
        <v>0</v>
      </c>
      <c r="S225" s="10" t="s">
        <v>28</v>
      </c>
      <c r="T225" s="37">
        <v>0</v>
      </c>
      <c r="U225" s="10" t="s">
        <v>28</v>
      </c>
      <c r="V225" s="34" t="s">
        <v>68</v>
      </c>
      <c r="W225" s="15" t="s">
        <v>68</v>
      </c>
      <c r="X225" s="21" t="s">
        <v>887</v>
      </c>
      <c r="Y225" s="67" t="s">
        <v>68</v>
      </c>
      <c r="Z225" s="33" t="s">
        <v>887</v>
      </c>
    </row>
    <row r="226" spans="1:26">
      <c r="A226" s="31">
        <v>222</v>
      </c>
      <c r="B226" s="8" t="s">
        <v>25</v>
      </c>
      <c r="C226" s="8" t="s">
        <v>26</v>
      </c>
      <c r="D226" s="12" t="s">
        <v>32</v>
      </c>
      <c r="E226" s="12" t="s">
        <v>502</v>
      </c>
      <c r="F226" s="34" t="s">
        <v>659</v>
      </c>
      <c r="G226" s="34" t="s">
        <v>28</v>
      </c>
      <c r="H226" s="36" t="s">
        <v>660</v>
      </c>
      <c r="I226" s="12" t="s">
        <v>53</v>
      </c>
      <c r="J226" s="12" t="s">
        <v>28</v>
      </c>
      <c r="K226" s="12" t="s">
        <v>28</v>
      </c>
      <c r="L226" s="12" t="s">
        <v>38</v>
      </c>
      <c r="M226" s="12" t="s">
        <v>38</v>
      </c>
      <c r="N226" s="9">
        <v>0</v>
      </c>
      <c r="O226" s="12" t="s">
        <v>28</v>
      </c>
      <c r="P226" s="35">
        <v>0</v>
      </c>
      <c r="Q226" s="12" t="s">
        <v>28</v>
      </c>
      <c r="R226" s="35">
        <v>0</v>
      </c>
      <c r="S226" s="10" t="s">
        <v>28</v>
      </c>
      <c r="T226" s="37">
        <v>0</v>
      </c>
      <c r="U226" s="10" t="s">
        <v>28</v>
      </c>
      <c r="V226" s="34" t="s">
        <v>68</v>
      </c>
      <c r="W226" s="15" t="s">
        <v>68</v>
      </c>
      <c r="X226" s="21" t="s">
        <v>887</v>
      </c>
      <c r="Y226" s="67" t="s">
        <v>68</v>
      </c>
      <c r="Z226" s="33" t="s">
        <v>887</v>
      </c>
    </row>
    <row r="227" spans="1:26">
      <c r="A227" s="31">
        <v>223</v>
      </c>
      <c r="B227" s="8" t="s">
        <v>25</v>
      </c>
      <c r="C227" s="8" t="s">
        <v>26</v>
      </c>
      <c r="D227" s="12" t="s">
        <v>32</v>
      </c>
      <c r="E227" s="12" t="s">
        <v>502</v>
      </c>
      <c r="F227" s="34" t="s">
        <v>661</v>
      </c>
      <c r="G227" s="34" t="s">
        <v>28</v>
      </c>
      <c r="H227" s="36" t="s">
        <v>662</v>
      </c>
      <c r="I227" s="12" t="s">
        <v>53</v>
      </c>
      <c r="J227" s="12" t="s">
        <v>28</v>
      </c>
      <c r="K227" s="12" t="s">
        <v>28</v>
      </c>
      <c r="L227" s="12" t="s">
        <v>38</v>
      </c>
      <c r="M227" s="12" t="s">
        <v>38</v>
      </c>
      <c r="N227" s="9">
        <v>0</v>
      </c>
      <c r="O227" s="12" t="s">
        <v>28</v>
      </c>
      <c r="P227" s="35">
        <v>0</v>
      </c>
      <c r="Q227" s="12" t="s">
        <v>28</v>
      </c>
      <c r="R227" s="35">
        <v>0</v>
      </c>
      <c r="S227" s="10" t="s">
        <v>28</v>
      </c>
      <c r="T227" s="37">
        <v>0</v>
      </c>
      <c r="U227" s="10" t="s">
        <v>28</v>
      </c>
      <c r="V227" s="34" t="s">
        <v>68</v>
      </c>
      <c r="W227" s="15" t="s">
        <v>68</v>
      </c>
      <c r="X227" s="21" t="s">
        <v>887</v>
      </c>
      <c r="Y227" s="67" t="s">
        <v>68</v>
      </c>
      <c r="Z227" s="33" t="s">
        <v>887</v>
      </c>
    </row>
    <row r="228" spans="1:26">
      <c r="A228" s="31">
        <v>224</v>
      </c>
      <c r="B228" s="8" t="s">
        <v>25</v>
      </c>
      <c r="C228" s="8" t="s">
        <v>26</v>
      </c>
      <c r="D228" s="12" t="s">
        <v>32</v>
      </c>
      <c r="E228" s="12" t="s">
        <v>502</v>
      </c>
      <c r="F228" s="34" t="s">
        <v>663</v>
      </c>
      <c r="G228" s="34" t="s">
        <v>28</v>
      </c>
      <c r="H228" s="36" t="s">
        <v>664</v>
      </c>
      <c r="I228" s="12" t="s">
        <v>53</v>
      </c>
      <c r="J228" s="12" t="s">
        <v>28</v>
      </c>
      <c r="K228" s="12" t="s">
        <v>28</v>
      </c>
      <c r="L228" s="12" t="s">
        <v>38</v>
      </c>
      <c r="M228" s="12" t="s">
        <v>38</v>
      </c>
      <c r="N228" s="9">
        <v>0</v>
      </c>
      <c r="O228" s="12" t="s">
        <v>28</v>
      </c>
      <c r="P228" s="35">
        <v>0</v>
      </c>
      <c r="Q228" s="12" t="s">
        <v>28</v>
      </c>
      <c r="R228" s="35">
        <v>0</v>
      </c>
      <c r="S228" s="10" t="s">
        <v>28</v>
      </c>
      <c r="T228" s="37">
        <v>0</v>
      </c>
      <c r="U228" s="10" t="s">
        <v>28</v>
      </c>
      <c r="V228" s="34" t="s">
        <v>68</v>
      </c>
      <c r="W228" s="15" t="s">
        <v>68</v>
      </c>
      <c r="X228" s="21" t="s">
        <v>887</v>
      </c>
      <c r="Y228" s="67" t="s">
        <v>68</v>
      </c>
      <c r="Z228" s="33" t="s">
        <v>887</v>
      </c>
    </row>
    <row r="229" spans="1:26">
      <c r="A229" s="31">
        <v>225</v>
      </c>
      <c r="B229" s="8" t="s">
        <v>25</v>
      </c>
      <c r="C229" s="8" t="s">
        <v>26</v>
      </c>
      <c r="D229" s="12" t="s">
        <v>32</v>
      </c>
      <c r="E229" s="12" t="s">
        <v>502</v>
      </c>
      <c r="F229" s="34" t="s">
        <v>665</v>
      </c>
      <c r="G229" s="34" t="s">
        <v>28</v>
      </c>
      <c r="H229" s="36" t="s">
        <v>666</v>
      </c>
      <c r="I229" s="12" t="s">
        <v>43</v>
      </c>
      <c r="J229" s="12" t="s">
        <v>28</v>
      </c>
      <c r="K229" s="12" t="s">
        <v>28</v>
      </c>
      <c r="L229" s="12" t="s">
        <v>38</v>
      </c>
      <c r="M229" s="12" t="s">
        <v>38</v>
      </c>
      <c r="N229" s="9">
        <v>0</v>
      </c>
      <c r="O229" s="12" t="s">
        <v>28</v>
      </c>
      <c r="P229" s="35">
        <v>0</v>
      </c>
      <c r="Q229" s="12" t="s">
        <v>28</v>
      </c>
      <c r="R229" s="35">
        <v>0</v>
      </c>
      <c r="S229" s="10" t="s">
        <v>28</v>
      </c>
      <c r="T229" s="37">
        <v>0</v>
      </c>
      <c r="U229" s="10" t="s">
        <v>28</v>
      </c>
      <c r="V229" s="34" t="s">
        <v>68</v>
      </c>
      <c r="W229" s="15" t="s">
        <v>68</v>
      </c>
      <c r="X229" s="21" t="s">
        <v>887</v>
      </c>
      <c r="Y229" s="67" t="s">
        <v>68</v>
      </c>
      <c r="Z229" s="33" t="s">
        <v>887</v>
      </c>
    </row>
    <row r="230" spans="1:26">
      <c r="A230" s="31">
        <v>226</v>
      </c>
      <c r="B230" s="8" t="s">
        <v>25</v>
      </c>
      <c r="C230" s="8" t="s">
        <v>26</v>
      </c>
      <c r="D230" s="12" t="s">
        <v>32</v>
      </c>
      <c r="E230" s="12" t="s">
        <v>502</v>
      </c>
      <c r="F230" s="34" t="s">
        <v>667</v>
      </c>
      <c r="G230" s="34" t="s">
        <v>28</v>
      </c>
      <c r="H230" s="36" t="s">
        <v>668</v>
      </c>
      <c r="I230" s="12" t="s">
        <v>528</v>
      </c>
      <c r="J230" s="12" t="s">
        <v>28</v>
      </c>
      <c r="K230" s="12" t="s">
        <v>28</v>
      </c>
      <c r="L230" s="12" t="s">
        <v>38</v>
      </c>
      <c r="M230" s="12" t="s">
        <v>38</v>
      </c>
      <c r="N230" s="9">
        <v>0</v>
      </c>
      <c r="O230" s="12" t="s">
        <v>28</v>
      </c>
      <c r="P230" s="35">
        <v>0</v>
      </c>
      <c r="Q230" s="12" t="s">
        <v>28</v>
      </c>
      <c r="R230" s="35">
        <v>0</v>
      </c>
      <c r="S230" s="10" t="s">
        <v>28</v>
      </c>
      <c r="T230" s="37">
        <v>0</v>
      </c>
      <c r="U230" s="10" t="s">
        <v>28</v>
      </c>
      <c r="V230" s="34" t="s">
        <v>68</v>
      </c>
      <c r="W230" s="15" t="s">
        <v>68</v>
      </c>
      <c r="X230" s="21" t="s">
        <v>887</v>
      </c>
      <c r="Y230" s="67" t="s">
        <v>68</v>
      </c>
      <c r="Z230" s="33" t="s">
        <v>887</v>
      </c>
    </row>
    <row r="231" spans="1:26">
      <c r="A231" s="31">
        <v>227</v>
      </c>
      <c r="B231" s="8" t="s">
        <v>25</v>
      </c>
      <c r="C231" s="8" t="s">
        <v>26</v>
      </c>
      <c r="D231" s="12" t="s">
        <v>32</v>
      </c>
      <c r="E231" s="12" t="s">
        <v>502</v>
      </c>
      <c r="F231" s="34" t="s">
        <v>669</v>
      </c>
      <c r="G231" s="34" t="s">
        <v>670</v>
      </c>
      <c r="H231" s="36" t="s">
        <v>671</v>
      </c>
      <c r="I231" s="12" t="s">
        <v>118</v>
      </c>
      <c r="J231" s="12" t="s">
        <v>38</v>
      </c>
      <c r="K231" s="12" t="s">
        <v>28</v>
      </c>
      <c r="L231" s="12" t="s">
        <v>28</v>
      </c>
      <c r="M231" s="12" t="s">
        <v>38</v>
      </c>
      <c r="N231" s="9">
        <v>0</v>
      </c>
      <c r="O231" s="12" t="s">
        <v>28</v>
      </c>
      <c r="P231" s="35">
        <v>0</v>
      </c>
      <c r="Q231" s="12" t="s">
        <v>28</v>
      </c>
      <c r="R231" s="35">
        <v>1400000074</v>
      </c>
      <c r="S231" s="10">
        <v>43616</v>
      </c>
      <c r="T231" s="37">
        <v>0</v>
      </c>
      <c r="U231" s="10" t="s">
        <v>28</v>
      </c>
      <c r="V231" s="34" t="s">
        <v>622</v>
      </c>
      <c r="W231" s="15" t="s">
        <v>881</v>
      </c>
      <c r="X231" s="21" t="s">
        <v>68</v>
      </c>
      <c r="Y231" s="67" t="s">
        <v>68</v>
      </c>
      <c r="Z231" s="33" t="s">
        <v>887</v>
      </c>
    </row>
    <row r="232" spans="1:26">
      <c r="A232" s="31">
        <v>228</v>
      </c>
      <c r="B232" s="8" t="s">
        <v>25</v>
      </c>
      <c r="C232" s="8" t="s">
        <v>26</v>
      </c>
      <c r="D232" s="12" t="s">
        <v>32</v>
      </c>
      <c r="E232" s="12" t="s">
        <v>502</v>
      </c>
      <c r="F232" s="34" t="s">
        <v>672</v>
      </c>
      <c r="G232" s="34"/>
      <c r="H232" s="36" t="s">
        <v>673</v>
      </c>
      <c r="I232" s="12" t="s">
        <v>118</v>
      </c>
      <c r="J232" s="12" t="s">
        <v>28</v>
      </c>
      <c r="K232" s="12" t="s">
        <v>28</v>
      </c>
      <c r="L232" s="12" t="s">
        <v>38</v>
      </c>
      <c r="M232" s="12" t="s">
        <v>38</v>
      </c>
      <c r="N232" s="9">
        <v>0</v>
      </c>
      <c r="O232" s="12" t="s">
        <v>28</v>
      </c>
      <c r="P232" s="35">
        <v>0</v>
      </c>
      <c r="Q232" s="12" t="s">
        <v>28</v>
      </c>
      <c r="R232" s="35"/>
      <c r="S232" s="10"/>
      <c r="T232" s="37">
        <v>0</v>
      </c>
      <c r="U232" s="10" t="s">
        <v>28</v>
      </c>
      <c r="V232" s="34" t="s">
        <v>68</v>
      </c>
      <c r="W232" s="15" t="s">
        <v>68</v>
      </c>
      <c r="X232" s="21" t="s">
        <v>887</v>
      </c>
      <c r="Y232" s="67" t="s">
        <v>68</v>
      </c>
      <c r="Z232" s="33" t="s">
        <v>887</v>
      </c>
    </row>
    <row r="233" spans="1:26">
      <c r="A233" s="31">
        <v>229</v>
      </c>
      <c r="B233" s="8" t="s">
        <v>25</v>
      </c>
      <c r="C233" s="8" t="s">
        <v>26</v>
      </c>
      <c r="D233" s="12" t="s">
        <v>32</v>
      </c>
      <c r="E233" s="12" t="s">
        <v>502</v>
      </c>
      <c r="F233" s="34" t="s">
        <v>674</v>
      </c>
      <c r="G233" s="34" t="s">
        <v>675</v>
      </c>
      <c r="H233" s="36" t="s">
        <v>676</v>
      </c>
      <c r="I233" s="12" t="s">
        <v>118</v>
      </c>
      <c r="J233" s="12" t="s">
        <v>38</v>
      </c>
      <c r="K233" s="12" t="s">
        <v>28</v>
      </c>
      <c r="L233" s="12" t="s">
        <v>28</v>
      </c>
      <c r="M233" s="12" t="s">
        <v>38</v>
      </c>
      <c r="N233" s="9">
        <v>0</v>
      </c>
      <c r="O233" s="12" t="s">
        <v>28</v>
      </c>
      <c r="P233" s="35">
        <v>0</v>
      </c>
      <c r="Q233" s="12" t="s">
        <v>28</v>
      </c>
      <c r="R233" s="35">
        <v>2072291710.5000002</v>
      </c>
      <c r="S233" s="10">
        <v>43522</v>
      </c>
      <c r="T233" s="37">
        <v>0</v>
      </c>
      <c r="U233" s="10" t="s">
        <v>28</v>
      </c>
      <c r="V233" s="34" t="s">
        <v>622</v>
      </c>
      <c r="W233" s="15" t="s">
        <v>881</v>
      </c>
      <c r="X233" s="21" t="s">
        <v>68</v>
      </c>
      <c r="Y233" s="67" t="s">
        <v>68</v>
      </c>
      <c r="Z233" s="33" t="s">
        <v>887</v>
      </c>
    </row>
    <row r="234" spans="1:26">
      <c r="A234" s="31">
        <v>230</v>
      </c>
      <c r="B234" s="8" t="s">
        <v>25</v>
      </c>
      <c r="C234" s="8" t="s">
        <v>26</v>
      </c>
      <c r="D234" s="12" t="s">
        <v>32</v>
      </c>
      <c r="E234" s="12" t="s">
        <v>502</v>
      </c>
      <c r="F234" s="34" t="s">
        <v>677</v>
      </c>
      <c r="G234" s="34" t="s">
        <v>678</v>
      </c>
      <c r="H234" s="36" t="s">
        <v>679</v>
      </c>
      <c r="I234" s="12" t="s">
        <v>118</v>
      </c>
      <c r="J234" s="12" t="s">
        <v>38</v>
      </c>
      <c r="K234" s="12" t="s">
        <v>28</v>
      </c>
      <c r="L234" s="12" t="s">
        <v>28</v>
      </c>
      <c r="M234" s="12" t="s">
        <v>38</v>
      </c>
      <c r="N234" s="9">
        <v>0</v>
      </c>
      <c r="O234" s="12" t="s">
        <v>28</v>
      </c>
      <c r="P234" s="35">
        <v>0</v>
      </c>
      <c r="Q234" s="12" t="s">
        <v>28</v>
      </c>
      <c r="R234" s="35">
        <v>268693539.40000004</v>
      </c>
      <c r="S234" s="10">
        <v>43522</v>
      </c>
      <c r="T234" s="37">
        <v>0</v>
      </c>
      <c r="U234" s="10" t="s">
        <v>28</v>
      </c>
      <c r="V234" s="34" t="s">
        <v>622</v>
      </c>
      <c r="W234" s="15" t="s">
        <v>881</v>
      </c>
      <c r="X234" s="21" t="s">
        <v>68</v>
      </c>
      <c r="Y234" s="67" t="s">
        <v>68</v>
      </c>
      <c r="Z234" s="33" t="s">
        <v>887</v>
      </c>
    </row>
    <row r="235" spans="1:26">
      <c r="A235" s="31">
        <v>231</v>
      </c>
      <c r="B235" s="8" t="s">
        <v>25</v>
      </c>
      <c r="C235" s="8" t="s">
        <v>26</v>
      </c>
      <c r="D235" s="12" t="s">
        <v>32</v>
      </c>
      <c r="E235" s="12" t="s">
        <v>502</v>
      </c>
      <c r="F235" s="34" t="s">
        <v>680</v>
      </c>
      <c r="G235" s="34"/>
      <c r="H235" s="36" t="s">
        <v>681</v>
      </c>
      <c r="I235" s="12" t="s">
        <v>53</v>
      </c>
      <c r="J235" s="12" t="s">
        <v>28</v>
      </c>
      <c r="K235" s="12" t="s">
        <v>28</v>
      </c>
      <c r="L235" s="12" t="s">
        <v>38</v>
      </c>
      <c r="M235" s="12" t="s">
        <v>38</v>
      </c>
      <c r="N235" s="9">
        <v>0</v>
      </c>
      <c r="O235" s="12" t="s">
        <v>28</v>
      </c>
      <c r="P235" s="35">
        <v>0</v>
      </c>
      <c r="Q235" s="12" t="s">
        <v>28</v>
      </c>
      <c r="R235" s="35"/>
      <c r="S235" s="10"/>
      <c r="T235" s="37">
        <v>0</v>
      </c>
      <c r="U235" s="10" t="s">
        <v>28</v>
      </c>
      <c r="V235" s="34" t="s">
        <v>68</v>
      </c>
      <c r="W235" s="15" t="s">
        <v>68</v>
      </c>
      <c r="X235" s="21" t="s">
        <v>887</v>
      </c>
      <c r="Y235" s="67" t="s">
        <v>68</v>
      </c>
      <c r="Z235" s="33" t="s">
        <v>887</v>
      </c>
    </row>
    <row r="236" spans="1:26">
      <c r="A236" s="31">
        <v>232</v>
      </c>
      <c r="B236" s="8" t="s">
        <v>25</v>
      </c>
      <c r="C236" s="8" t="s">
        <v>26</v>
      </c>
      <c r="D236" s="12" t="s">
        <v>32</v>
      </c>
      <c r="E236" s="12" t="s">
        <v>502</v>
      </c>
      <c r="F236" s="34" t="s">
        <v>682</v>
      </c>
      <c r="G236" s="34"/>
      <c r="H236" s="36" t="s">
        <v>683</v>
      </c>
      <c r="I236" s="12" t="s">
        <v>61</v>
      </c>
      <c r="J236" s="12" t="s">
        <v>28</v>
      </c>
      <c r="K236" s="12" t="s">
        <v>28</v>
      </c>
      <c r="L236" s="12" t="s">
        <v>38</v>
      </c>
      <c r="M236" s="12" t="s">
        <v>38</v>
      </c>
      <c r="N236" s="9">
        <v>0</v>
      </c>
      <c r="O236" s="12" t="s">
        <v>28</v>
      </c>
      <c r="P236" s="35">
        <v>0</v>
      </c>
      <c r="Q236" s="12" t="s">
        <v>28</v>
      </c>
      <c r="R236" s="35"/>
      <c r="S236" s="10"/>
      <c r="T236" s="37">
        <v>0</v>
      </c>
      <c r="U236" s="10" t="s">
        <v>28</v>
      </c>
      <c r="V236" s="34" t="s">
        <v>68</v>
      </c>
      <c r="W236" s="15" t="s">
        <v>68</v>
      </c>
      <c r="X236" s="21" t="s">
        <v>887</v>
      </c>
      <c r="Y236" s="67" t="s">
        <v>68</v>
      </c>
      <c r="Z236" s="33" t="s">
        <v>887</v>
      </c>
    </row>
    <row r="237" spans="1:26">
      <c r="A237" s="31">
        <v>233</v>
      </c>
      <c r="B237" s="8" t="s">
        <v>25</v>
      </c>
      <c r="C237" s="8" t="s">
        <v>26</v>
      </c>
      <c r="D237" s="12" t="s">
        <v>32</v>
      </c>
      <c r="E237" s="12" t="s">
        <v>502</v>
      </c>
      <c r="F237" s="34" t="s">
        <v>684</v>
      </c>
      <c r="G237" s="34"/>
      <c r="H237" s="36" t="s">
        <v>685</v>
      </c>
      <c r="I237" s="12" t="s">
        <v>53</v>
      </c>
      <c r="J237" s="12" t="s">
        <v>28</v>
      </c>
      <c r="K237" s="12" t="s">
        <v>28</v>
      </c>
      <c r="L237" s="12" t="s">
        <v>38</v>
      </c>
      <c r="M237" s="12" t="s">
        <v>38</v>
      </c>
      <c r="N237" s="9">
        <v>0</v>
      </c>
      <c r="O237" s="12" t="s">
        <v>28</v>
      </c>
      <c r="P237" s="35">
        <v>0</v>
      </c>
      <c r="Q237" s="12" t="s">
        <v>28</v>
      </c>
      <c r="R237" s="35"/>
      <c r="S237" s="10"/>
      <c r="T237" s="37">
        <v>0</v>
      </c>
      <c r="U237" s="10" t="s">
        <v>28</v>
      </c>
      <c r="V237" s="34" t="s">
        <v>68</v>
      </c>
      <c r="W237" s="15" t="s">
        <v>68</v>
      </c>
      <c r="X237" s="21" t="s">
        <v>887</v>
      </c>
      <c r="Y237" s="67" t="s">
        <v>68</v>
      </c>
      <c r="Z237" s="33" t="s">
        <v>887</v>
      </c>
    </row>
    <row r="238" spans="1:26">
      <c r="A238" s="31">
        <v>234</v>
      </c>
      <c r="B238" s="8" t="s">
        <v>25</v>
      </c>
      <c r="C238" s="8" t="s">
        <v>26</v>
      </c>
      <c r="D238" s="12" t="s">
        <v>32</v>
      </c>
      <c r="E238" s="12" t="s">
        <v>502</v>
      </c>
      <c r="F238" s="34" t="s">
        <v>686</v>
      </c>
      <c r="G238" s="34"/>
      <c r="H238" s="36" t="s">
        <v>687</v>
      </c>
      <c r="I238" s="12" t="s">
        <v>53</v>
      </c>
      <c r="J238" s="12" t="s">
        <v>28</v>
      </c>
      <c r="K238" s="12" t="s">
        <v>28</v>
      </c>
      <c r="L238" s="12" t="s">
        <v>38</v>
      </c>
      <c r="M238" s="12" t="s">
        <v>38</v>
      </c>
      <c r="N238" s="9">
        <v>0</v>
      </c>
      <c r="O238" s="12" t="s">
        <v>28</v>
      </c>
      <c r="P238" s="35">
        <v>0</v>
      </c>
      <c r="Q238" s="12" t="s">
        <v>28</v>
      </c>
      <c r="R238" s="35"/>
      <c r="S238" s="10"/>
      <c r="T238" s="37">
        <v>0</v>
      </c>
      <c r="U238" s="10" t="s">
        <v>28</v>
      </c>
      <c r="V238" s="34" t="s">
        <v>68</v>
      </c>
      <c r="W238" s="15" t="s">
        <v>68</v>
      </c>
      <c r="X238" s="21" t="s">
        <v>887</v>
      </c>
      <c r="Y238" s="67" t="s">
        <v>68</v>
      </c>
      <c r="Z238" s="33" t="s">
        <v>887</v>
      </c>
    </row>
    <row r="239" spans="1:26">
      <c r="A239" s="31">
        <v>235</v>
      </c>
      <c r="B239" s="8" t="s">
        <v>25</v>
      </c>
      <c r="C239" s="8" t="s">
        <v>26</v>
      </c>
      <c r="D239" s="12" t="s">
        <v>32</v>
      </c>
      <c r="E239" s="12" t="s">
        <v>502</v>
      </c>
      <c r="F239" s="34" t="s">
        <v>688</v>
      </c>
      <c r="G239" s="34" t="s">
        <v>689</v>
      </c>
      <c r="H239" s="36" t="s">
        <v>690</v>
      </c>
      <c r="I239" s="12" t="s">
        <v>118</v>
      </c>
      <c r="J239" s="12" t="s">
        <v>38</v>
      </c>
      <c r="K239" s="12" t="s">
        <v>28</v>
      </c>
      <c r="L239" s="12" t="s">
        <v>28</v>
      </c>
      <c r="M239" s="12" t="s">
        <v>38</v>
      </c>
      <c r="N239" s="9">
        <v>0</v>
      </c>
      <c r="O239" s="12" t="s">
        <v>28</v>
      </c>
      <c r="P239" s="35">
        <v>0</v>
      </c>
      <c r="Q239" s="12" t="s">
        <v>28</v>
      </c>
      <c r="R239" s="35">
        <v>1445948900</v>
      </c>
      <c r="S239" s="10">
        <v>43592</v>
      </c>
      <c r="T239" s="37">
        <v>0</v>
      </c>
      <c r="U239" s="10" t="s">
        <v>28</v>
      </c>
      <c r="V239" s="34" t="s">
        <v>622</v>
      </c>
      <c r="W239" s="15" t="s">
        <v>881</v>
      </c>
      <c r="X239" s="21" t="s">
        <v>68</v>
      </c>
      <c r="Y239" s="67" t="s">
        <v>68</v>
      </c>
      <c r="Z239" s="33" t="s">
        <v>887</v>
      </c>
    </row>
    <row r="240" spans="1:26">
      <c r="A240" s="31">
        <v>236</v>
      </c>
      <c r="B240" s="8" t="s">
        <v>25</v>
      </c>
      <c r="C240" s="8" t="s">
        <v>26</v>
      </c>
      <c r="D240" s="12" t="s">
        <v>32</v>
      </c>
      <c r="E240" s="12" t="s">
        <v>502</v>
      </c>
      <c r="F240" s="34" t="s">
        <v>691</v>
      </c>
      <c r="G240" s="34"/>
      <c r="H240" s="36" t="s">
        <v>692</v>
      </c>
      <c r="I240" s="12" t="s">
        <v>125</v>
      </c>
      <c r="J240" s="12" t="s">
        <v>28</v>
      </c>
      <c r="K240" s="12" t="s">
        <v>28</v>
      </c>
      <c r="L240" s="12" t="s">
        <v>38</v>
      </c>
      <c r="M240" s="12" t="s">
        <v>38</v>
      </c>
      <c r="N240" s="9">
        <v>0</v>
      </c>
      <c r="O240" s="12" t="s">
        <v>28</v>
      </c>
      <c r="P240" s="35">
        <v>0</v>
      </c>
      <c r="Q240" s="12" t="s">
        <v>28</v>
      </c>
      <c r="R240" s="35"/>
      <c r="S240" s="10"/>
      <c r="T240" s="37">
        <v>0</v>
      </c>
      <c r="U240" s="10" t="s">
        <v>28</v>
      </c>
      <c r="V240" s="34" t="s">
        <v>68</v>
      </c>
      <c r="W240" s="15" t="s">
        <v>68</v>
      </c>
      <c r="X240" s="21" t="s">
        <v>887</v>
      </c>
      <c r="Y240" s="67" t="s">
        <v>68</v>
      </c>
      <c r="Z240" s="33" t="s">
        <v>887</v>
      </c>
    </row>
    <row r="241" spans="1:26">
      <c r="A241" s="31">
        <v>237</v>
      </c>
      <c r="B241" s="8" t="s">
        <v>25</v>
      </c>
      <c r="C241" s="8" t="s">
        <v>26</v>
      </c>
      <c r="D241" s="12" t="s">
        <v>32</v>
      </c>
      <c r="E241" s="12" t="s">
        <v>502</v>
      </c>
      <c r="F241" s="34" t="s">
        <v>693</v>
      </c>
      <c r="G241" s="34" t="s">
        <v>694</v>
      </c>
      <c r="H241" s="36" t="s">
        <v>695</v>
      </c>
      <c r="I241" s="12" t="s">
        <v>28</v>
      </c>
      <c r="J241" s="12" t="s">
        <v>28</v>
      </c>
      <c r="K241" s="12" t="s">
        <v>28</v>
      </c>
      <c r="L241" s="12" t="s">
        <v>28</v>
      </c>
      <c r="M241" s="12" t="s">
        <v>28</v>
      </c>
      <c r="N241" s="9">
        <v>0</v>
      </c>
      <c r="O241" s="12" t="s">
        <v>28</v>
      </c>
      <c r="P241" s="35">
        <v>0</v>
      </c>
      <c r="Q241" s="12" t="s">
        <v>28</v>
      </c>
      <c r="R241" s="9">
        <v>11882310000.000002</v>
      </c>
      <c r="S241" s="10">
        <v>45195</v>
      </c>
      <c r="T241" s="37">
        <v>0</v>
      </c>
      <c r="U241" s="10" t="s">
        <v>28</v>
      </c>
      <c r="V241" s="34" t="s">
        <v>506</v>
      </c>
      <c r="W241" s="15" t="s">
        <v>881</v>
      </c>
      <c r="X241" s="21" t="s">
        <v>887</v>
      </c>
      <c r="Y241" s="67" t="s">
        <v>68</v>
      </c>
      <c r="Z241" s="33" t="s">
        <v>887</v>
      </c>
    </row>
    <row r="242" spans="1:26">
      <c r="A242" s="31">
        <v>238</v>
      </c>
      <c r="B242" s="8" t="s">
        <v>25</v>
      </c>
      <c r="C242" s="8" t="s">
        <v>26</v>
      </c>
      <c r="D242" s="12" t="s">
        <v>32</v>
      </c>
      <c r="E242" s="44" t="s">
        <v>696</v>
      </c>
      <c r="F242" s="34" t="s">
        <v>697</v>
      </c>
      <c r="G242" s="34" t="s">
        <v>698</v>
      </c>
      <c r="H242" s="36" t="s">
        <v>699</v>
      </c>
      <c r="I242" s="12" t="s">
        <v>53</v>
      </c>
      <c r="J242" s="12" t="s">
        <v>38</v>
      </c>
      <c r="K242" s="12" t="s">
        <v>28</v>
      </c>
      <c r="L242" s="12" t="s">
        <v>28</v>
      </c>
      <c r="M242" s="12" t="s">
        <v>38</v>
      </c>
      <c r="N242" s="9">
        <v>15620000000.000002</v>
      </c>
      <c r="O242" s="10">
        <v>39758</v>
      </c>
      <c r="P242" s="35">
        <v>0</v>
      </c>
      <c r="Q242" s="12" t="s">
        <v>28</v>
      </c>
      <c r="R242" s="9">
        <v>12887000000</v>
      </c>
      <c r="S242" s="10">
        <v>43297</v>
      </c>
      <c r="T242" s="37">
        <v>0</v>
      </c>
      <c r="U242" s="10" t="s">
        <v>28</v>
      </c>
      <c r="V242" s="34" t="s">
        <v>700</v>
      </c>
      <c r="W242" s="15" t="s">
        <v>880</v>
      </c>
      <c r="X242" s="21" t="s">
        <v>68</v>
      </c>
      <c r="Y242" s="67" t="s">
        <v>68</v>
      </c>
      <c r="Z242" s="33" t="s">
        <v>887</v>
      </c>
    </row>
    <row r="243" spans="1:26">
      <c r="A243" s="31">
        <v>239</v>
      </c>
      <c r="B243" s="8" t="s">
        <v>25</v>
      </c>
      <c r="C243" s="8" t="s">
        <v>26</v>
      </c>
      <c r="D243" s="12" t="s">
        <v>32</v>
      </c>
      <c r="E243" s="44" t="s">
        <v>696</v>
      </c>
      <c r="F243" s="34" t="s">
        <v>701</v>
      </c>
      <c r="G243" s="34" t="s">
        <v>702</v>
      </c>
      <c r="H243" s="36" t="s">
        <v>703</v>
      </c>
      <c r="I243" s="12" t="s">
        <v>43</v>
      </c>
      <c r="J243" s="12" t="s">
        <v>38</v>
      </c>
      <c r="K243" s="12" t="s">
        <v>28</v>
      </c>
      <c r="L243" s="12" t="s">
        <v>28</v>
      </c>
      <c r="M243" s="12" t="s">
        <v>38</v>
      </c>
      <c r="N243" s="9">
        <v>0</v>
      </c>
      <c r="O243" s="12" t="s">
        <v>28</v>
      </c>
      <c r="P243" s="35">
        <v>0</v>
      </c>
      <c r="Q243" s="12" t="s">
        <v>28</v>
      </c>
      <c r="R243" s="35">
        <v>0</v>
      </c>
      <c r="S243" s="10" t="s">
        <v>28</v>
      </c>
      <c r="T243" s="35">
        <v>3458433000.0000005</v>
      </c>
      <c r="U243" s="10">
        <v>45670</v>
      </c>
      <c r="V243" s="34" t="s">
        <v>700</v>
      </c>
      <c r="W243" s="15" t="s">
        <v>880</v>
      </c>
      <c r="X243" s="21" t="s">
        <v>68</v>
      </c>
      <c r="Y243" s="67" t="s">
        <v>68</v>
      </c>
      <c r="Z243" s="33" t="s">
        <v>887</v>
      </c>
    </row>
    <row r="244" spans="1:26">
      <c r="A244" s="31">
        <v>240</v>
      </c>
      <c r="B244" s="8" t="s">
        <v>25</v>
      </c>
      <c r="C244" s="8" t="s">
        <v>26</v>
      </c>
      <c r="D244" s="12" t="s">
        <v>32</v>
      </c>
      <c r="E244" s="44" t="s">
        <v>696</v>
      </c>
      <c r="F244" s="34" t="s">
        <v>704</v>
      </c>
      <c r="G244" s="34" t="s">
        <v>705</v>
      </c>
      <c r="H244" s="36" t="s">
        <v>706</v>
      </c>
      <c r="I244" s="12" t="s">
        <v>43</v>
      </c>
      <c r="J244" s="12" t="s">
        <v>38</v>
      </c>
      <c r="K244" s="12" t="s">
        <v>28</v>
      </c>
      <c r="L244" s="12" t="s">
        <v>28</v>
      </c>
      <c r="M244" s="12" t="s">
        <v>38</v>
      </c>
      <c r="N244" s="9">
        <v>0</v>
      </c>
      <c r="O244" s="12" t="s">
        <v>28</v>
      </c>
      <c r="P244" s="9">
        <v>5335000000</v>
      </c>
      <c r="Q244" s="10">
        <v>40696</v>
      </c>
      <c r="R244" s="35">
        <v>0</v>
      </c>
      <c r="S244" s="10" t="s">
        <v>28</v>
      </c>
      <c r="T244" s="37">
        <v>0</v>
      </c>
      <c r="U244" s="10" t="s">
        <v>28</v>
      </c>
      <c r="V244" s="34" t="s">
        <v>700</v>
      </c>
      <c r="W244" s="15" t="s">
        <v>880</v>
      </c>
      <c r="X244" s="21" t="s">
        <v>68</v>
      </c>
      <c r="Y244" s="67" t="s">
        <v>68</v>
      </c>
      <c r="Z244" s="33" t="s">
        <v>887</v>
      </c>
    </row>
    <row r="245" spans="1:26">
      <c r="A245" s="31">
        <v>241</v>
      </c>
      <c r="B245" s="8" t="s">
        <v>25</v>
      </c>
      <c r="C245" s="8" t="s">
        <v>26</v>
      </c>
      <c r="D245" s="12" t="s">
        <v>32</v>
      </c>
      <c r="E245" s="44" t="s">
        <v>696</v>
      </c>
      <c r="F245" s="34" t="s">
        <v>707</v>
      </c>
      <c r="G245" s="34" t="s">
        <v>708</v>
      </c>
      <c r="H245" s="36" t="s">
        <v>709</v>
      </c>
      <c r="I245" s="12" t="s">
        <v>125</v>
      </c>
      <c r="J245" s="12" t="s">
        <v>38</v>
      </c>
      <c r="K245" s="12" t="s">
        <v>28</v>
      </c>
      <c r="L245" s="12" t="s">
        <v>28</v>
      </c>
      <c r="M245" s="12" t="s">
        <v>38</v>
      </c>
      <c r="N245" s="9">
        <v>0</v>
      </c>
      <c r="O245" s="12" t="s">
        <v>28</v>
      </c>
      <c r="P245" s="35">
        <v>0</v>
      </c>
      <c r="Q245" s="12" t="s">
        <v>28</v>
      </c>
      <c r="R245" s="35">
        <v>0</v>
      </c>
      <c r="S245" s="10" t="s">
        <v>28</v>
      </c>
      <c r="T245" s="37">
        <v>0</v>
      </c>
      <c r="U245" s="10" t="s">
        <v>28</v>
      </c>
      <c r="V245" s="34" t="s">
        <v>700</v>
      </c>
      <c r="W245" s="15" t="s">
        <v>68</v>
      </c>
      <c r="X245" s="21" t="s">
        <v>68</v>
      </c>
      <c r="Y245" s="67" t="s">
        <v>68</v>
      </c>
      <c r="Z245" s="33" t="s">
        <v>887</v>
      </c>
    </row>
    <row r="246" spans="1:26">
      <c r="A246" s="31">
        <v>242</v>
      </c>
      <c r="B246" s="8" t="s">
        <v>25</v>
      </c>
      <c r="C246" s="8" t="s">
        <v>26</v>
      </c>
      <c r="D246" s="12" t="s">
        <v>32</v>
      </c>
      <c r="E246" s="44" t="s">
        <v>696</v>
      </c>
      <c r="F246" s="34" t="s">
        <v>710</v>
      </c>
      <c r="G246" s="34" t="s">
        <v>711</v>
      </c>
      <c r="H246" s="36" t="s">
        <v>712</v>
      </c>
      <c r="I246" s="12" t="s">
        <v>118</v>
      </c>
      <c r="J246" s="12" t="s">
        <v>38</v>
      </c>
      <c r="K246" s="12" t="s">
        <v>28</v>
      </c>
      <c r="L246" s="12" t="s">
        <v>28</v>
      </c>
      <c r="M246" s="12" t="s">
        <v>38</v>
      </c>
      <c r="N246" s="9">
        <v>0</v>
      </c>
      <c r="O246" s="12" t="s">
        <v>28</v>
      </c>
      <c r="P246" s="35">
        <v>0</v>
      </c>
      <c r="Q246" s="12" t="s">
        <v>28</v>
      </c>
      <c r="R246" s="9">
        <v>7546000000</v>
      </c>
      <c r="S246" s="10">
        <v>42580</v>
      </c>
      <c r="T246" s="37">
        <v>0</v>
      </c>
      <c r="U246" s="10" t="s">
        <v>28</v>
      </c>
      <c r="V246" s="34" t="s">
        <v>700</v>
      </c>
      <c r="W246" s="15" t="s">
        <v>880</v>
      </c>
      <c r="X246" s="21" t="s">
        <v>68</v>
      </c>
      <c r="Y246" s="67" t="s">
        <v>68</v>
      </c>
      <c r="Z246" s="33" t="s">
        <v>887</v>
      </c>
    </row>
    <row r="247" spans="1:26">
      <c r="A247" s="31">
        <v>243</v>
      </c>
      <c r="B247" s="8" t="s">
        <v>25</v>
      </c>
      <c r="C247" s="8" t="s">
        <v>26</v>
      </c>
      <c r="D247" s="12" t="s">
        <v>32</v>
      </c>
      <c r="E247" s="44" t="s">
        <v>696</v>
      </c>
      <c r="F247" s="34" t="s">
        <v>713</v>
      </c>
      <c r="G247" s="34" t="s">
        <v>714</v>
      </c>
      <c r="H247" s="36" t="s">
        <v>715</v>
      </c>
      <c r="I247" s="12" t="s">
        <v>118</v>
      </c>
      <c r="J247" s="12" t="s">
        <v>38</v>
      </c>
      <c r="K247" s="12" t="s">
        <v>28</v>
      </c>
      <c r="L247" s="12" t="s">
        <v>28</v>
      </c>
      <c r="M247" s="12" t="s">
        <v>38</v>
      </c>
      <c r="N247" s="9">
        <v>0</v>
      </c>
      <c r="O247" s="12" t="s">
        <v>28</v>
      </c>
      <c r="P247" s="35">
        <v>3616303539</v>
      </c>
      <c r="Q247" s="38">
        <v>40781</v>
      </c>
      <c r="R247" s="35">
        <v>0</v>
      </c>
      <c r="S247" s="10" t="s">
        <v>28</v>
      </c>
      <c r="T247" s="37">
        <v>0</v>
      </c>
      <c r="U247" s="10" t="s">
        <v>28</v>
      </c>
      <c r="V247" s="34" t="s">
        <v>700</v>
      </c>
      <c r="W247" s="15" t="s">
        <v>880</v>
      </c>
      <c r="X247" s="21" t="s">
        <v>68</v>
      </c>
      <c r="Y247" s="67" t="s">
        <v>68</v>
      </c>
      <c r="Z247" s="33" t="s">
        <v>887</v>
      </c>
    </row>
    <row r="248" spans="1:26">
      <c r="A248" s="31">
        <v>244</v>
      </c>
      <c r="B248" s="8" t="s">
        <v>25</v>
      </c>
      <c r="C248" s="8" t="s">
        <v>26</v>
      </c>
      <c r="D248" s="12" t="s">
        <v>32</v>
      </c>
      <c r="E248" s="44" t="s">
        <v>696</v>
      </c>
      <c r="F248" s="34" t="s">
        <v>716</v>
      </c>
      <c r="G248" s="34" t="s">
        <v>717</v>
      </c>
      <c r="H248" s="36" t="s">
        <v>718</v>
      </c>
      <c r="I248" s="12" t="s">
        <v>118</v>
      </c>
      <c r="J248" s="12" t="s">
        <v>38</v>
      </c>
      <c r="K248" s="12" t="s">
        <v>28</v>
      </c>
      <c r="L248" s="12" t="s">
        <v>28</v>
      </c>
      <c r="M248" s="12" t="s">
        <v>38</v>
      </c>
      <c r="N248" s="9">
        <v>0</v>
      </c>
      <c r="O248" s="12" t="s">
        <v>28</v>
      </c>
      <c r="P248" s="35">
        <v>0</v>
      </c>
      <c r="Q248" s="12" t="s">
        <v>28</v>
      </c>
      <c r="R248" s="35">
        <v>478317840.00000006</v>
      </c>
      <c r="S248" s="10">
        <v>42480</v>
      </c>
      <c r="T248" s="37">
        <v>0</v>
      </c>
      <c r="U248" s="10" t="s">
        <v>28</v>
      </c>
      <c r="V248" s="34" t="s">
        <v>700</v>
      </c>
      <c r="W248" s="15" t="s">
        <v>880</v>
      </c>
      <c r="X248" s="21" t="s">
        <v>68</v>
      </c>
      <c r="Y248" s="67" t="s">
        <v>68</v>
      </c>
      <c r="Z248" s="33" t="s">
        <v>887</v>
      </c>
    </row>
    <row r="249" spans="1:26">
      <c r="A249" s="31">
        <v>245</v>
      </c>
      <c r="B249" s="8" t="s">
        <v>25</v>
      </c>
      <c r="C249" s="8" t="s">
        <v>26</v>
      </c>
      <c r="D249" s="12" t="s">
        <v>32</v>
      </c>
      <c r="E249" s="44" t="s">
        <v>696</v>
      </c>
      <c r="F249" s="34" t="s">
        <v>719</v>
      </c>
      <c r="G249" s="34" t="s">
        <v>720</v>
      </c>
      <c r="H249" s="36" t="s">
        <v>721</v>
      </c>
      <c r="I249" s="12" t="s">
        <v>118</v>
      </c>
      <c r="J249" s="12" t="s">
        <v>38</v>
      </c>
      <c r="K249" s="12" t="s">
        <v>28</v>
      </c>
      <c r="L249" s="12" t="s">
        <v>28</v>
      </c>
      <c r="M249" s="12" t="s">
        <v>38</v>
      </c>
      <c r="N249" s="9">
        <v>0</v>
      </c>
      <c r="O249" s="12" t="s">
        <v>28</v>
      </c>
      <c r="P249" s="35">
        <v>0</v>
      </c>
      <c r="Q249" s="12" t="s">
        <v>28</v>
      </c>
      <c r="R249" s="35">
        <v>935000000.00000012</v>
      </c>
      <c r="S249" s="10">
        <v>42544</v>
      </c>
      <c r="T249" s="37">
        <v>0</v>
      </c>
      <c r="U249" s="10" t="s">
        <v>28</v>
      </c>
      <c r="V249" s="34" t="s">
        <v>700</v>
      </c>
      <c r="W249" s="15" t="s">
        <v>880</v>
      </c>
      <c r="X249" s="21" t="s">
        <v>887</v>
      </c>
      <c r="Y249" s="67" t="s">
        <v>68</v>
      </c>
      <c r="Z249" s="33" t="s">
        <v>887</v>
      </c>
    </row>
    <row r="250" spans="1:26">
      <c r="A250" s="31">
        <v>246</v>
      </c>
      <c r="B250" s="8" t="s">
        <v>25</v>
      </c>
      <c r="C250" s="8" t="s">
        <v>26</v>
      </c>
      <c r="D250" s="12" t="s">
        <v>32</v>
      </c>
      <c r="E250" s="44" t="s">
        <v>696</v>
      </c>
      <c r="F250" s="34" t="s">
        <v>722</v>
      </c>
      <c r="G250" s="34" t="s">
        <v>723</v>
      </c>
      <c r="H250" s="36" t="s">
        <v>724</v>
      </c>
      <c r="I250" s="12" t="s">
        <v>118</v>
      </c>
      <c r="J250" s="12" t="s">
        <v>38</v>
      </c>
      <c r="K250" s="12" t="s">
        <v>28</v>
      </c>
      <c r="L250" s="12" t="s">
        <v>28</v>
      </c>
      <c r="M250" s="12" t="s">
        <v>38</v>
      </c>
      <c r="N250" s="9">
        <v>0</v>
      </c>
      <c r="O250" s="12" t="s">
        <v>28</v>
      </c>
      <c r="P250" s="35">
        <v>946894000</v>
      </c>
      <c r="Q250" s="38">
        <v>40556</v>
      </c>
      <c r="R250" s="35">
        <v>0</v>
      </c>
      <c r="S250" s="10" t="s">
        <v>28</v>
      </c>
      <c r="T250" s="37">
        <v>0</v>
      </c>
      <c r="U250" s="10" t="s">
        <v>28</v>
      </c>
      <c r="V250" s="34" t="s">
        <v>700</v>
      </c>
      <c r="W250" s="15" t="s">
        <v>880</v>
      </c>
      <c r="X250" s="21" t="s">
        <v>68</v>
      </c>
      <c r="Y250" s="67" t="s">
        <v>68</v>
      </c>
      <c r="Z250" s="33" t="s">
        <v>887</v>
      </c>
    </row>
    <row r="251" spans="1:26">
      <c r="A251" s="31">
        <v>247</v>
      </c>
      <c r="B251" s="8" t="s">
        <v>25</v>
      </c>
      <c r="C251" s="8" t="s">
        <v>26</v>
      </c>
      <c r="D251" s="12" t="s">
        <v>32</v>
      </c>
      <c r="E251" s="44" t="s">
        <v>696</v>
      </c>
      <c r="F251" s="34" t="s">
        <v>725</v>
      </c>
      <c r="G251" s="34" t="s">
        <v>726</v>
      </c>
      <c r="H251" s="36" t="s">
        <v>727</v>
      </c>
      <c r="I251" s="12" t="s">
        <v>43</v>
      </c>
      <c r="J251" s="12" t="s">
        <v>38</v>
      </c>
      <c r="K251" s="12" t="s">
        <v>28</v>
      </c>
      <c r="L251" s="12" t="s">
        <v>28</v>
      </c>
      <c r="M251" s="12" t="s">
        <v>38</v>
      </c>
      <c r="N251" s="9">
        <v>0</v>
      </c>
      <c r="O251" s="12" t="s">
        <v>28</v>
      </c>
      <c r="P251" s="35">
        <v>0</v>
      </c>
      <c r="Q251" s="12" t="s">
        <v>28</v>
      </c>
      <c r="R251" s="35">
        <v>1815913000.0000002</v>
      </c>
      <c r="S251" s="10">
        <v>42884</v>
      </c>
      <c r="T251" s="37">
        <v>0</v>
      </c>
      <c r="U251" s="10" t="s">
        <v>28</v>
      </c>
      <c r="V251" s="34" t="s">
        <v>700</v>
      </c>
      <c r="W251" s="15" t="s">
        <v>880</v>
      </c>
      <c r="X251" s="21" t="s">
        <v>887</v>
      </c>
      <c r="Y251" s="67" t="s">
        <v>68</v>
      </c>
      <c r="Z251" s="33" t="s">
        <v>887</v>
      </c>
    </row>
    <row r="252" spans="1:26">
      <c r="A252" s="31">
        <v>248</v>
      </c>
      <c r="B252" s="8" t="s">
        <v>25</v>
      </c>
      <c r="C252" s="8" t="s">
        <v>26</v>
      </c>
      <c r="D252" s="12" t="s">
        <v>32</v>
      </c>
      <c r="E252" s="44" t="s">
        <v>696</v>
      </c>
      <c r="F252" s="34" t="s">
        <v>728</v>
      </c>
      <c r="G252" s="34" t="s">
        <v>729</v>
      </c>
      <c r="H252" s="36" t="s">
        <v>730</v>
      </c>
      <c r="I252" s="12" t="s">
        <v>118</v>
      </c>
      <c r="J252" s="12" t="s">
        <v>38</v>
      </c>
      <c r="K252" s="12" t="s">
        <v>28</v>
      </c>
      <c r="L252" s="12" t="s">
        <v>28</v>
      </c>
      <c r="M252" s="12" t="s">
        <v>38</v>
      </c>
      <c r="N252" s="9">
        <v>0</v>
      </c>
      <c r="O252" s="12" t="s">
        <v>28</v>
      </c>
      <c r="P252" s="35">
        <v>0</v>
      </c>
      <c r="Q252" s="12" t="s">
        <v>28</v>
      </c>
      <c r="R252" s="35">
        <v>0</v>
      </c>
      <c r="S252" s="10" t="s">
        <v>28</v>
      </c>
      <c r="T252" s="37">
        <v>0</v>
      </c>
      <c r="U252" s="10" t="s">
        <v>28</v>
      </c>
      <c r="V252" s="34" t="s">
        <v>700</v>
      </c>
      <c r="W252" s="15" t="s">
        <v>68</v>
      </c>
      <c r="X252" s="21" t="s">
        <v>887</v>
      </c>
      <c r="Y252" s="67" t="s">
        <v>68</v>
      </c>
      <c r="Z252" s="33" t="s">
        <v>887</v>
      </c>
    </row>
    <row r="253" spans="1:26">
      <c r="A253" s="31">
        <v>249</v>
      </c>
      <c r="B253" s="8" t="s">
        <v>25</v>
      </c>
      <c r="C253" s="8" t="s">
        <v>26</v>
      </c>
      <c r="D253" s="12" t="s">
        <v>32</v>
      </c>
      <c r="E253" s="44" t="s">
        <v>696</v>
      </c>
      <c r="F253" s="34" t="s">
        <v>731</v>
      </c>
      <c r="G253" s="34" t="s">
        <v>732</v>
      </c>
      <c r="H253" s="36" t="s">
        <v>733</v>
      </c>
      <c r="I253" s="12" t="s">
        <v>118</v>
      </c>
      <c r="J253" s="12" t="s">
        <v>38</v>
      </c>
      <c r="K253" s="12" t="s">
        <v>28</v>
      </c>
      <c r="L253" s="12" t="s">
        <v>28</v>
      </c>
      <c r="M253" s="12" t="s">
        <v>38</v>
      </c>
      <c r="N253" s="9">
        <v>0</v>
      </c>
      <c r="O253" s="12" t="s">
        <v>28</v>
      </c>
      <c r="P253" s="35">
        <v>0</v>
      </c>
      <c r="Q253" s="12" t="s">
        <v>28</v>
      </c>
      <c r="R253" s="35">
        <v>1241273880</v>
      </c>
      <c r="S253" s="10">
        <v>43154</v>
      </c>
      <c r="T253" s="37">
        <v>0</v>
      </c>
      <c r="U253" s="10" t="s">
        <v>28</v>
      </c>
      <c r="V253" s="34" t="s">
        <v>700</v>
      </c>
      <c r="W253" s="15" t="s">
        <v>880</v>
      </c>
      <c r="X253" s="21" t="s">
        <v>887</v>
      </c>
      <c r="Y253" s="67" t="s">
        <v>68</v>
      </c>
      <c r="Z253" s="33" t="s">
        <v>887</v>
      </c>
    </row>
    <row r="254" spans="1:26">
      <c r="A254" s="31">
        <v>250</v>
      </c>
      <c r="B254" s="8" t="s">
        <v>25</v>
      </c>
      <c r="C254" s="8" t="s">
        <v>26</v>
      </c>
      <c r="D254" s="12" t="s">
        <v>32</v>
      </c>
      <c r="E254" s="44" t="s">
        <v>696</v>
      </c>
      <c r="F254" s="34" t="s">
        <v>734</v>
      </c>
      <c r="G254" s="34" t="s">
        <v>735</v>
      </c>
      <c r="H254" s="36" t="s">
        <v>736</v>
      </c>
      <c r="I254" s="12" t="s">
        <v>43</v>
      </c>
      <c r="J254" s="12" t="s">
        <v>38</v>
      </c>
      <c r="K254" s="12" t="s">
        <v>28</v>
      </c>
      <c r="L254" s="12" t="s">
        <v>28</v>
      </c>
      <c r="M254" s="12" t="s">
        <v>38</v>
      </c>
      <c r="N254" s="9">
        <v>0</v>
      </c>
      <c r="O254" s="12" t="s">
        <v>28</v>
      </c>
      <c r="P254" s="35">
        <v>0</v>
      </c>
      <c r="Q254" s="12" t="s">
        <v>28</v>
      </c>
      <c r="R254" s="35">
        <v>1596608200.0000002</v>
      </c>
      <c r="S254" s="10">
        <v>42853</v>
      </c>
      <c r="T254" s="37">
        <v>0</v>
      </c>
      <c r="U254" s="10" t="s">
        <v>28</v>
      </c>
      <c r="V254" s="34" t="s">
        <v>700</v>
      </c>
      <c r="W254" s="15" t="s">
        <v>880</v>
      </c>
      <c r="X254" s="21" t="s">
        <v>887</v>
      </c>
      <c r="Y254" s="67" t="s">
        <v>68</v>
      </c>
      <c r="Z254" s="33" t="s">
        <v>887</v>
      </c>
    </row>
    <row r="255" spans="1:26">
      <c r="A255" s="31">
        <v>251</v>
      </c>
      <c r="B255" s="8" t="s">
        <v>25</v>
      </c>
      <c r="C255" s="8" t="s">
        <v>26</v>
      </c>
      <c r="D255" s="12" t="s">
        <v>32</v>
      </c>
      <c r="E255" s="44" t="s">
        <v>696</v>
      </c>
      <c r="F255" s="34" t="s">
        <v>737</v>
      </c>
      <c r="G255" s="34" t="s">
        <v>738</v>
      </c>
      <c r="H255" s="36" t="s">
        <v>739</v>
      </c>
      <c r="I255" s="12" t="s">
        <v>118</v>
      </c>
      <c r="J255" s="12" t="s">
        <v>38</v>
      </c>
      <c r="K255" s="12" t="s">
        <v>28</v>
      </c>
      <c r="L255" s="12" t="s">
        <v>28</v>
      </c>
      <c r="M255" s="12" t="s">
        <v>38</v>
      </c>
      <c r="N255" s="9">
        <v>0</v>
      </c>
      <c r="O255" s="12" t="s">
        <v>28</v>
      </c>
      <c r="P255" s="35">
        <v>0</v>
      </c>
      <c r="Q255" s="12" t="s">
        <v>28</v>
      </c>
      <c r="R255" s="35">
        <v>221789700.00000003</v>
      </c>
      <c r="S255" s="10">
        <v>42418</v>
      </c>
      <c r="T255" s="37">
        <v>0</v>
      </c>
      <c r="U255" s="10" t="s">
        <v>28</v>
      </c>
      <c r="V255" s="34" t="s">
        <v>700</v>
      </c>
      <c r="W255" s="15" t="s">
        <v>880</v>
      </c>
      <c r="X255" s="21" t="s">
        <v>887</v>
      </c>
      <c r="Y255" s="67" t="s">
        <v>68</v>
      </c>
      <c r="Z255" s="33" t="s">
        <v>887</v>
      </c>
    </row>
    <row r="256" spans="1:26">
      <c r="A256" s="31">
        <v>252</v>
      </c>
      <c r="B256" s="8" t="s">
        <v>25</v>
      </c>
      <c r="C256" s="8" t="s">
        <v>26</v>
      </c>
      <c r="D256" s="12" t="s">
        <v>32</v>
      </c>
      <c r="E256" s="44" t="s">
        <v>696</v>
      </c>
      <c r="F256" s="34" t="s">
        <v>740</v>
      </c>
      <c r="G256" s="34" t="s">
        <v>741</v>
      </c>
      <c r="H256" s="36" t="s">
        <v>742</v>
      </c>
      <c r="I256" s="12" t="s">
        <v>118</v>
      </c>
      <c r="J256" s="12" t="s">
        <v>38</v>
      </c>
      <c r="K256" s="12" t="s">
        <v>28</v>
      </c>
      <c r="L256" s="12" t="s">
        <v>28</v>
      </c>
      <c r="M256" s="12" t="s">
        <v>38</v>
      </c>
      <c r="N256" s="9">
        <v>0</v>
      </c>
      <c r="O256" s="12" t="s">
        <v>28</v>
      </c>
      <c r="P256" s="35">
        <v>0</v>
      </c>
      <c r="Q256" s="12" t="s">
        <v>28</v>
      </c>
      <c r="R256" s="35">
        <v>528713450.10000002</v>
      </c>
      <c r="S256" s="10">
        <v>42591</v>
      </c>
      <c r="T256" s="37">
        <v>0</v>
      </c>
      <c r="U256" s="10" t="s">
        <v>28</v>
      </c>
      <c r="V256" s="34" t="s">
        <v>700</v>
      </c>
      <c r="W256" s="15" t="s">
        <v>880</v>
      </c>
      <c r="X256" s="21" t="s">
        <v>887</v>
      </c>
      <c r="Y256" s="67" t="s">
        <v>68</v>
      </c>
      <c r="Z256" s="33" t="s">
        <v>887</v>
      </c>
    </row>
    <row r="257" spans="1:26">
      <c r="A257" s="31">
        <v>253</v>
      </c>
      <c r="B257" s="8" t="s">
        <v>25</v>
      </c>
      <c r="C257" s="8" t="s">
        <v>26</v>
      </c>
      <c r="D257" s="12" t="s">
        <v>32</v>
      </c>
      <c r="E257" s="44" t="s">
        <v>696</v>
      </c>
      <c r="F257" s="34" t="s">
        <v>743</v>
      </c>
      <c r="G257" s="34" t="s">
        <v>744</v>
      </c>
      <c r="H257" s="36" t="s">
        <v>745</v>
      </c>
      <c r="I257" s="12" t="s">
        <v>118</v>
      </c>
      <c r="J257" s="12" t="s">
        <v>38</v>
      </c>
      <c r="K257" s="12" t="s">
        <v>28</v>
      </c>
      <c r="L257" s="12" t="s">
        <v>28</v>
      </c>
      <c r="M257" s="12" t="s">
        <v>38</v>
      </c>
      <c r="N257" s="9">
        <v>0</v>
      </c>
      <c r="O257" s="12" t="s">
        <v>28</v>
      </c>
      <c r="P257" s="35">
        <v>0</v>
      </c>
      <c r="Q257" s="12" t="s">
        <v>28</v>
      </c>
      <c r="R257" s="35">
        <v>357132600</v>
      </c>
      <c r="S257" s="10">
        <v>42825</v>
      </c>
      <c r="T257" s="37">
        <v>0</v>
      </c>
      <c r="U257" s="10" t="s">
        <v>28</v>
      </c>
      <c r="V257" s="34" t="s">
        <v>700</v>
      </c>
      <c r="W257" s="15" t="s">
        <v>880</v>
      </c>
      <c r="X257" s="21" t="s">
        <v>887</v>
      </c>
      <c r="Y257" s="67" t="s">
        <v>68</v>
      </c>
      <c r="Z257" s="33" t="s">
        <v>887</v>
      </c>
    </row>
    <row r="258" spans="1:26">
      <c r="A258" s="31">
        <v>254</v>
      </c>
      <c r="B258" s="8" t="s">
        <v>25</v>
      </c>
      <c r="C258" s="8" t="s">
        <v>26</v>
      </c>
      <c r="D258" s="12" t="s">
        <v>32</v>
      </c>
      <c r="E258" s="44" t="s">
        <v>696</v>
      </c>
      <c r="F258" s="34" t="s">
        <v>746</v>
      </c>
      <c r="G258" s="34" t="s">
        <v>747</v>
      </c>
      <c r="H258" s="36" t="s">
        <v>748</v>
      </c>
      <c r="I258" s="12" t="s">
        <v>43</v>
      </c>
      <c r="J258" s="12" t="s">
        <v>38</v>
      </c>
      <c r="K258" s="12" t="s">
        <v>28</v>
      </c>
      <c r="L258" s="12" t="s">
        <v>28</v>
      </c>
      <c r="M258" s="12" t="s">
        <v>38</v>
      </c>
      <c r="N258" s="9">
        <v>0</v>
      </c>
      <c r="O258" s="12" t="s">
        <v>28</v>
      </c>
      <c r="P258" s="35">
        <v>0</v>
      </c>
      <c r="Q258" s="12" t="s">
        <v>28</v>
      </c>
      <c r="R258" s="35">
        <v>930710000.00000012</v>
      </c>
      <c r="S258" s="10">
        <v>42580</v>
      </c>
      <c r="T258" s="37">
        <v>0</v>
      </c>
      <c r="U258" s="10" t="s">
        <v>28</v>
      </c>
      <c r="V258" s="34" t="s">
        <v>700</v>
      </c>
      <c r="W258" s="15" t="s">
        <v>880</v>
      </c>
      <c r="X258" s="21" t="s">
        <v>887</v>
      </c>
      <c r="Y258" s="67" t="s">
        <v>68</v>
      </c>
      <c r="Z258" s="33" t="s">
        <v>887</v>
      </c>
    </row>
    <row r="259" spans="1:26">
      <c r="A259" s="31">
        <v>255</v>
      </c>
      <c r="B259" s="8" t="s">
        <v>25</v>
      </c>
      <c r="C259" s="8" t="s">
        <v>26</v>
      </c>
      <c r="D259" s="12" t="s">
        <v>32</v>
      </c>
      <c r="E259" s="44" t="s">
        <v>696</v>
      </c>
      <c r="F259" s="34" t="s">
        <v>749</v>
      </c>
      <c r="G259" s="34" t="s">
        <v>750</v>
      </c>
      <c r="H259" s="36" t="s">
        <v>751</v>
      </c>
      <c r="I259" s="12" t="s">
        <v>118</v>
      </c>
      <c r="J259" s="12" t="s">
        <v>38</v>
      </c>
      <c r="K259" s="12" t="s">
        <v>28</v>
      </c>
      <c r="L259" s="12" t="s">
        <v>28</v>
      </c>
      <c r="M259" s="12" t="s">
        <v>38</v>
      </c>
      <c r="N259" s="9">
        <v>0</v>
      </c>
      <c r="O259" s="12" t="s">
        <v>28</v>
      </c>
      <c r="P259" s="35">
        <v>0</v>
      </c>
      <c r="Q259" s="12" t="s">
        <v>28</v>
      </c>
      <c r="R259" s="35">
        <v>312757500</v>
      </c>
      <c r="S259" s="10">
        <v>42753</v>
      </c>
      <c r="T259" s="37">
        <v>0</v>
      </c>
      <c r="U259" s="10" t="s">
        <v>28</v>
      </c>
      <c r="V259" s="34" t="s">
        <v>700</v>
      </c>
      <c r="W259" s="15" t="s">
        <v>880</v>
      </c>
      <c r="X259" s="21" t="s">
        <v>887</v>
      </c>
      <c r="Y259" s="67" t="s">
        <v>68</v>
      </c>
      <c r="Z259" s="33" t="s">
        <v>887</v>
      </c>
    </row>
    <row r="260" spans="1:26">
      <c r="A260" s="31">
        <v>256</v>
      </c>
      <c r="B260" s="8" t="s">
        <v>25</v>
      </c>
      <c r="C260" s="8" t="s">
        <v>26</v>
      </c>
      <c r="D260" s="12" t="s">
        <v>32</v>
      </c>
      <c r="E260" s="44" t="s">
        <v>696</v>
      </c>
      <c r="F260" s="34" t="s">
        <v>752</v>
      </c>
      <c r="G260" s="34" t="s">
        <v>753</v>
      </c>
      <c r="H260" s="36" t="s">
        <v>754</v>
      </c>
      <c r="I260" s="12" t="s">
        <v>43</v>
      </c>
      <c r="J260" s="12" t="s">
        <v>38</v>
      </c>
      <c r="K260" s="12" t="s">
        <v>28</v>
      </c>
      <c r="L260" s="12" t="s">
        <v>28</v>
      </c>
      <c r="M260" s="12" t="s">
        <v>38</v>
      </c>
      <c r="N260" s="9">
        <v>0</v>
      </c>
      <c r="O260" s="12" t="s">
        <v>28</v>
      </c>
      <c r="P260" s="35">
        <v>0</v>
      </c>
      <c r="Q260" s="12" t="s">
        <v>28</v>
      </c>
      <c r="R260" s="35">
        <v>1465402400</v>
      </c>
      <c r="S260" s="10">
        <v>43112</v>
      </c>
      <c r="T260" s="37">
        <v>0</v>
      </c>
      <c r="U260" s="10" t="s">
        <v>28</v>
      </c>
      <c r="V260" s="34" t="s">
        <v>700</v>
      </c>
      <c r="W260" s="15" t="s">
        <v>880</v>
      </c>
      <c r="X260" s="21" t="s">
        <v>887</v>
      </c>
      <c r="Y260" s="67" t="s">
        <v>68</v>
      </c>
      <c r="Z260" s="33" t="s">
        <v>887</v>
      </c>
    </row>
    <row r="261" spans="1:26">
      <c r="A261" s="31">
        <v>257</v>
      </c>
      <c r="B261" s="8" t="s">
        <v>25</v>
      </c>
      <c r="C261" s="8" t="s">
        <v>26</v>
      </c>
      <c r="D261" s="12" t="s">
        <v>32</v>
      </c>
      <c r="E261" s="44" t="s">
        <v>696</v>
      </c>
      <c r="F261" s="34" t="s">
        <v>755</v>
      </c>
      <c r="G261" s="34" t="s">
        <v>756</v>
      </c>
      <c r="H261" s="36" t="s">
        <v>757</v>
      </c>
      <c r="I261" s="12" t="s">
        <v>57</v>
      </c>
      <c r="J261" s="12" t="s">
        <v>38</v>
      </c>
      <c r="K261" s="12" t="s">
        <v>28</v>
      </c>
      <c r="L261" s="12" t="s">
        <v>28</v>
      </c>
      <c r="M261" s="12" t="s">
        <v>38</v>
      </c>
      <c r="N261" s="9">
        <v>0</v>
      </c>
      <c r="O261" s="12" t="s">
        <v>28</v>
      </c>
      <c r="P261" s="35">
        <v>0</v>
      </c>
      <c r="Q261" s="12" t="s">
        <v>28</v>
      </c>
      <c r="R261" s="35">
        <v>486063380.00000006</v>
      </c>
      <c r="S261" s="10">
        <v>42558</v>
      </c>
      <c r="T261" s="37">
        <v>0</v>
      </c>
      <c r="U261" s="10" t="s">
        <v>28</v>
      </c>
      <c r="V261" s="34" t="s">
        <v>700</v>
      </c>
      <c r="W261" s="15" t="s">
        <v>880</v>
      </c>
      <c r="X261" s="21" t="s">
        <v>887</v>
      </c>
      <c r="Y261" s="67" t="s">
        <v>68</v>
      </c>
      <c r="Z261" s="33" t="s">
        <v>887</v>
      </c>
    </row>
    <row r="262" spans="1:26">
      <c r="A262" s="31">
        <v>258</v>
      </c>
      <c r="B262" s="8" t="s">
        <v>25</v>
      </c>
      <c r="C262" s="8" t="s">
        <v>26</v>
      </c>
      <c r="D262" s="12" t="s">
        <v>32</v>
      </c>
      <c r="E262" s="44" t="s">
        <v>696</v>
      </c>
      <c r="F262" s="34" t="s">
        <v>758</v>
      </c>
      <c r="G262" s="34" t="s">
        <v>759</v>
      </c>
      <c r="H262" s="36" t="s">
        <v>760</v>
      </c>
      <c r="I262" s="12" t="s">
        <v>118</v>
      </c>
      <c r="J262" s="12" t="s">
        <v>38</v>
      </c>
      <c r="K262" s="12" t="s">
        <v>28</v>
      </c>
      <c r="L262" s="12" t="s">
        <v>28</v>
      </c>
      <c r="M262" s="12" t="s">
        <v>38</v>
      </c>
      <c r="N262" s="9">
        <v>0</v>
      </c>
      <c r="O262" s="12" t="s">
        <v>28</v>
      </c>
      <c r="P262" s="35">
        <v>0</v>
      </c>
      <c r="Q262" s="12" t="s">
        <v>28</v>
      </c>
      <c r="R262" s="35">
        <v>125400000.00000001</v>
      </c>
      <c r="S262" s="10">
        <v>42835</v>
      </c>
      <c r="T262" s="37">
        <v>0</v>
      </c>
      <c r="U262" s="10" t="s">
        <v>28</v>
      </c>
      <c r="V262" s="34" t="s">
        <v>700</v>
      </c>
      <c r="W262" s="15" t="s">
        <v>880</v>
      </c>
      <c r="X262" s="21" t="s">
        <v>887</v>
      </c>
      <c r="Y262" s="67" t="s">
        <v>68</v>
      </c>
      <c r="Z262" s="33" t="s">
        <v>887</v>
      </c>
    </row>
    <row r="263" spans="1:26">
      <c r="A263" s="31">
        <v>259</v>
      </c>
      <c r="B263" s="8" t="s">
        <v>25</v>
      </c>
      <c r="C263" s="8" t="s">
        <v>26</v>
      </c>
      <c r="D263" s="12" t="s">
        <v>32</v>
      </c>
      <c r="E263" s="44" t="s">
        <v>696</v>
      </c>
      <c r="F263" s="34" t="s">
        <v>761</v>
      </c>
      <c r="G263" s="34" t="s">
        <v>762</v>
      </c>
      <c r="H263" s="36" t="s">
        <v>763</v>
      </c>
      <c r="I263" s="12" t="s">
        <v>57</v>
      </c>
      <c r="J263" s="12" t="s">
        <v>38</v>
      </c>
      <c r="K263" s="12" t="s">
        <v>28</v>
      </c>
      <c r="L263" s="12" t="s">
        <v>28</v>
      </c>
      <c r="M263" s="12" t="s">
        <v>38</v>
      </c>
      <c r="N263" s="9">
        <v>0</v>
      </c>
      <c r="O263" s="12" t="s">
        <v>28</v>
      </c>
      <c r="P263" s="35">
        <v>0</v>
      </c>
      <c r="Q263" s="12" t="s">
        <v>28</v>
      </c>
      <c r="R263" s="35">
        <v>0</v>
      </c>
      <c r="S263" s="10" t="s">
        <v>28</v>
      </c>
      <c r="T263" s="37">
        <v>0</v>
      </c>
      <c r="U263" s="10" t="s">
        <v>28</v>
      </c>
      <c r="V263" s="34" t="s">
        <v>700</v>
      </c>
      <c r="W263" s="15" t="s">
        <v>68</v>
      </c>
      <c r="X263" s="21" t="s">
        <v>887</v>
      </c>
      <c r="Y263" s="67" t="s">
        <v>68</v>
      </c>
      <c r="Z263" s="33" t="s">
        <v>887</v>
      </c>
    </row>
    <row r="264" spans="1:26">
      <c r="A264" s="31">
        <v>260</v>
      </c>
      <c r="B264" s="8" t="s">
        <v>25</v>
      </c>
      <c r="C264" s="8" t="s">
        <v>26</v>
      </c>
      <c r="D264" s="12" t="s">
        <v>32</v>
      </c>
      <c r="E264" s="44" t="s">
        <v>696</v>
      </c>
      <c r="F264" s="34" t="s">
        <v>764</v>
      </c>
      <c r="G264" s="34" t="s">
        <v>765</v>
      </c>
      <c r="H264" s="36" t="s">
        <v>766</v>
      </c>
      <c r="I264" s="12" t="s">
        <v>118</v>
      </c>
      <c r="J264" s="12" t="s">
        <v>38</v>
      </c>
      <c r="K264" s="12" t="s">
        <v>28</v>
      </c>
      <c r="L264" s="12" t="s">
        <v>28</v>
      </c>
      <c r="M264" s="12" t="s">
        <v>38</v>
      </c>
      <c r="N264" s="9">
        <v>0</v>
      </c>
      <c r="O264" s="12" t="s">
        <v>28</v>
      </c>
      <c r="P264" s="35">
        <v>0</v>
      </c>
      <c r="Q264" s="12" t="s">
        <v>28</v>
      </c>
      <c r="R264" s="35">
        <v>899545900.00000012</v>
      </c>
      <c r="S264" s="10">
        <v>42586</v>
      </c>
      <c r="T264" s="37">
        <v>0</v>
      </c>
      <c r="U264" s="10" t="s">
        <v>28</v>
      </c>
      <c r="V264" s="34" t="s">
        <v>700</v>
      </c>
      <c r="W264" s="15" t="s">
        <v>881</v>
      </c>
      <c r="X264" s="21" t="s">
        <v>887</v>
      </c>
      <c r="Y264" s="67" t="s">
        <v>68</v>
      </c>
      <c r="Z264" s="33" t="s">
        <v>887</v>
      </c>
    </row>
    <row r="265" spans="1:26">
      <c r="A265" s="31">
        <v>261</v>
      </c>
      <c r="B265" s="8" t="s">
        <v>25</v>
      </c>
      <c r="C265" s="8" t="s">
        <v>26</v>
      </c>
      <c r="D265" s="12" t="s">
        <v>32</v>
      </c>
      <c r="E265" s="44" t="s">
        <v>696</v>
      </c>
      <c r="F265" s="34" t="s">
        <v>767</v>
      </c>
      <c r="G265" s="34" t="s">
        <v>768</v>
      </c>
      <c r="H265" s="36" t="s">
        <v>769</v>
      </c>
      <c r="I265" s="12" t="s">
        <v>43</v>
      </c>
      <c r="J265" s="12" t="s">
        <v>38</v>
      </c>
      <c r="K265" s="12" t="s">
        <v>28</v>
      </c>
      <c r="L265" s="12" t="s">
        <v>28</v>
      </c>
      <c r="M265" s="12" t="s">
        <v>38</v>
      </c>
      <c r="N265" s="9">
        <v>0</v>
      </c>
      <c r="O265" s="12" t="s">
        <v>28</v>
      </c>
      <c r="P265" s="35">
        <v>0</v>
      </c>
      <c r="Q265" s="12" t="s">
        <v>28</v>
      </c>
      <c r="R265" s="35">
        <v>0</v>
      </c>
      <c r="S265" s="10" t="s">
        <v>28</v>
      </c>
      <c r="T265" s="37">
        <v>0</v>
      </c>
      <c r="U265" s="10" t="s">
        <v>28</v>
      </c>
      <c r="V265" s="34" t="s">
        <v>700</v>
      </c>
      <c r="W265" s="15" t="s">
        <v>68</v>
      </c>
      <c r="X265" s="21" t="s">
        <v>887</v>
      </c>
      <c r="Y265" s="67" t="s">
        <v>68</v>
      </c>
      <c r="Z265" s="33" t="s">
        <v>887</v>
      </c>
    </row>
    <row r="266" spans="1:26">
      <c r="A266" s="31">
        <v>262</v>
      </c>
      <c r="B266" s="8" t="s">
        <v>25</v>
      </c>
      <c r="C266" s="8" t="s">
        <v>26</v>
      </c>
      <c r="D266" s="12" t="s">
        <v>32</v>
      </c>
      <c r="E266" s="44" t="s">
        <v>696</v>
      </c>
      <c r="F266" s="34" t="s">
        <v>770</v>
      </c>
      <c r="G266" s="34" t="s">
        <v>771</v>
      </c>
      <c r="H266" s="36" t="s">
        <v>772</v>
      </c>
      <c r="I266" s="12" t="s">
        <v>125</v>
      </c>
      <c r="J266" s="12" t="s">
        <v>38</v>
      </c>
      <c r="K266" s="12" t="s">
        <v>28</v>
      </c>
      <c r="L266" s="12" t="s">
        <v>28</v>
      </c>
      <c r="M266" s="12" t="s">
        <v>38</v>
      </c>
      <c r="N266" s="9">
        <v>0</v>
      </c>
      <c r="O266" s="12" t="s">
        <v>28</v>
      </c>
      <c r="P266" s="35">
        <v>1061588385</v>
      </c>
      <c r="Q266" s="10">
        <v>41389</v>
      </c>
      <c r="R266" s="35">
        <v>0</v>
      </c>
      <c r="S266" s="10" t="s">
        <v>28</v>
      </c>
      <c r="T266" s="37">
        <v>0</v>
      </c>
      <c r="U266" s="10" t="s">
        <v>28</v>
      </c>
      <c r="V266" s="34" t="s">
        <v>700</v>
      </c>
      <c r="W266" s="15" t="s">
        <v>882</v>
      </c>
      <c r="X266" s="21" t="s">
        <v>887</v>
      </c>
      <c r="Y266" s="67" t="s">
        <v>896</v>
      </c>
      <c r="Z266" s="33" t="s">
        <v>887</v>
      </c>
    </row>
    <row r="267" spans="1:26">
      <c r="A267" s="31">
        <v>263</v>
      </c>
      <c r="B267" s="8" t="s">
        <v>25</v>
      </c>
      <c r="C267" s="8" t="s">
        <v>26</v>
      </c>
      <c r="D267" s="12" t="s">
        <v>32</v>
      </c>
      <c r="E267" s="44" t="s">
        <v>696</v>
      </c>
      <c r="F267" s="34" t="s">
        <v>773</v>
      </c>
      <c r="G267" s="34" t="s">
        <v>774</v>
      </c>
      <c r="H267" s="36" t="s">
        <v>775</v>
      </c>
      <c r="I267" s="12" t="s">
        <v>125</v>
      </c>
      <c r="J267" s="12" t="s">
        <v>38</v>
      </c>
      <c r="K267" s="12" t="s">
        <v>28</v>
      </c>
      <c r="L267" s="12" t="s">
        <v>28</v>
      </c>
      <c r="M267" s="12" t="s">
        <v>38</v>
      </c>
      <c r="N267" s="9">
        <v>0</v>
      </c>
      <c r="O267" s="12" t="s">
        <v>28</v>
      </c>
      <c r="P267" s="35">
        <v>0</v>
      </c>
      <c r="Q267" s="12" t="s">
        <v>28</v>
      </c>
      <c r="R267" s="35">
        <v>1219581341</v>
      </c>
      <c r="S267" s="10">
        <v>42751</v>
      </c>
      <c r="T267" s="37">
        <v>0</v>
      </c>
      <c r="U267" s="10" t="s">
        <v>28</v>
      </c>
      <c r="V267" s="34" t="s">
        <v>700</v>
      </c>
      <c r="W267" s="15" t="s">
        <v>882</v>
      </c>
      <c r="X267" s="21" t="s">
        <v>887</v>
      </c>
      <c r="Y267" s="67" t="s">
        <v>68</v>
      </c>
      <c r="Z267" s="33" t="s">
        <v>887</v>
      </c>
    </row>
    <row r="268" spans="1:26">
      <c r="A268" s="31">
        <v>264</v>
      </c>
      <c r="B268" s="8" t="s">
        <v>25</v>
      </c>
      <c r="C268" s="8" t="s">
        <v>26</v>
      </c>
      <c r="D268" s="12" t="s">
        <v>32</v>
      </c>
      <c r="E268" s="44" t="s">
        <v>696</v>
      </c>
      <c r="F268" s="34" t="s">
        <v>776</v>
      </c>
      <c r="G268" s="34" t="s">
        <v>777</v>
      </c>
      <c r="H268" s="36" t="s">
        <v>778</v>
      </c>
      <c r="I268" s="12" t="s">
        <v>57</v>
      </c>
      <c r="J268" s="12" t="s">
        <v>38</v>
      </c>
      <c r="K268" s="12" t="s">
        <v>28</v>
      </c>
      <c r="L268" s="12" t="s">
        <v>28</v>
      </c>
      <c r="M268" s="12" t="s">
        <v>38</v>
      </c>
      <c r="N268" s="9">
        <v>18252300000</v>
      </c>
      <c r="O268" s="10">
        <v>40198</v>
      </c>
      <c r="P268" s="35">
        <v>0</v>
      </c>
      <c r="Q268" s="12" t="s">
        <v>28</v>
      </c>
      <c r="R268" s="9">
        <v>14212000000</v>
      </c>
      <c r="S268" s="10">
        <v>43214</v>
      </c>
      <c r="T268" s="37">
        <v>0</v>
      </c>
      <c r="U268" s="10" t="s">
        <v>28</v>
      </c>
      <c r="V268" s="34" t="s">
        <v>700</v>
      </c>
      <c r="W268" s="15" t="s">
        <v>882</v>
      </c>
      <c r="X268" s="21" t="s">
        <v>887</v>
      </c>
      <c r="Y268" s="67" t="s">
        <v>896</v>
      </c>
      <c r="Z268" s="33" t="s">
        <v>887</v>
      </c>
    </row>
    <row r="269" spans="1:26">
      <c r="A269" s="31">
        <v>265</v>
      </c>
      <c r="B269" s="8" t="s">
        <v>25</v>
      </c>
      <c r="C269" s="8" t="s">
        <v>26</v>
      </c>
      <c r="D269" s="12" t="s">
        <v>32</v>
      </c>
      <c r="E269" s="44" t="s">
        <v>696</v>
      </c>
      <c r="F269" s="34" t="s">
        <v>779</v>
      </c>
      <c r="G269" s="34" t="s">
        <v>780</v>
      </c>
      <c r="H269" s="36" t="s">
        <v>781</v>
      </c>
      <c r="I269" s="12" t="s">
        <v>37</v>
      </c>
      <c r="J269" s="12" t="s">
        <v>38</v>
      </c>
      <c r="K269" s="12" t="s">
        <v>28</v>
      </c>
      <c r="L269" s="12" t="s">
        <v>28</v>
      </c>
      <c r="M269" s="12" t="s">
        <v>38</v>
      </c>
      <c r="N269" s="9">
        <v>10334500000</v>
      </c>
      <c r="O269" s="10">
        <v>40064</v>
      </c>
      <c r="P269" s="9">
        <v>8176300000</v>
      </c>
      <c r="Q269" s="10">
        <v>40868</v>
      </c>
      <c r="R269" s="9">
        <v>16180000000</v>
      </c>
      <c r="S269" s="10">
        <v>43287</v>
      </c>
      <c r="T269" s="37">
        <v>0</v>
      </c>
      <c r="U269" s="10" t="s">
        <v>28</v>
      </c>
      <c r="V269" s="34" t="s">
        <v>700</v>
      </c>
      <c r="W269" s="15" t="s">
        <v>882</v>
      </c>
      <c r="X269" s="21" t="s">
        <v>887</v>
      </c>
      <c r="Y269" s="67" t="s">
        <v>898</v>
      </c>
      <c r="Z269" s="33" t="s">
        <v>887</v>
      </c>
    </row>
    <row r="270" spans="1:26">
      <c r="A270" s="31">
        <v>266</v>
      </c>
      <c r="B270" s="8" t="s">
        <v>25</v>
      </c>
      <c r="C270" s="8" t="s">
        <v>26</v>
      </c>
      <c r="D270" s="12" t="s">
        <v>32</v>
      </c>
      <c r="E270" s="44" t="s">
        <v>696</v>
      </c>
      <c r="F270" s="34" t="s">
        <v>782</v>
      </c>
      <c r="G270" s="34" t="s">
        <v>783</v>
      </c>
      <c r="H270" s="36" t="s">
        <v>784</v>
      </c>
      <c r="I270" s="12" t="s">
        <v>125</v>
      </c>
      <c r="J270" s="12" t="s">
        <v>38</v>
      </c>
      <c r="K270" s="12" t="s">
        <v>28</v>
      </c>
      <c r="L270" s="12" t="s">
        <v>28</v>
      </c>
      <c r="M270" s="12" t="s">
        <v>38</v>
      </c>
      <c r="N270" s="9">
        <v>0</v>
      </c>
      <c r="O270" s="12" t="s">
        <v>28</v>
      </c>
      <c r="P270" s="35">
        <v>0</v>
      </c>
      <c r="Q270" s="12" t="s">
        <v>28</v>
      </c>
      <c r="R270" s="35">
        <v>2226441800</v>
      </c>
      <c r="S270" s="10">
        <v>42704</v>
      </c>
      <c r="T270" s="37">
        <v>0</v>
      </c>
      <c r="U270" s="10" t="s">
        <v>28</v>
      </c>
      <c r="V270" s="34" t="s">
        <v>700</v>
      </c>
      <c r="W270" s="15" t="s">
        <v>882</v>
      </c>
      <c r="X270" s="21" t="s">
        <v>887</v>
      </c>
      <c r="Y270" s="67" t="s">
        <v>68</v>
      </c>
      <c r="Z270" s="33" t="s">
        <v>887</v>
      </c>
    </row>
    <row r="271" spans="1:26">
      <c r="A271" s="31">
        <v>267</v>
      </c>
      <c r="B271" s="8" t="s">
        <v>25</v>
      </c>
      <c r="C271" s="8" t="s">
        <v>26</v>
      </c>
      <c r="D271" s="12" t="s">
        <v>32</v>
      </c>
      <c r="E271" s="44" t="s">
        <v>696</v>
      </c>
      <c r="F271" s="34" t="s">
        <v>785</v>
      </c>
      <c r="G271" s="34" t="s">
        <v>786</v>
      </c>
      <c r="H271" s="36" t="s">
        <v>787</v>
      </c>
      <c r="I271" s="12" t="s">
        <v>125</v>
      </c>
      <c r="J271" s="12" t="s">
        <v>38</v>
      </c>
      <c r="K271" s="12" t="s">
        <v>28</v>
      </c>
      <c r="L271" s="12" t="s">
        <v>28</v>
      </c>
      <c r="M271" s="12" t="s">
        <v>38</v>
      </c>
      <c r="N271" s="9">
        <v>0</v>
      </c>
      <c r="O271" s="12" t="s">
        <v>28</v>
      </c>
      <c r="P271" s="35">
        <v>0</v>
      </c>
      <c r="Q271" s="12" t="s">
        <v>28</v>
      </c>
      <c r="R271" s="35">
        <v>1021500000.4000001</v>
      </c>
      <c r="S271" s="10">
        <v>42642</v>
      </c>
      <c r="T271" s="37">
        <v>1624461999.6000001</v>
      </c>
      <c r="U271" s="10">
        <v>45528</v>
      </c>
      <c r="V271" s="34" t="s">
        <v>700</v>
      </c>
      <c r="W271" s="15" t="s">
        <v>883</v>
      </c>
      <c r="X271" s="21" t="s">
        <v>887</v>
      </c>
      <c r="Y271" s="67" t="s">
        <v>68</v>
      </c>
      <c r="Z271" s="33" t="s">
        <v>887</v>
      </c>
    </row>
    <row r="272" spans="1:26">
      <c r="A272" s="31">
        <v>268</v>
      </c>
      <c r="B272" s="8" t="s">
        <v>25</v>
      </c>
      <c r="C272" s="8" t="s">
        <v>26</v>
      </c>
      <c r="D272" s="12" t="s">
        <v>32</v>
      </c>
      <c r="E272" s="44" t="s">
        <v>696</v>
      </c>
      <c r="F272" s="34" t="s">
        <v>788</v>
      </c>
      <c r="G272" s="34" t="s">
        <v>789</v>
      </c>
      <c r="H272" s="36" t="s">
        <v>790</v>
      </c>
      <c r="I272" s="12" t="s">
        <v>125</v>
      </c>
      <c r="J272" s="12" t="s">
        <v>38</v>
      </c>
      <c r="K272" s="12" t="s">
        <v>28</v>
      </c>
      <c r="L272" s="12" t="s">
        <v>28</v>
      </c>
      <c r="M272" s="12" t="s">
        <v>38</v>
      </c>
      <c r="N272" s="9">
        <v>0</v>
      </c>
      <c r="O272" s="12" t="s">
        <v>28</v>
      </c>
      <c r="P272" s="35">
        <v>0</v>
      </c>
      <c r="Q272" s="12" t="s">
        <v>28</v>
      </c>
      <c r="R272" s="35">
        <v>1291340600</v>
      </c>
      <c r="S272" s="10">
        <v>42696</v>
      </c>
      <c r="T272" s="37">
        <v>1584297000.0000002</v>
      </c>
      <c r="U272" s="10">
        <v>45667</v>
      </c>
      <c r="V272" s="34" t="s">
        <v>700</v>
      </c>
      <c r="W272" s="15" t="s">
        <v>883</v>
      </c>
      <c r="X272" s="21" t="s">
        <v>887</v>
      </c>
      <c r="Y272" s="67" t="s">
        <v>68</v>
      </c>
      <c r="Z272" s="33" t="s">
        <v>887</v>
      </c>
    </row>
    <row r="273" spans="1:26">
      <c r="A273" s="31">
        <v>269</v>
      </c>
      <c r="B273" s="8" t="s">
        <v>25</v>
      </c>
      <c r="C273" s="8" t="s">
        <v>26</v>
      </c>
      <c r="D273" s="12" t="s">
        <v>32</v>
      </c>
      <c r="E273" s="44" t="s">
        <v>696</v>
      </c>
      <c r="F273" s="34" t="s">
        <v>791</v>
      </c>
      <c r="G273" s="34" t="s">
        <v>792</v>
      </c>
      <c r="H273" s="36" t="s">
        <v>793</v>
      </c>
      <c r="I273" s="12" t="s">
        <v>57</v>
      </c>
      <c r="J273" s="12" t="s">
        <v>38</v>
      </c>
      <c r="K273" s="12" t="s">
        <v>28</v>
      </c>
      <c r="L273" s="12" t="s">
        <v>28</v>
      </c>
      <c r="M273" s="12" t="s">
        <v>38</v>
      </c>
      <c r="N273" s="9">
        <v>0</v>
      </c>
      <c r="O273" s="12" t="s">
        <v>28</v>
      </c>
      <c r="P273" s="35">
        <v>0</v>
      </c>
      <c r="Q273" s="12" t="s">
        <v>28</v>
      </c>
      <c r="R273" s="9">
        <v>5829000000</v>
      </c>
      <c r="S273" s="10">
        <v>42792</v>
      </c>
      <c r="T273" s="37">
        <v>0</v>
      </c>
      <c r="U273" s="10" t="s">
        <v>28</v>
      </c>
      <c r="V273" s="34" t="s">
        <v>700</v>
      </c>
      <c r="W273" s="15" t="s">
        <v>883</v>
      </c>
      <c r="X273" s="21" t="s">
        <v>887</v>
      </c>
      <c r="Y273" s="67" t="s">
        <v>68</v>
      </c>
      <c r="Z273" s="33" t="s">
        <v>887</v>
      </c>
    </row>
    <row r="274" spans="1:26">
      <c r="A274" s="31">
        <v>270</v>
      </c>
      <c r="B274" s="8" t="s">
        <v>25</v>
      </c>
      <c r="C274" s="8" t="s">
        <v>26</v>
      </c>
      <c r="D274" s="12" t="s">
        <v>32</v>
      </c>
      <c r="E274" s="44" t="s">
        <v>696</v>
      </c>
      <c r="F274" s="34" t="s">
        <v>794</v>
      </c>
      <c r="G274" s="34" t="s">
        <v>795</v>
      </c>
      <c r="H274" s="36" t="s">
        <v>796</v>
      </c>
      <c r="I274" s="12" t="s">
        <v>528</v>
      </c>
      <c r="J274" s="12" t="s">
        <v>38</v>
      </c>
      <c r="K274" s="12" t="s">
        <v>28</v>
      </c>
      <c r="L274" s="12" t="s">
        <v>28</v>
      </c>
      <c r="M274" s="12" t="s">
        <v>38</v>
      </c>
      <c r="N274" s="9">
        <v>0</v>
      </c>
      <c r="O274" s="12" t="s">
        <v>28</v>
      </c>
      <c r="P274" s="35">
        <v>0</v>
      </c>
      <c r="Q274" s="12" t="s">
        <v>28</v>
      </c>
      <c r="R274" s="35">
        <v>383791826.00000006</v>
      </c>
      <c r="S274" s="10">
        <v>42510</v>
      </c>
      <c r="T274" s="37">
        <v>0</v>
      </c>
      <c r="U274" s="10" t="s">
        <v>28</v>
      </c>
      <c r="V274" s="34" t="s">
        <v>700</v>
      </c>
      <c r="W274" s="15" t="s">
        <v>883</v>
      </c>
      <c r="X274" s="21" t="s">
        <v>887</v>
      </c>
      <c r="Y274" s="67" t="s">
        <v>68</v>
      </c>
      <c r="Z274" s="33" t="s">
        <v>887</v>
      </c>
    </row>
    <row r="275" spans="1:26">
      <c r="A275" s="31">
        <v>271</v>
      </c>
      <c r="B275" s="8" t="s">
        <v>25</v>
      </c>
      <c r="C275" s="8" t="s">
        <v>26</v>
      </c>
      <c r="D275" s="12" t="s">
        <v>32</v>
      </c>
      <c r="E275" s="44" t="s">
        <v>696</v>
      </c>
      <c r="F275" s="34" t="s">
        <v>797</v>
      </c>
      <c r="G275" s="34" t="s">
        <v>798</v>
      </c>
      <c r="H275" s="36" t="s">
        <v>799</v>
      </c>
      <c r="I275" s="12" t="s">
        <v>53</v>
      </c>
      <c r="J275" s="12" t="s">
        <v>38</v>
      </c>
      <c r="K275" s="12" t="s">
        <v>28</v>
      </c>
      <c r="L275" s="12" t="s">
        <v>28</v>
      </c>
      <c r="M275" s="12" t="s">
        <v>38</v>
      </c>
      <c r="N275" s="9">
        <v>0</v>
      </c>
      <c r="O275" s="12" t="s">
        <v>28</v>
      </c>
      <c r="P275" s="35">
        <v>0</v>
      </c>
      <c r="Q275" s="12" t="s">
        <v>28</v>
      </c>
      <c r="R275" s="35">
        <v>742892700.00000012</v>
      </c>
      <c r="S275" s="10">
        <v>42559</v>
      </c>
      <c r="T275" s="37">
        <v>0</v>
      </c>
      <c r="U275" s="10" t="s">
        <v>28</v>
      </c>
      <c r="V275" s="34" t="s">
        <v>700</v>
      </c>
      <c r="W275" s="15" t="s">
        <v>880</v>
      </c>
      <c r="X275" s="21" t="s">
        <v>887</v>
      </c>
      <c r="Y275" s="67" t="s">
        <v>68</v>
      </c>
      <c r="Z275" s="33" t="s">
        <v>887</v>
      </c>
    </row>
    <row r="276" spans="1:26">
      <c r="A276" s="31">
        <v>272</v>
      </c>
      <c r="B276" s="8" t="s">
        <v>25</v>
      </c>
      <c r="C276" s="8" t="s">
        <v>26</v>
      </c>
      <c r="D276" s="12" t="s">
        <v>32</v>
      </c>
      <c r="E276" s="44" t="s">
        <v>696</v>
      </c>
      <c r="F276" s="34" t="s">
        <v>800</v>
      </c>
      <c r="G276" s="34" t="s">
        <v>801</v>
      </c>
      <c r="H276" s="36" t="s">
        <v>802</v>
      </c>
      <c r="I276" s="12" t="s">
        <v>53</v>
      </c>
      <c r="J276" s="12" t="s">
        <v>38</v>
      </c>
      <c r="K276" s="12" t="s">
        <v>28</v>
      </c>
      <c r="L276" s="12" t="s">
        <v>28</v>
      </c>
      <c r="M276" s="12" t="s">
        <v>38</v>
      </c>
      <c r="N276" s="9">
        <v>0</v>
      </c>
      <c r="O276" s="12" t="s">
        <v>28</v>
      </c>
      <c r="P276" s="35">
        <v>0</v>
      </c>
      <c r="Q276" s="12" t="s">
        <v>28</v>
      </c>
      <c r="R276" s="9">
        <v>6611000000</v>
      </c>
      <c r="S276" s="10">
        <v>43714</v>
      </c>
      <c r="T276" s="37">
        <v>0</v>
      </c>
      <c r="U276" s="10" t="s">
        <v>28</v>
      </c>
      <c r="V276" s="34" t="s">
        <v>700</v>
      </c>
      <c r="W276" s="15" t="s">
        <v>880</v>
      </c>
      <c r="X276" s="21" t="s">
        <v>887</v>
      </c>
      <c r="Y276" s="67" t="s">
        <v>68</v>
      </c>
      <c r="Z276" s="33" t="s">
        <v>887</v>
      </c>
    </row>
    <row r="277" spans="1:26">
      <c r="A277" s="31">
        <v>273</v>
      </c>
      <c r="B277" s="8" t="s">
        <v>25</v>
      </c>
      <c r="C277" s="8" t="s">
        <v>26</v>
      </c>
      <c r="D277" s="12" t="s">
        <v>32</v>
      </c>
      <c r="E277" s="44" t="s">
        <v>696</v>
      </c>
      <c r="F277" s="34" t="s">
        <v>803</v>
      </c>
      <c r="G277" s="34" t="s">
        <v>804</v>
      </c>
      <c r="H277" s="36" t="s">
        <v>805</v>
      </c>
      <c r="I277" s="12" t="s">
        <v>53</v>
      </c>
      <c r="J277" s="12" t="s">
        <v>38</v>
      </c>
      <c r="K277" s="12" t="s">
        <v>28</v>
      </c>
      <c r="L277" s="12" t="s">
        <v>28</v>
      </c>
      <c r="M277" s="12" t="s">
        <v>38</v>
      </c>
      <c r="N277" s="9">
        <v>0</v>
      </c>
      <c r="O277" s="12" t="s">
        <v>28</v>
      </c>
      <c r="P277" s="35">
        <v>0</v>
      </c>
      <c r="Q277" s="12" t="s">
        <v>28</v>
      </c>
      <c r="R277" s="35">
        <v>3349500000.0000005</v>
      </c>
      <c r="S277" s="10">
        <v>42873</v>
      </c>
      <c r="T277" s="37">
        <v>0</v>
      </c>
      <c r="U277" s="10" t="s">
        <v>28</v>
      </c>
      <c r="V277" s="34" t="s">
        <v>700</v>
      </c>
      <c r="W277" s="15" t="s">
        <v>880</v>
      </c>
      <c r="X277" s="21" t="s">
        <v>887</v>
      </c>
      <c r="Y277" s="67" t="s">
        <v>68</v>
      </c>
      <c r="Z277" s="33" t="s">
        <v>887</v>
      </c>
    </row>
    <row r="278" spans="1:26">
      <c r="A278" s="31">
        <v>274</v>
      </c>
      <c r="B278" s="8" t="s">
        <v>25</v>
      </c>
      <c r="C278" s="8" t="s">
        <v>26</v>
      </c>
      <c r="D278" s="12" t="s">
        <v>32</v>
      </c>
      <c r="E278" s="44" t="s">
        <v>696</v>
      </c>
      <c r="F278" s="34" t="s">
        <v>806</v>
      </c>
      <c r="G278" s="34" t="s">
        <v>28</v>
      </c>
      <c r="H278" s="36" t="s">
        <v>807</v>
      </c>
      <c r="I278" s="12" t="s">
        <v>57</v>
      </c>
      <c r="J278" s="12" t="s">
        <v>28</v>
      </c>
      <c r="K278" s="12" t="s">
        <v>28</v>
      </c>
      <c r="L278" s="12" t="s">
        <v>38</v>
      </c>
      <c r="M278" s="12" t="s">
        <v>38</v>
      </c>
      <c r="N278" s="9">
        <v>0</v>
      </c>
      <c r="O278" s="12" t="s">
        <v>28</v>
      </c>
      <c r="P278" s="35">
        <v>0</v>
      </c>
      <c r="Q278" s="12" t="s">
        <v>28</v>
      </c>
      <c r="R278" s="35">
        <v>0</v>
      </c>
      <c r="S278" s="10" t="s">
        <v>28</v>
      </c>
      <c r="T278" s="37">
        <v>0</v>
      </c>
      <c r="U278" s="10" t="s">
        <v>28</v>
      </c>
      <c r="V278" s="34" t="s">
        <v>700</v>
      </c>
      <c r="W278" s="15" t="s">
        <v>68</v>
      </c>
      <c r="X278" s="21" t="s">
        <v>887</v>
      </c>
      <c r="Y278" s="67" t="s">
        <v>68</v>
      </c>
      <c r="Z278" s="33" t="s">
        <v>887</v>
      </c>
    </row>
    <row r="279" spans="1:26">
      <c r="A279" s="31">
        <v>275</v>
      </c>
      <c r="B279" s="8" t="s">
        <v>25</v>
      </c>
      <c r="C279" s="8" t="s">
        <v>26</v>
      </c>
      <c r="D279" s="12" t="s">
        <v>32</v>
      </c>
      <c r="E279" s="44" t="s">
        <v>696</v>
      </c>
      <c r="F279" s="34" t="s">
        <v>808</v>
      </c>
      <c r="G279" s="34" t="s">
        <v>28</v>
      </c>
      <c r="H279" s="36" t="s">
        <v>809</v>
      </c>
      <c r="I279" s="12" t="s">
        <v>227</v>
      </c>
      <c r="J279" s="12" t="s">
        <v>28</v>
      </c>
      <c r="K279" s="12" t="s">
        <v>28</v>
      </c>
      <c r="L279" s="12" t="s">
        <v>38</v>
      </c>
      <c r="M279" s="12" t="s">
        <v>38</v>
      </c>
      <c r="N279" s="9">
        <v>0</v>
      </c>
      <c r="O279" s="12" t="s">
        <v>28</v>
      </c>
      <c r="P279" s="35">
        <v>0</v>
      </c>
      <c r="Q279" s="12" t="s">
        <v>28</v>
      </c>
      <c r="R279" s="35">
        <v>0</v>
      </c>
      <c r="S279" s="10" t="s">
        <v>28</v>
      </c>
      <c r="T279" s="37">
        <v>0</v>
      </c>
      <c r="U279" s="10" t="s">
        <v>28</v>
      </c>
      <c r="V279" s="34" t="s">
        <v>700</v>
      </c>
      <c r="W279" s="15" t="s">
        <v>68</v>
      </c>
      <c r="X279" s="21" t="s">
        <v>887</v>
      </c>
      <c r="Y279" s="67" t="s">
        <v>68</v>
      </c>
      <c r="Z279" s="33" t="s">
        <v>887</v>
      </c>
    </row>
    <row r="280" spans="1:26">
      <c r="A280" s="31">
        <v>276</v>
      </c>
      <c r="B280" s="8" t="s">
        <v>25</v>
      </c>
      <c r="C280" s="8" t="s">
        <v>26</v>
      </c>
      <c r="D280" s="12" t="s">
        <v>32</v>
      </c>
      <c r="E280" s="44" t="s">
        <v>696</v>
      </c>
      <c r="F280" s="34" t="s">
        <v>810</v>
      </c>
      <c r="G280" s="34" t="s">
        <v>28</v>
      </c>
      <c r="H280" s="36" t="s">
        <v>811</v>
      </c>
      <c r="I280" s="12" t="s">
        <v>43</v>
      </c>
      <c r="J280" s="12" t="s">
        <v>28</v>
      </c>
      <c r="K280" s="12" t="s">
        <v>28</v>
      </c>
      <c r="L280" s="12" t="s">
        <v>38</v>
      </c>
      <c r="M280" s="12" t="s">
        <v>38</v>
      </c>
      <c r="N280" s="9">
        <v>0</v>
      </c>
      <c r="O280" s="12" t="s">
        <v>28</v>
      </c>
      <c r="P280" s="35">
        <v>0</v>
      </c>
      <c r="Q280" s="12" t="s">
        <v>28</v>
      </c>
      <c r="R280" s="35">
        <v>0</v>
      </c>
      <c r="S280" s="10" t="s">
        <v>28</v>
      </c>
      <c r="T280" s="37">
        <v>0</v>
      </c>
      <c r="U280" s="10" t="s">
        <v>28</v>
      </c>
      <c r="V280" s="34" t="s">
        <v>700</v>
      </c>
      <c r="W280" s="15" t="s">
        <v>68</v>
      </c>
      <c r="X280" s="21" t="s">
        <v>887</v>
      </c>
      <c r="Y280" s="67" t="s">
        <v>68</v>
      </c>
      <c r="Z280" s="33" t="s">
        <v>887</v>
      </c>
    </row>
    <row r="281" spans="1:26">
      <c r="A281" s="31">
        <v>277</v>
      </c>
      <c r="B281" s="8" t="s">
        <v>25</v>
      </c>
      <c r="C281" s="8" t="s">
        <v>26</v>
      </c>
      <c r="D281" s="12" t="s">
        <v>32</v>
      </c>
      <c r="E281" s="44" t="s">
        <v>696</v>
      </c>
      <c r="F281" s="34" t="s">
        <v>812</v>
      </c>
      <c r="G281" s="34" t="s">
        <v>28</v>
      </c>
      <c r="H281" s="36" t="s">
        <v>813</v>
      </c>
      <c r="I281" s="12" t="s">
        <v>43</v>
      </c>
      <c r="J281" s="12" t="s">
        <v>28</v>
      </c>
      <c r="K281" s="12" t="s">
        <v>28</v>
      </c>
      <c r="L281" s="12" t="s">
        <v>38</v>
      </c>
      <c r="M281" s="12" t="s">
        <v>38</v>
      </c>
      <c r="N281" s="9">
        <v>0</v>
      </c>
      <c r="O281" s="12" t="s">
        <v>28</v>
      </c>
      <c r="P281" s="35">
        <v>0</v>
      </c>
      <c r="Q281" s="12" t="s">
        <v>28</v>
      </c>
      <c r="R281" s="35">
        <v>0</v>
      </c>
      <c r="S281" s="10" t="s">
        <v>28</v>
      </c>
      <c r="T281" s="37">
        <v>0</v>
      </c>
      <c r="U281" s="10" t="s">
        <v>28</v>
      </c>
      <c r="V281" s="34" t="s">
        <v>700</v>
      </c>
      <c r="W281" s="15" t="s">
        <v>68</v>
      </c>
      <c r="X281" s="21" t="s">
        <v>887</v>
      </c>
      <c r="Y281" s="67" t="s">
        <v>68</v>
      </c>
      <c r="Z281" s="33" t="s">
        <v>887</v>
      </c>
    </row>
    <row r="282" spans="1:26">
      <c r="A282" s="31">
        <v>278</v>
      </c>
      <c r="B282" s="8" t="s">
        <v>25</v>
      </c>
      <c r="C282" s="8" t="s">
        <v>26</v>
      </c>
      <c r="D282" s="12" t="s">
        <v>32</v>
      </c>
      <c r="E282" s="44" t="s">
        <v>696</v>
      </c>
      <c r="F282" s="34" t="s">
        <v>814</v>
      </c>
      <c r="G282" s="34" t="s">
        <v>28</v>
      </c>
      <c r="H282" s="36" t="s">
        <v>815</v>
      </c>
      <c r="I282" s="12" t="s">
        <v>816</v>
      </c>
      <c r="J282" s="12" t="s">
        <v>28</v>
      </c>
      <c r="K282" s="12" t="s">
        <v>28</v>
      </c>
      <c r="L282" s="12" t="s">
        <v>38</v>
      </c>
      <c r="M282" s="12" t="s">
        <v>38</v>
      </c>
      <c r="N282" s="9">
        <v>0</v>
      </c>
      <c r="O282" s="12" t="s">
        <v>28</v>
      </c>
      <c r="P282" s="35">
        <v>0</v>
      </c>
      <c r="Q282" s="12" t="s">
        <v>28</v>
      </c>
      <c r="R282" s="35">
        <v>0</v>
      </c>
      <c r="S282" s="10" t="s">
        <v>28</v>
      </c>
      <c r="T282" s="37">
        <v>0</v>
      </c>
      <c r="U282" s="10" t="s">
        <v>28</v>
      </c>
      <c r="V282" s="34" t="s">
        <v>700</v>
      </c>
      <c r="W282" s="15" t="s">
        <v>68</v>
      </c>
      <c r="X282" s="21" t="s">
        <v>887</v>
      </c>
      <c r="Y282" s="67" t="s">
        <v>68</v>
      </c>
      <c r="Z282" s="33" t="s">
        <v>887</v>
      </c>
    </row>
    <row r="283" spans="1:26">
      <c r="A283" s="31">
        <v>279</v>
      </c>
      <c r="B283" s="8" t="s">
        <v>25</v>
      </c>
      <c r="C283" s="8" t="s">
        <v>26</v>
      </c>
      <c r="D283" s="12" t="s">
        <v>32</v>
      </c>
      <c r="E283" s="44" t="s">
        <v>696</v>
      </c>
      <c r="F283" s="34" t="s">
        <v>817</v>
      </c>
      <c r="G283" s="34" t="s">
        <v>28</v>
      </c>
      <c r="H283" s="36" t="s">
        <v>818</v>
      </c>
      <c r="I283" s="12" t="s">
        <v>43</v>
      </c>
      <c r="J283" s="12" t="s">
        <v>28</v>
      </c>
      <c r="K283" s="12" t="s">
        <v>28</v>
      </c>
      <c r="L283" s="12" t="s">
        <v>38</v>
      </c>
      <c r="M283" s="12" t="s">
        <v>38</v>
      </c>
      <c r="N283" s="9">
        <v>0</v>
      </c>
      <c r="O283" s="12" t="s">
        <v>28</v>
      </c>
      <c r="P283" s="35">
        <v>0</v>
      </c>
      <c r="Q283" s="12" t="s">
        <v>28</v>
      </c>
      <c r="R283" s="35">
        <v>0</v>
      </c>
      <c r="S283" s="10" t="s">
        <v>28</v>
      </c>
      <c r="T283" s="37">
        <v>0</v>
      </c>
      <c r="U283" s="10" t="s">
        <v>28</v>
      </c>
      <c r="V283" s="34" t="s">
        <v>700</v>
      </c>
      <c r="W283" s="15" t="s">
        <v>68</v>
      </c>
      <c r="X283" s="21" t="s">
        <v>887</v>
      </c>
      <c r="Y283" s="67" t="s">
        <v>68</v>
      </c>
      <c r="Z283" s="33" t="s">
        <v>887</v>
      </c>
    </row>
    <row r="284" spans="1:26">
      <c r="A284" s="31">
        <v>280</v>
      </c>
      <c r="B284" s="8" t="s">
        <v>25</v>
      </c>
      <c r="C284" s="8" t="s">
        <v>26</v>
      </c>
      <c r="D284" s="12" t="s">
        <v>32</v>
      </c>
      <c r="E284" s="44" t="s">
        <v>696</v>
      </c>
      <c r="F284" s="34" t="s">
        <v>819</v>
      </c>
      <c r="G284" s="34" t="s">
        <v>28</v>
      </c>
      <c r="H284" s="36" t="s">
        <v>820</v>
      </c>
      <c r="I284" s="12" t="s">
        <v>43</v>
      </c>
      <c r="J284" s="12" t="s">
        <v>38</v>
      </c>
      <c r="K284" s="12" t="s">
        <v>28</v>
      </c>
      <c r="L284" s="12" t="s">
        <v>28</v>
      </c>
      <c r="M284" s="12" t="s">
        <v>38</v>
      </c>
      <c r="N284" s="9">
        <v>0</v>
      </c>
      <c r="O284" s="12" t="s">
        <v>28</v>
      </c>
      <c r="P284" s="35">
        <v>0</v>
      </c>
      <c r="Q284" s="12" t="s">
        <v>28</v>
      </c>
      <c r="R284" s="35">
        <v>0</v>
      </c>
      <c r="S284" s="10" t="s">
        <v>28</v>
      </c>
      <c r="T284" s="37">
        <v>0</v>
      </c>
      <c r="U284" s="10" t="s">
        <v>28</v>
      </c>
      <c r="V284" s="34" t="s">
        <v>700</v>
      </c>
      <c r="W284" s="15" t="s">
        <v>68</v>
      </c>
      <c r="X284" s="21" t="s">
        <v>887</v>
      </c>
      <c r="Y284" s="67" t="s">
        <v>68</v>
      </c>
      <c r="Z284" s="33" t="s">
        <v>887</v>
      </c>
    </row>
    <row r="285" spans="1:26">
      <c r="A285" s="31">
        <v>282</v>
      </c>
      <c r="B285" s="8" t="s">
        <v>25</v>
      </c>
      <c r="C285" s="8" t="s">
        <v>821</v>
      </c>
      <c r="D285" s="8" t="s">
        <v>822</v>
      </c>
      <c r="E285" s="7" t="s">
        <v>28</v>
      </c>
      <c r="F285" s="7" t="s">
        <v>28</v>
      </c>
      <c r="G285" s="11" t="s">
        <v>823</v>
      </c>
      <c r="H285" s="11" t="s">
        <v>823</v>
      </c>
      <c r="I285" s="7" t="s">
        <v>28</v>
      </c>
      <c r="J285" s="7" t="s">
        <v>28</v>
      </c>
      <c r="K285" s="12" t="s">
        <v>38</v>
      </c>
      <c r="L285" s="7" t="s">
        <v>28</v>
      </c>
      <c r="M285" s="7" t="s">
        <v>28</v>
      </c>
      <c r="N285" s="14">
        <v>0</v>
      </c>
      <c r="O285" s="10" t="s">
        <v>28</v>
      </c>
      <c r="P285" s="14">
        <v>7210000000</v>
      </c>
      <c r="Q285" s="10">
        <v>42067</v>
      </c>
      <c r="R285" s="14">
        <v>12169000000</v>
      </c>
      <c r="S285" s="10">
        <v>44246</v>
      </c>
      <c r="T285" s="14">
        <v>0</v>
      </c>
      <c r="U285" s="10" t="s">
        <v>28</v>
      </c>
      <c r="V285" s="15" t="s">
        <v>68</v>
      </c>
      <c r="W285" s="15" t="s">
        <v>885</v>
      </c>
      <c r="X285" s="21" t="s">
        <v>887</v>
      </c>
      <c r="Y285" s="67" t="s">
        <v>68</v>
      </c>
      <c r="Z285" s="33" t="s">
        <v>887</v>
      </c>
    </row>
    <row r="286" spans="1:26">
      <c r="A286" s="31">
        <v>283</v>
      </c>
      <c r="B286" s="8" t="s">
        <v>25</v>
      </c>
      <c r="C286" s="8" t="s">
        <v>821</v>
      </c>
      <c r="D286" s="8" t="s">
        <v>822</v>
      </c>
      <c r="E286" s="7" t="s">
        <v>28</v>
      </c>
      <c r="F286" s="7" t="s">
        <v>28</v>
      </c>
      <c r="G286" s="11" t="s">
        <v>824</v>
      </c>
      <c r="H286" s="11" t="s">
        <v>824</v>
      </c>
      <c r="I286" s="7" t="s">
        <v>28</v>
      </c>
      <c r="J286" s="7" t="s">
        <v>28</v>
      </c>
      <c r="K286" s="12" t="s">
        <v>38</v>
      </c>
      <c r="L286" s="7" t="s">
        <v>28</v>
      </c>
      <c r="M286" s="7" t="s">
        <v>28</v>
      </c>
      <c r="N286" s="9">
        <v>0</v>
      </c>
      <c r="O286" s="10" t="s">
        <v>28</v>
      </c>
      <c r="P286" s="9">
        <v>5263000000</v>
      </c>
      <c r="Q286" s="10">
        <v>41787</v>
      </c>
      <c r="R286" s="45">
        <v>0</v>
      </c>
      <c r="S286" s="46" t="s">
        <v>28</v>
      </c>
      <c r="T286" s="9">
        <v>0</v>
      </c>
      <c r="U286" s="10" t="s">
        <v>28</v>
      </c>
      <c r="V286" s="15" t="s">
        <v>68</v>
      </c>
      <c r="W286" s="15" t="s">
        <v>885</v>
      </c>
      <c r="X286" s="21" t="s">
        <v>68</v>
      </c>
      <c r="Y286" s="67" t="s">
        <v>68</v>
      </c>
      <c r="Z286" s="33" t="s">
        <v>887</v>
      </c>
    </row>
    <row r="287" spans="1:26">
      <c r="A287" s="31">
        <v>284</v>
      </c>
      <c r="B287" s="8" t="s">
        <v>25</v>
      </c>
      <c r="C287" s="8" t="s">
        <v>821</v>
      </c>
      <c r="D287" s="8" t="s">
        <v>822</v>
      </c>
      <c r="E287" s="7" t="s">
        <v>28</v>
      </c>
      <c r="F287" s="7" t="s">
        <v>28</v>
      </c>
      <c r="G287" s="11" t="s">
        <v>825</v>
      </c>
      <c r="H287" s="11" t="s">
        <v>825</v>
      </c>
      <c r="I287" s="7" t="s">
        <v>28</v>
      </c>
      <c r="J287" s="7" t="s">
        <v>28</v>
      </c>
      <c r="K287" s="12" t="s">
        <v>38</v>
      </c>
      <c r="L287" s="7" t="s">
        <v>28</v>
      </c>
      <c r="M287" s="7" t="s">
        <v>28</v>
      </c>
      <c r="N287" s="9">
        <v>0</v>
      </c>
      <c r="O287" s="10" t="s">
        <v>28</v>
      </c>
      <c r="P287" s="9">
        <v>0</v>
      </c>
      <c r="Q287" s="10" t="s">
        <v>28</v>
      </c>
      <c r="R287" s="45">
        <v>0</v>
      </c>
      <c r="S287" s="46" t="s">
        <v>28</v>
      </c>
      <c r="T287" s="9">
        <v>0</v>
      </c>
      <c r="U287" s="10" t="s">
        <v>28</v>
      </c>
      <c r="V287" s="15" t="s">
        <v>68</v>
      </c>
      <c r="W287" s="15" t="s">
        <v>68</v>
      </c>
      <c r="X287" s="21" t="s">
        <v>68</v>
      </c>
      <c r="Y287" s="67" t="s">
        <v>68</v>
      </c>
      <c r="Z287" s="33" t="s">
        <v>887</v>
      </c>
    </row>
    <row r="288" spans="1:26">
      <c r="A288" s="31">
        <v>285</v>
      </c>
      <c r="B288" s="8" t="s">
        <v>25</v>
      </c>
      <c r="C288" s="8" t="s">
        <v>821</v>
      </c>
      <c r="D288" s="8" t="s">
        <v>822</v>
      </c>
      <c r="E288" s="7" t="s">
        <v>28</v>
      </c>
      <c r="F288" s="7" t="s">
        <v>28</v>
      </c>
      <c r="G288" s="11" t="s">
        <v>826</v>
      </c>
      <c r="H288" s="11" t="s">
        <v>826</v>
      </c>
      <c r="I288" s="7" t="s">
        <v>28</v>
      </c>
      <c r="J288" s="7" t="s">
        <v>28</v>
      </c>
      <c r="K288" s="12" t="s">
        <v>38</v>
      </c>
      <c r="L288" s="7" t="s">
        <v>28</v>
      </c>
      <c r="M288" s="7" t="s">
        <v>28</v>
      </c>
      <c r="N288" s="9">
        <v>0</v>
      </c>
      <c r="O288" s="10" t="s">
        <v>28</v>
      </c>
      <c r="P288" s="9">
        <v>0</v>
      </c>
      <c r="Q288" s="10" t="s">
        <v>28</v>
      </c>
      <c r="R288" s="45">
        <v>0</v>
      </c>
      <c r="S288" s="46" t="s">
        <v>28</v>
      </c>
      <c r="T288" s="9">
        <v>0</v>
      </c>
      <c r="U288" s="10" t="s">
        <v>28</v>
      </c>
      <c r="V288" s="15" t="s">
        <v>68</v>
      </c>
      <c r="W288" s="15" t="s">
        <v>68</v>
      </c>
      <c r="X288" s="21" t="s">
        <v>68</v>
      </c>
      <c r="Y288" s="67" t="s">
        <v>68</v>
      </c>
      <c r="Z288" s="33" t="s">
        <v>887</v>
      </c>
    </row>
    <row r="289" spans="1:26">
      <c r="A289" s="31">
        <v>286</v>
      </c>
      <c r="B289" s="8" t="s">
        <v>25</v>
      </c>
      <c r="C289" s="8" t="s">
        <v>821</v>
      </c>
      <c r="D289" s="8" t="s">
        <v>822</v>
      </c>
      <c r="E289" s="7" t="s">
        <v>28</v>
      </c>
      <c r="F289" s="7" t="s">
        <v>28</v>
      </c>
      <c r="G289" s="11" t="s">
        <v>827</v>
      </c>
      <c r="H289" s="11" t="s">
        <v>827</v>
      </c>
      <c r="I289" s="7" t="s">
        <v>28</v>
      </c>
      <c r="J289" s="7" t="s">
        <v>28</v>
      </c>
      <c r="K289" s="12" t="s">
        <v>38</v>
      </c>
      <c r="L289" s="7" t="s">
        <v>28</v>
      </c>
      <c r="M289" s="7" t="s">
        <v>28</v>
      </c>
      <c r="N289" s="9">
        <v>0</v>
      </c>
      <c r="O289" s="10" t="s">
        <v>28</v>
      </c>
      <c r="P289" s="9">
        <v>0</v>
      </c>
      <c r="Q289" s="10" t="s">
        <v>28</v>
      </c>
      <c r="R289" s="45">
        <v>0</v>
      </c>
      <c r="S289" s="46" t="s">
        <v>28</v>
      </c>
      <c r="T289" s="9">
        <v>0</v>
      </c>
      <c r="U289" s="10" t="s">
        <v>28</v>
      </c>
      <c r="V289" s="15" t="s">
        <v>68</v>
      </c>
      <c r="W289" s="15" t="s">
        <v>68</v>
      </c>
      <c r="X289" s="21" t="s">
        <v>68</v>
      </c>
      <c r="Y289" s="67" t="s">
        <v>68</v>
      </c>
      <c r="Z289" s="33" t="s">
        <v>887</v>
      </c>
    </row>
    <row r="290" spans="1:26">
      <c r="A290" s="31">
        <v>287</v>
      </c>
      <c r="B290" s="8" t="s">
        <v>25</v>
      </c>
      <c r="C290" s="8" t="s">
        <v>821</v>
      </c>
      <c r="D290" s="8" t="s">
        <v>822</v>
      </c>
      <c r="E290" s="7" t="s">
        <v>28</v>
      </c>
      <c r="F290" s="7" t="s">
        <v>28</v>
      </c>
      <c r="G290" s="11" t="s">
        <v>828</v>
      </c>
      <c r="H290" s="11" t="s">
        <v>828</v>
      </c>
      <c r="I290" s="7" t="s">
        <v>28</v>
      </c>
      <c r="J290" s="7" t="s">
        <v>28</v>
      </c>
      <c r="K290" s="12" t="s">
        <v>38</v>
      </c>
      <c r="L290" s="7" t="s">
        <v>28</v>
      </c>
      <c r="M290" s="7" t="s">
        <v>28</v>
      </c>
      <c r="N290" s="9">
        <v>0</v>
      </c>
      <c r="O290" s="10" t="s">
        <v>28</v>
      </c>
      <c r="P290" s="9">
        <v>0</v>
      </c>
      <c r="Q290" s="10" t="s">
        <v>28</v>
      </c>
      <c r="R290" s="45">
        <v>0</v>
      </c>
      <c r="S290" s="46" t="s">
        <v>28</v>
      </c>
      <c r="T290" s="9">
        <v>0</v>
      </c>
      <c r="U290" s="10" t="s">
        <v>28</v>
      </c>
      <c r="V290" s="15" t="s">
        <v>68</v>
      </c>
      <c r="W290" s="15" t="s">
        <v>68</v>
      </c>
      <c r="X290" s="21" t="s">
        <v>68</v>
      </c>
      <c r="Y290" s="67" t="s">
        <v>68</v>
      </c>
      <c r="Z290" s="33" t="s">
        <v>887</v>
      </c>
    </row>
    <row r="291" spans="1:26">
      <c r="A291" s="31">
        <v>288</v>
      </c>
      <c r="B291" s="8" t="s">
        <v>25</v>
      </c>
      <c r="C291" s="8" t="s">
        <v>821</v>
      </c>
      <c r="D291" s="8" t="s">
        <v>822</v>
      </c>
      <c r="E291" s="7" t="s">
        <v>28</v>
      </c>
      <c r="F291" s="7" t="s">
        <v>28</v>
      </c>
      <c r="G291" s="11" t="s">
        <v>829</v>
      </c>
      <c r="H291" s="11" t="s">
        <v>829</v>
      </c>
      <c r="I291" s="7" t="s">
        <v>28</v>
      </c>
      <c r="J291" s="7" t="s">
        <v>28</v>
      </c>
      <c r="K291" s="12" t="s">
        <v>38</v>
      </c>
      <c r="L291" s="7" t="s">
        <v>28</v>
      </c>
      <c r="M291" s="7" t="s">
        <v>28</v>
      </c>
      <c r="N291" s="9">
        <v>0</v>
      </c>
      <c r="O291" s="10" t="s">
        <v>28</v>
      </c>
      <c r="P291" s="9">
        <v>0</v>
      </c>
      <c r="Q291" s="10" t="s">
        <v>28</v>
      </c>
      <c r="R291" s="45">
        <v>0</v>
      </c>
      <c r="S291" s="46" t="s">
        <v>28</v>
      </c>
      <c r="T291" s="9">
        <v>0</v>
      </c>
      <c r="U291" s="10" t="s">
        <v>28</v>
      </c>
      <c r="V291" s="15" t="s">
        <v>68</v>
      </c>
      <c r="W291" s="15" t="s">
        <v>68</v>
      </c>
      <c r="X291" s="21" t="s">
        <v>68</v>
      </c>
      <c r="Y291" s="67" t="s">
        <v>68</v>
      </c>
      <c r="Z291" s="33" t="s">
        <v>887</v>
      </c>
    </row>
    <row r="292" spans="1:26">
      <c r="A292" s="31">
        <v>289</v>
      </c>
      <c r="B292" s="8" t="s">
        <v>25</v>
      </c>
      <c r="C292" s="8" t="s">
        <v>821</v>
      </c>
      <c r="D292" s="8" t="s">
        <v>822</v>
      </c>
      <c r="E292" s="7" t="s">
        <v>28</v>
      </c>
      <c r="F292" s="7" t="s">
        <v>28</v>
      </c>
      <c r="G292" s="11" t="s">
        <v>830</v>
      </c>
      <c r="H292" s="11" t="s">
        <v>830</v>
      </c>
      <c r="I292" s="7" t="s">
        <v>28</v>
      </c>
      <c r="J292" s="7" t="s">
        <v>28</v>
      </c>
      <c r="K292" s="12" t="s">
        <v>38</v>
      </c>
      <c r="L292" s="7" t="s">
        <v>28</v>
      </c>
      <c r="M292" s="7" t="s">
        <v>28</v>
      </c>
      <c r="N292" s="9">
        <v>0</v>
      </c>
      <c r="O292" s="10" t="s">
        <v>28</v>
      </c>
      <c r="P292" s="9">
        <v>0</v>
      </c>
      <c r="Q292" s="10" t="s">
        <v>28</v>
      </c>
      <c r="R292" s="45">
        <v>0</v>
      </c>
      <c r="S292" s="46" t="s">
        <v>28</v>
      </c>
      <c r="T292" s="9">
        <v>0</v>
      </c>
      <c r="U292" s="10" t="s">
        <v>28</v>
      </c>
      <c r="V292" s="15" t="s">
        <v>68</v>
      </c>
      <c r="W292" s="15" t="s">
        <v>68</v>
      </c>
      <c r="X292" s="21" t="s">
        <v>68</v>
      </c>
      <c r="Y292" s="67" t="s">
        <v>68</v>
      </c>
      <c r="Z292" s="33" t="s">
        <v>887</v>
      </c>
    </row>
    <row r="293" spans="1:26">
      <c r="A293" s="31">
        <v>290</v>
      </c>
      <c r="B293" s="8" t="s">
        <v>25</v>
      </c>
      <c r="C293" s="8" t="s">
        <v>821</v>
      </c>
      <c r="D293" s="8" t="s">
        <v>822</v>
      </c>
      <c r="E293" s="7" t="s">
        <v>28</v>
      </c>
      <c r="F293" s="7" t="s">
        <v>28</v>
      </c>
      <c r="G293" s="11" t="s">
        <v>831</v>
      </c>
      <c r="H293" s="11" t="s">
        <v>831</v>
      </c>
      <c r="I293" s="7" t="s">
        <v>28</v>
      </c>
      <c r="J293" s="7" t="s">
        <v>28</v>
      </c>
      <c r="K293" s="12" t="s">
        <v>38</v>
      </c>
      <c r="L293" s="7" t="s">
        <v>28</v>
      </c>
      <c r="M293" s="7" t="s">
        <v>28</v>
      </c>
      <c r="N293" s="9">
        <v>0</v>
      </c>
      <c r="O293" s="10" t="s">
        <v>28</v>
      </c>
      <c r="P293" s="9">
        <v>0</v>
      </c>
      <c r="Q293" s="10" t="s">
        <v>28</v>
      </c>
      <c r="R293" s="45">
        <v>0</v>
      </c>
      <c r="S293" s="46" t="s">
        <v>28</v>
      </c>
      <c r="T293" s="9">
        <v>0</v>
      </c>
      <c r="U293" s="10" t="s">
        <v>28</v>
      </c>
      <c r="V293" s="15" t="s">
        <v>68</v>
      </c>
      <c r="W293" s="15" t="s">
        <v>68</v>
      </c>
      <c r="X293" s="21" t="s">
        <v>68</v>
      </c>
      <c r="Y293" s="67" t="s">
        <v>68</v>
      </c>
      <c r="Z293" s="33" t="s">
        <v>887</v>
      </c>
    </row>
    <row r="294" spans="1:26">
      <c r="A294" s="31">
        <v>291</v>
      </c>
      <c r="B294" s="8" t="s">
        <v>25</v>
      </c>
      <c r="C294" s="8" t="s">
        <v>821</v>
      </c>
      <c r="D294" s="8" t="s">
        <v>832</v>
      </c>
      <c r="E294" s="7" t="s">
        <v>28</v>
      </c>
      <c r="F294" s="7" t="s">
        <v>28</v>
      </c>
      <c r="G294" s="11" t="s">
        <v>833</v>
      </c>
      <c r="H294" s="11" t="s">
        <v>833</v>
      </c>
      <c r="I294" s="7" t="s">
        <v>28</v>
      </c>
      <c r="J294" s="7" t="s">
        <v>28</v>
      </c>
      <c r="K294" s="12" t="s">
        <v>38</v>
      </c>
      <c r="L294" s="7" t="s">
        <v>28</v>
      </c>
      <c r="M294" s="7" t="s">
        <v>28</v>
      </c>
      <c r="N294" s="9">
        <v>0</v>
      </c>
      <c r="O294" s="10" t="s">
        <v>28</v>
      </c>
      <c r="P294" s="9">
        <v>0</v>
      </c>
      <c r="Q294" s="10" t="s">
        <v>28</v>
      </c>
      <c r="R294" s="45">
        <v>0</v>
      </c>
      <c r="S294" s="46" t="s">
        <v>28</v>
      </c>
      <c r="T294" s="9">
        <v>0</v>
      </c>
      <c r="U294" s="10" t="s">
        <v>28</v>
      </c>
      <c r="V294" s="15" t="s">
        <v>68</v>
      </c>
      <c r="W294" s="15" t="s">
        <v>68</v>
      </c>
      <c r="X294" s="21" t="s">
        <v>68</v>
      </c>
      <c r="Y294" s="67" t="s">
        <v>68</v>
      </c>
      <c r="Z294" s="33" t="s">
        <v>887</v>
      </c>
    </row>
    <row r="295" spans="1:26">
      <c r="A295" s="31">
        <v>292</v>
      </c>
      <c r="B295" s="8" t="s">
        <v>25</v>
      </c>
      <c r="C295" s="8" t="s">
        <v>821</v>
      </c>
      <c r="D295" s="8" t="s">
        <v>832</v>
      </c>
      <c r="E295" s="7" t="s">
        <v>28</v>
      </c>
      <c r="F295" s="7" t="s">
        <v>28</v>
      </c>
      <c r="G295" s="11" t="s">
        <v>834</v>
      </c>
      <c r="H295" s="11" t="s">
        <v>834</v>
      </c>
      <c r="I295" s="7" t="s">
        <v>28</v>
      </c>
      <c r="J295" s="7" t="s">
        <v>28</v>
      </c>
      <c r="K295" s="12" t="s">
        <v>38</v>
      </c>
      <c r="L295" s="7" t="s">
        <v>28</v>
      </c>
      <c r="M295" s="7" t="s">
        <v>28</v>
      </c>
      <c r="N295" s="9">
        <v>0</v>
      </c>
      <c r="O295" s="10" t="s">
        <v>28</v>
      </c>
      <c r="P295" s="9">
        <v>0</v>
      </c>
      <c r="Q295" s="10" t="s">
        <v>28</v>
      </c>
      <c r="R295" s="45">
        <v>0</v>
      </c>
      <c r="S295" s="46" t="s">
        <v>28</v>
      </c>
      <c r="T295" s="9">
        <v>0</v>
      </c>
      <c r="U295" s="10" t="s">
        <v>28</v>
      </c>
      <c r="V295" s="15" t="s">
        <v>68</v>
      </c>
      <c r="W295" s="15" t="s">
        <v>68</v>
      </c>
      <c r="X295" s="21" t="s">
        <v>68</v>
      </c>
      <c r="Y295" s="67" t="s">
        <v>68</v>
      </c>
      <c r="Z295" s="33" t="s">
        <v>887</v>
      </c>
    </row>
    <row r="296" spans="1:26">
      <c r="A296" s="31">
        <v>293</v>
      </c>
      <c r="B296" s="8" t="s">
        <v>25</v>
      </c>
      <c r="C296" s="8" t="s">
        <v>821</v>
      </c>
      <c r="D296" s="8" t="s">
        <v>832</v>
      </c>
      <c r="E296" s="7" t="s">
        <v>28</v>
      </c>
      <c r="F296" s="7" t="s">
        <v>28</v>
      </c>
      <c r="G296" s="11" t="s">
        <v>835</v>
      </c>
      <c r="H296" s="11" t="s">
        <v>835</v>
      </c>
      <c r="I296" s="7" t="s">
        <v>28</v>
      </c>
      <c r="J296" s="7" t="s">
        <v>28</v>
      </c>
      <c r="K296" s="12" t="s">
        <v>38</v>
      </c>
      <c r="L296" s="7" t="s">
        <v>28</v>
      </c>
      <c r="M296" s="7" t="s">
        <v>28</v>
      </c>
      <c r="N296" s="9">
        <v>0</v>
      </c>
      <c r="O296" s="10" t="s">
        <v>28</v>
      </c>
      <c r="P296" s="9">
        <v>0</v>
      </c>
      <c r="Q296" s="10" t="s">
        <v>28</v>
      </c>
      <c r="R296" s="45">
        <v>0</v>
      </c>
      <c r="S296" s="46" t="s">
        <v>28</v>
      </c>
      <c r="T296" s="9">
        <v>0</v>
      </c>
      <c r="U296" s="10" t="s">
        <v>28</v>
      </c>
      <c r="V296" s="15" t="s">
        <v>68</v>
      </c>
      <c r="W296" s="15" t="s">
        <v>68</v>
      </c>
      <c r="X296" s="21" t="s">
        <v>68</v>
      </c>
      <c r="Y296" s="67" t="s">
        <v>68</v>
      </c>
      <c r="Z296" s="33" t="s">
        <v>887</v>
      </c>
    </row>
    <row r="297" spans="1:26">
      <c r="A297" s="31">
        <v>294</v>
      </c>
      <c r="B297" s="8" t="s">
        <v>25</v>
      </c>
      <c r="C297" s="8" t="s">
        <v>821</v>
      </c>
      <c r="D297" s="8" t="s">
        <v>832</v>
      </c>
      <c r="E297" s="7" t="s">
        <v>28</v>
      </c>
      <c r="F297" s="7" t="s">
        <v>28</v>
      </c>
      <c r="G297" s="11" t="s">
        <v>836</v>
      </c>
      <c r="H297" s="11" t="s">
        <v>836</v>
      </c>
      <c r="I297" s="7" t="s">
        <v>28</v>
      </c>
      <c r="J297" s="7" t="s">
        <v>28</v>
      </c>
      <c r="K297" s="12" t="s">
        <v>38</v>
      </c>
      <c r="L297" s="7" t="s">
        <v>28</v>
      </c>
      <c r="M297" s="7" t="s">
        <v>28</v>
      </c>
      <c r="N297" s="9">
        <v>0</v>
      </c>
      <c r="O297" s="10" t="s">
        <v>28</v>
      </c>
      <c r="P297" s="9">
        <v>0</v>
      </c>
      <c r="Q297" s="10" t="s">
        <v>28</v>
      </c>
      <c r="R297" s="45">
        <v>0</v>
      </c>
      <c r="S297" s="46" t="s">
        <v>28</v>
      </c>
      <c r="T297" s="9">
        <v>0</v>
      </c>
      <c r="U297" s="10" t="s">
        <v>28</v>
      </c>
      <c r="V297" s="15" t="s">
        <v>68</v>
      </c>
      <c r="W297" s="15" t="s">
        <v>68</v>
      </c>
      <c r="X297" s="21" t="s">
        <v>68</v>
      </c>
      <c r="Y297" s="67" t="s">
        <v>68</v>
      </c>
      <c r="Z297" s="33" t="s">
        <v>887</v>
      </c>
    </row>
    <row r="298" spans="1:26">
      <c r="A298" s="31">
        <v>295</v>
      </c>
      <c r="B298" s="8" t="s">
        <v>837</v>
      </c>
      <c r="C298" s="8" t="s">
        <v>838</v>
      </c>
      <c r="D298" s="8" t="s">
        <v>839</v>
      </c>
      <c r="E298" s="7" t="s">
        <v>28</v>
      </c>
      <c r="F298" s="7" t="s">
        <v>28</v>
      </c>
      <c r="G298" s="11" t="s">
        <v>840</v>
      </c>
      <c r="H298" s="11" t="s">
        <v>840</v>
      </c>
      <c r="I298" s="7" t="s">
        <v>28</v>
      </c>
      <c r="J298" s="7" t="s">
        <v>28</v>
      </c>
      <c r="K298" s="12" t="s">
        <v>28</v>
      </c>
      <c r="L298" s="7" t="s">
        <v>28</v>
      </c>
      <c r="M298" s="7" t="s">
        <v>28</v>
      </c>
      <c r="N298" s="9">
        <v>293300700000</v>
      </c>
      <c r="O298" s="10">
        <v>38957</v>
      </c>
      <c r="P298" s="9">
        <v>329437900000</v>
      </c>
      <c r="Q298" s="10">
        <v>39962</v>
      </c>
      <c r="R298" s="47">
        <v>431500000000</v>
      </c>
      <c r="S298" s="48">
        <v>41740</v>
      </c>
      <c r="T298" s="9">
        <v>467202000000</v>
      </c>
      <c r="U298" s="10">
        <v>42447</v>
      </c>
      <c r="V298" s="15" t="s">
        <v>876</v>
      </c>
      <c r="W298" s="15" t="s">
        <v>886</v>
      </c>
      <c r="X298" s="21" t="s">
        <v>68</v>
      </c>
      <c r="Y298" s="67" t="s">
        <v>68</v>
      </c>
      <c r="Z298" s="33" t="s">
        <v>887</v>
      </c>
    </row>
    <row r="299" spans="1:26">
      <c r="A299" s="31">
        <v>296</v>
      </c>
      <c r="B299" s="8" t="s">
        <v>837</v>
      </c>
      <c r="C299" s="8" t="s">
        <v>838</v>
      </c>
      <c r="D299" s="8" t="s">
        <v>841</v>
      </c>
      <c r="E299" s="7" t="s">
        <v>28</v>
      </c>
      <c r="F299" s="7" t="s">
        <v>28</v>
      </c>
      <c r="G299" s="11" t="s">
        <v>842</v>
      </c>
      <c r="H299" s="11" t="s">
        <v>842</v>
      </c>
      <c r="I299" s="7" t="s">
        <v>28</v>
      </c>
      <c r="J299" s="7" t="s">
        <v>28</v>
      </c>
      <c r="K299" s="12" t="s">
        <v>38</v>
      </c>
      <c r="L299" s="7" t="s">
        <v>28</v>
      </c>
      <c r="M299" s="7" t="s">
        <v>28</v>
      </c>
      <c r="N299" s="14">
        <v>0</v>
      </c>
      <c r="O299" s="10" t="s">
        <v>28</v>
      </c>
      <c r="P299" s="14">
        <v>11165000000</v>
      </c>
      <c r="Q299" s="10">
        <v>41060</v>
      </c>
      <c r="R299" s="14">
        <v>16237000000</v>
      </c>
      <c r="S299" s="10">
        <v>42793</v>
      </c>
      <c r="T299" s="14">
        <v>0</v>
      </c>
      <c r="U299" s="10" t="s">
        <v>28</v>
      </c>
      <c r="V299" s="15" t="s">
        <v>876</v>
      </c>
      <c r="W299" s="15" t="s">
        <v>885</v>
      </c>
      <c r="X299" s="21" t="s">
        <v>68</v>
      </c>
      <c r="Y299" s="67" t="s">
        <v>68</v>
      </c>
      <c r="Z299" s="33" t="s">
        <v>887</v>
      </c>
    </row>
    <row r="300" spans="1:26">
      <c r="A300" s="31">
        <v>297</v>
      </c>
      <c r="B300" s="8" t="s">
        <v>837</v>
      </c>
      <c r="C300" s="8" t="s">
        <v>838</v>
      </c>
      <c r="D300" s="8" t="s">
        <v>841</v>
      </c>
      <c r="E300" s="7" t="s">
        <v>28</v>
      </c>
      <c r="F300" s="7" t="s">
        <v>28</v>
      </c>
      <c r="G300" s="11" t="s">
        <v>843</v>
      </c>
      <c r="H300" s="11" t="s">
        <v>843</v>
      </c>
      <c r="I300" s="7" t="s">
        <v>28</v>
      </c>
      <c r="J300" s="7" t="s">
        <v>28</v>
      </c>
      <c r="K300" s="12" t="s">
        <v>38</v>
      </c>
      <c r="L300" s="7" t="s">
        <v>28</v>
      </c>
      <c r="M300" s="7" t="s">
        <v>28</v>
      </c>
      <c r="N300" s="14">
        <v>0</v>
      </c>
      <c r="O300" s="10" t="s">
        <v>28</v>
      </c>
      <c r="P300" s="14">
        <v>28884000000</v>
      </c>
      <c r="Q300" s="10">
        <v>42067</v>
      </c>
      <c r="R300" s="14">
        <v>46517000000</v>
      </c>
      <c r="S300" s="10">
        <v>44224</v>
      </c>
      <c r="T300" s="14">
        <v>0</v>
      </c>
      <c r="U300" s="10" t="s">
        <v>28</v>
      </c>
      <c r="V300" s="15" t="s">
        <v>876</v>
      </c>
      <c r="W300" s="15" t="s">
        <v>885</v>
      </c>
      <c r="X300" s="21" t="s">
        <v>68</v>
      </c>
      <c r="Y300" s="67" t="s">
        <v>68</v>
      </c>
      <c r="Z300" s="33" t="s">
        <v>887</v>
      </c>
    </row>
    <row r="301" spans="1:26">
      <c r="A301" s="31">
        <v>298</v>
      </c>
      <c r="B301" s="8" t="s">
        <v>837</v>
      </c>
      <c r="C301" s="8" t="s">
        <v>838</v>
      </c>
      <c r="D301" s="8" t="s">
        <v>841</v>
      </c>
      <c r="E301" s="7" t="s">
        <v>28</v>
      </c>
      <c r="F301" s="7" t="s">
        <v>28</v>
      </c>
      <c r="G301" s="11" t="s">
        <v>844</v>
      </c>
      <c r="H301" s="11" t="s">
        <v>844</v>
      </c>
      <c r="I301" s="7" t="s">
        <v>28</v>
      </c>
      <c r="J301" s="7" t="s">
        <v>28</v>
      </c>
      <c r="K301" s="12" t="s">
        <v>38</v>
      </c>
      <c r="L301" s="7" t="s">
        <v>28</v>
      </c>
      <c r="M301" s="7" t="s">
        <v>28</v>
      </c>
      <c r="N301" s="9">
        <v>0</v>
      </c>
      <c r="O301" s="10" t="s">
        <v>28</v>
      </c>
      <c r="P301" s="9">
        <v>13180200000.000002</v>
      </c>
      <c r="Q301" s="10">
        <v>40149</v>
      </c>
      <c r="R301" s="45">
        <v>0</v>
      </c>
      <c r="S301" s="46" t="s">
        <v>28</v>
      </c>
      <c r="T301" s="9">
        <v>26692000000</v>
      </c>
      <c r="U301" s="10">
        <v>45351</v>
      </c>
      <c r="V301" s="15" t="s">
        <v>876</v>
      </c>
      <c r="W301" s="15" t="s">
        <v>885</v>
      </c>
      <c r="X301" s="21" t="s">
        <v>68</v>
      </c>
      <c r="Y301" s="67" t="s">
        <v>68</v>
      </c>
      <c r="Z301" s="33" t="s">
        <v>887</v>
      </c>
    </row>
    <row r="302" spans="1:26">
      <c r="A302" s="31">
        <v>299</v>
      </c>
      <c r="B302" s="8" t="s">
        <v>837</v>
      </c>
      <c r="C302" s="8" t="s">
        <v>845</v>
      </c>
      <c r="D302" s="8" t="s">
        <v>846</v>
      </c>
      <c r="E302" s="7" t="s">
        <v>28</v>
      </c>
      <c r="F302" s="7" t="s">
        <v>28</v>
      </c>
      <c r="G302" s="11" t="s">
        <v>846</v>
      </c>
      <c r="H302" s="11" t="s">
        <v>846</v>
      </c>
      <c r="I302" s="7" t="s">
        <v>28</v>
      </c>
      <c r="J302" s="7" t="s">
        <v>28</v>
      </c>
      <c r="K302" s="12" t="s">
        <v>28</v>
      </c>
      <c r="L302" s="7" t="s">
        <v>28</v>
      </c>
      <c r="M302" s="7" t="s">
        <v>28</v>
      </c>
      <c r="N302" s="14">
        <v>0</v>
      </c>
      <c r="O302" s="10" t="s">
        <v>28</v>
      </c>
      <c r="P302" s="14">
        <v>0</v>
      </c>
      <c r="Q302" s="10" t="s">
        <v>28</v>
      </c>
      <c r="R302" s="49">
        <v>0</v>
      </c>
      <c r="S302" s="46" t="s">
        <v>28</v>
      </c>
      <c r="T302" s="14">
        <v>0</v>
      </c>
      <c r="U302" s="10" t="s">
        <v>28</v>
      </c>
      <c r="V302" s="15" t="s">
        <v>68</v>
      </c>
      <c r="W302" s="15" t="s">
        <v>68</v>
      </c>
      <c r="X302" s="21" t="s">
        <v>68</v>
      </c>
      <c r="Y302" s="67" t="s">
        <v>68</v>
      </c>
      <c r="Z302" s="33" t="s">
        <v>887</v>
      </c>
    </row>
    <row r="303" spans="1:26">
      <c r="A303" s="31">
        <v>300</v>
      </c>
      <c r="B303" s="8" t="s">
        <v>837</v>
      </c>
      <c r="C303" s="8" t="s">
        <v>845</v>
      </c>
      <c r="D303" s="8" t="s">
        <v>847</v>
      </c>
      <c r="E303" s="7" t="s">
        <v>28</v>
      </c>
      <c r="F303" s="7" t="s">
        <v>28</v>
      </c>
      <c r="G303" s="11" t="s">
        <v>847</v>
      </c>
      <c r="H303" s="11" t="s">
        <v>847</v>
      </c>
      <c r="I303" s="7" t="s">
        <v>28</v>
      </c>
      <c r="J303" s="7" t="s">
        <v>28</v>
      </c>
      <c r="K303" s="12" t="s">
        <v>28</v>
      </c>
      <c r="L303" s="7" t="s">
        <v>28</v>
      </c>
      <c r="M303" s="7" t="s">
        <v>28</v>
      </c>
      <c r="N303" s="14">
        <v>0</v>
      </c>
      <c r="O303" s="10" t="s">
        <v>28</v>
      </c>
      <c r="P303" s="14">
        <v>0</v>
      </c>
      <c r="Q303" s="10" t="s">
        <v>28</v>
      </c>
      <c r="R303" s="49">
        <v>0</v>
      </c>
      <c r="S303" s="46" t="s">
        <v>28</v>
      </c>
      <c r="T303" s="14">
        <v>0</v>
      </c>
      <c r="U303" s="10" t="s">
        <v>28</v>
      </c>
      <c r="V303" s="15" t="s">
        <v>68</v>
      </c>
      <c r="W303" s="15" t="s">
        <v>68</v>
      </c>
      <c r="X303" s="21" t="s">
        <v>68</v>
      </c>
      <c r="Y303" s="67" t="s">
        <v>68</v>
      </c>
      <c r="Z303" s="33" t="s">
        <v>887</v>
      </c>
    </row>
    <row r="304" spans="1:26" ht="18" thickBot="1">
      <c r="A304" s="50">
        <v>301</v>
      </c>
      <c r="B304" s="51" t="s">
        <v>837</v>
      </c>
      <c r="C304" s="51" t="s">
        <v>845</v>
      </c>
      <c r="D304" s="51" t="s">
        <v>848</v>
      </c>
      <c r="E304" s="52" t="s">
        <v>28</v>
      </c>
      <c r="F304" s="52" t="s">
        <v>28</v>
      </c>
      <c r="G304" s="53" t="s">
        <v>848</v>
      </c>
      <c r="H304" s="53" t="s">
        <v>848</v>
      </c>
      <c r="I304" s="52" t="s">
        <v>28</v>
      </c>
      <c r="J304" s="52" t="s">
        <v>28</v>
      </c>
      <c r="K304" s="54" t="s">
        <v>28</v>
      </c>
      <c r="L304" s="52" t="s">
        <v>28</v>
      </c>
      <c r="M304" s="52" t="s">
        <v>28</v>
      </c>
      <c r="N304" s="55">
        <v>0</v>
      </c>
      <c r="O304" s="56" t="s">
        <v>28</v>
      </c>
      <c r="P304" s="55">
        <v>0</v>
      </c>
      <c r="Q304" s="56" t="s">
        <v>28</v>
      </c>
      <c r="R304" s="57">
        <v>0</v>
      </c>
      <c r="S304" s="58" t="s">
        <v>28</v>
      </c>
      <c r="T304" s="55">
        <v>0</v>
      </c>
      <c r="U304" s="56" t="s">
        <v>28</v>
      </c>
      <c r="V304" s="59" t="s">
        <v>68</v>
      </c>
      <c r="W304" s="59" t="s">
        <v>68</v>
      </c>
      <c r="X304" s="60" t="s">
        <v>68</v>
      </c>
      <c r="Y304" s="68" t="s">
        <v>68</v>
      </c>
      <c r="Z304" s="61" t="s">
        <v>887</v>
      </c>
    </row>
    <row r="305" spans="1:25">
      <c r="A305" s="31"/>
      <c r="B305" s="8"/>
      <c r="C305" s="8"/>
      <c r="D305" s="8"/>
      <c r="E305" s="8"/>
      <c r="F305" s="7"/>
      <c r="G305" s="7"/>
      <c r="H305" s="11"/>
      <c r="I305" s="11"/>
      <c r="J305" s="7"/>
      <c r="K305" s="7"/>
      <c r="L305" s="12"/>
      <c r="M305" s="7"/>
      <c r="N305" s="7"/>
      <c r="O305" s="14">
        <v>2</v>
      </c>
      <c r="P305" s="10"/>
      <c r="Q305" s="14"/>
      <c r="R305" s="10"/>
      <c r="S305" s="14"/>
      <c r="T305" s="10"/>
      <c r="U305" s="14"/>
      <c r="V305" s="10"/>
      <c r="W305" s="15"/>
      <c r="X305" s="15"/>
      <c r="Y305" s="21"/>
    </row>
    <row r="306" spans="1:25">
      <c r="B306" s="8"/>
      <c r="C306" s="8"/>
      <c r="D306" s="8"/>
      <c r="E306" s="8"/>
      <c r="F306" s="7"/>
      <c r="G306" s="7"/>
      <c r="H306" s="11"/>
      <c r="I306" s="11"/>
      <c r="J306" s="7"/>
      <c r="K306" s="7"/>
      <c r="L306" s="7"/>
      <c r="M306" s="7"/>
      <c r="N306" s="7"/>
      <c r="O306" s="9"/>
      <c r="P306" s="10"/>
      <c r="Q306" s="9"/>
      <c r="R306" s="10"/>
      <c r="S306" s="9"/>
      <c r="T306" s="10"/>
      <c r="U306" s="9"/>
      <c r="V306" s="10"/>
      <c r="W306" s="15"/>
      <c r="X306" s="15"/>
      <c r="Y306" s="21"/>
    </row>
    <row r="307" spans="1:25">
      <c r="B307" s="8"/>
      <c r="C307" s="8"/>
      <c r="D307" s="8"/>
      <c r="E307" s="8"/>
      <c r="F307" s="7"/>
      <c r="G307" s="7"/>
      <c r="H307" s="11"/>
      <c r="I307" s="11"/>
      <c r="J307" s="7"/>
      <c r="K307" s="7"/>
      <c r="L307" s="7"/>
      <c r="M307" s="7"/>
      <c r="N307" s="7"/>
      <c r="O307" s="9"/>
      <c r="P307" s="10"/>
      <c r="Q307" s="9"/>
      <c r="R307" s="10"/>
      <c r="S307" s="9"/>
      <c r="T307" s="10"/>
      <c r="U307" s="9"/>
      <c r="V307" s="10"/>
      <c r="W307" s="15"/>
      <c r="X307" s="15"/>
      <c r="Y307" s="21"/>
    </row>
    <row r="308" spans="1:25">
      <c r="B308" s="8"/>
      <c r="C308" s="8"/>
      <c r="D308" s="8"/>
      <c r="E308" s="8"/>
      <c r="F308" s="7"/>
      <c r="G308" s="7"/>
      <c r="H308" s="11"/>
      <c r="I308" s="11"/>
      <c r="J308" s="7"/>
      <c r="K308" s="7"/>
      <c r="L308" s="7"/>
      <c r="M308" s="7"/>
      <c r="N308" s="7"/>
      <c r="O308" s="9"/>
      <c r="P308" s="10"/>
      <c r="Q308" s="9"/>
      <c r="R308" s="10"/>
      <c r="S308" s="9"/>
      <c r="T308" s="10"/>
      <c r="U308" s="9"/>
      <c r="V308" s="10"/>
      <c r="W308" s="15"/>
      <c r="X308" s="15"/>
      <c r="Y308" s="21"/>
    </row>
    <row r="309" spans="1:25">
      <c r="B309" s="8"/>
      <c r="C309" s="8"/>
      <c r="D309" s="8"/>
      <c r="E309" s="8"/>
      <c r="F309" s="7"/>
      <c r="G309" s="7"/>
      <c r="H309" s="11"/>
      <c r="I309" s="11"/>
      <c r="J309" s="7"/>
      <c r="K309" s="7"/>
      <c r="L309" s="7"/>
      <c r="M309" s="7"/>
      <c r="N309" s="7"/>
      <c r="O309" s="9"/>
      <c r="P309" s="10"/>
      <c r="Q309" s="9"/>
      <c r="R309" s="10"/>
      <c r="S309" s="9"/>
      <c r="T309" s="10"/>
      <c r="U309" s="9"/>
      <c r="V309" s="10"/>
      <c r="W309" s="15"/>
      <c r="X309" s="15"/>
      <c r="Y309" s="21"/>
    </row>
    <row r="310" spans="1:25">
      <c r="B310" s="8"/>
      <c r="C310" s="8"/>
      <c r="D310" s="8"/>
      <c r="E310" s="8"/>
      <c r="F310" s="7"/>
      <c r="G310" s="7"/>
      <c r="H310" s="11"/>
      <c r="I310" s="11"/>
      <c r="J310" s="7"/>
      <c r="K310" s="7"/>
      <c r="L310" s="7"/>
      <c r="M310" s="7"/>
      <c r="N310" s="7"/>
      <c r="O310" s="9"/>
      <c r="P310" s="10"/>
      <c r="Q310" s="9"/>
      <c r="R310" s="10"/>
      <c r="S310" s="9"/>
      <c r="T310" s="10"/>
      <c r="U310" s="9"/>
      <c r="V310" s="10"/>
      <c r="W310" s="15"/>
      <c r="X310" s="15"/>
      <c r="Y310" s="21"/>
    </row>
    <row r="311" spans="1:25">
      <c r="B311" s="8"/>
      <c r="C311" s="8"/>
      <c r="D311" s="8"/>
      <c r="E311" s="8"/>
      <c r="F311" s="7"/>
      <c r="G311" s="7"/>
      <c r="H311" s="11"/>
      <c r="I311" s="11"/>
      <c r="J311" s="7"/>
      <c r="K311" s="7"/>
      <c r="L311" s="7"/>
      <c r="M311" s="7"/>
      <c r="N311" s="7"/>
      <c r="O311" s="9"/>
      <c r="P311" s="10"/>
      <c r="Q311" s="9"/>
      <c r="R311" s="10"/>
      <c r="S311" s="9"/>
      <c r="T311" s="10"/>
      <c r="U311" s="9"/>
      <c r="V311" s="10"/>
      <c r="W311" s="15"/>
      <c r="X311" s="15"/>
      <c r="Y311" s="21"/>
    </row>
    <row r="312" spans="1:25">
      <c r="B312" s="8"/>
      <c r="C312" s="8"/>
      <c r="D312" s="8"/>
      <c r="E312" s="8"/>
      <c r="F312" s="7"/>
      <c r="G312" s="7"/>
      <c r="H312" s="11"/>
      <c r="I312" s="11"/>
      <c r="J312" s="7"/>
      <c r="K312" s="7"/>
      <c r="L312" s="7"/>
      <c r="M312" s="7"/>
      <c r="N312" s="7"/>
      <c r="O312" s="9"/>
      <c r="P312" s="10"/>
      <c r="Q312" s="9"/>
      <c r="R312" s="10"/>
      <c r="S312" s="9"/>
      <c r="T312" s="10"/>
      <c r="U312" s="9"/>
      <c r="V312" s="10"/>
      <c r="W312" s="15"/>
      <c r="X312" s="15"/>
      <c r="Y312" s="21"/>
    </row>
    <row r="313" spans="1:25">
      <c r="B313" s="8"/>
      <c r="C313" s="8"/>
      <c r="D313" s="8"/>
      <c r="E313" s="8"/>
      <c r="F313" s="7"/>
      <c r="G313" s="7"/>
      <c r="H313" s="11"/>
      <c r="I313" s="11"/>
      <c r="J313" s="7"/>
      <c r="K313" s="7"/>
      <c r="L313" s="7"/>
      <c r="M313" s="7"/>
      <c r="N313" s="7"/>
      <c r="O313" s="9"/>
      <c r="P313" s="10"/>
      <c r="Q313" s="9"/>
      <c r="R313" s="10"/>
      <c r="S313" s="9"/>
      <c r="T313" s="10"/>
      <c r="U313" s="9"/>
      <c r="V313" s="10"/>
      <c r="W313" s="15"/>
      <c r="X313" s="15"/>
      <c r="Y313" s="21"/>
    </row>
    <row r="314" spans="1:25">
      <c r="B314" s="8"/>
      <c r="C314" s="8"/>
      <c r="D314" s="8"/>
      <c r="E314" s="8"/>
      <c r="F314" s="7"/>
      <c r="G314" s="7"/>
      <c r="H314" s="11"/>
      <c r="I314" s="11"/>
      <c r="J314" s="7"/>
      <c r="K314" s="7"/>
      <c r="L314" s="7"/>
      <c r="M314" s="7"/>
      <c r="N314" s="7"/>
      <c r="O314" s="9"/>
      <c r="P314" s="10"/>
      <c r="Q314" s="9"/>
      <c r="R314" s="10"/>
      <c r="S314" s="9"/>
      <c r="T314" s="10"/>
      <c r="U314" s="9"/>
      <c r="V314" s="10"/>
      <c r="W314" s="15"/>
      <c r="X314" s="15"/>
      <c r="Y314" s="21"/>
    </row>
    <row r="315" spans="1:25">
      <c r="B315" s="8"/>
      <c r="C315" s="8"/>
      <c r="D315" s="8"/>
      <c r="E315" s="8"/>
      <c r="F315" s="7"/>
      <c r="G315" s="7"/>
      <c r="H315" s="11"/>
      <c r="I315" s="11"/>
      <c r="J315" s="7"/>
      <c r="K315" s="7"/>
      <c r="L315" s="7"/>
      <c r="M315" s="7"/>
      <c r="N315" s="7"/>
      <c r="O315" s="9"/>
      <c r="P315" s="10"/>
      <c r="Q315" s="9"/>
      <c r="R315" s="10"/>
      <c r="S315" s="9"/>
      <c r="T315" s="10"/>
      <c r="U315" s="9"/>
      <c r="V315" s="10"/>
      <c r="W315" s="15"/>
      <c r="X315" s="15"/>
      <c r="Y315" s="21"/>
    </row>
    <row r="316" spans="1:25">
      <c r="B316" s="8"/>
      <c r="C316" s="8"/>
      <c r="D316" s="8"/>
      <c r="E316" s="8"/>
      <c r="F316" s="7"/>
      <c r="G316" s="7"/>
      <c r="H316" s="11"/>
      <c r="I316" s="11"/>
      <c r="J316" s="7"/>
      <c r="K316" s="7"/>
      <c r="L316" s="7"/>
      <c r="M316" s="7"/>
      <c r="N316" s="7"/>
      <c r="O316" s="9"/>
      <c r="P316" s="10"/>
      <c r="Q316" s="9"/>
      <c r="R316" s="10"/>
      <c r="S316" s="9"/>
      <c r="T316" s="10"/>
      <c r="U316" s="9"/>
      <c r="V316" s="10"/>
      <c r="W316" s="15"/>
      <c r="X316" s="15"/>
      <c r="Y316" s="21"/>
    </row>
    <row r="317" spans="1:25">
      <c r="B317" s="8"/>
      <c r="C317" s="8"/>
      <c r="D317" s="8"/>
      <c r="E317" s="8"/>
      <c r="F317" s="7"/>
      <c r="G317" s="7"/>
      <c r="H317" s="11"/>
      <c r="I317" s="11"/>
      <c r="J317" s="7"/>
      <c r="K317" s="7"/>
      <c r="L317" s="7"/>
      <c r="M317" s="7"/>
      <c r="N317" s="7"/>
      <c r="O317" s="9"/>
      <c r="P317" s="10"/>
      <c r="Q317" s="9"/>
      <c r="R317" s="10"/>
      <c r="S317" s="9"/>
      <c r="T317" s="10"/>
      <c r="U317" s="9"/>
      <c r="V317" s="10"/>
      <c r="W317" s="15"/>
      <c r="X317" s="15"/>
      <c r="Y317" s="21"/>
    </row>
    <row r="318" spans="1:25">
      <c r="B318" s="8"/>
      <c r="C318" s="8"/>
      <c r="D318" s="8"/>
      <c r="E318" s="8"/>
      <c r="F318" s="7"/>
      <c r="G318" s="7"/>
      <c r="H318" s="11"/>
      <c r="I318" s="11"/>
      <c r="J318" s="7"/>
      <c r="K318" s="7"/>
      <c r="L318" s="7"/>
      <c r="M318" s="7"/>
      <c r="N318" s="7"/>
      <c r="O318" s="9"/>
      <c r="P318" s="10"/>
      <c r="Q318" s="9"/>
      <c r="R318" s="10"/>
      <c r="S318" s="9"/>
      <c r="T318" s="10"/>
      <c r="U318" s="9"/>
      <c r="V318" s="10"/>
      <c r="W318" s="15"/>
      <c r="X318" s="15"/>
      <c r="Y318" s="21"/>
    </row>
    <row r="319" spans="1:25">
      <c r="B319" s="8"/>
      <c r="C319" s="8"/>
      <c r="D319" s="8"/>
      <c r="E319" s="8"/>
      <c r="F319" s="7"/>
      <c r="G319" s="7"/>
      <c r="H319" s="11"/>
      <c r="I319" s="11"/>
      <c r="J319" s="7"/>
      <c r="K319" s="7"/>
      <c r="L319" s="7"/>
      <c r="M319" s="7"/>
      <c r="N319" s="7"/>
      <c r="O319" s="9"/>
      <c r="P319" s="10"/>
      <c r="Q319" s="9"/>
      <c r="R319" s="10"/>
      <c r="S319" s="9"/>
      <c r="T319" s="10"/>
      <c r="U319" s="9"/>
      <c r="V319" s="10"/>
      <c r="W319" s="15"/>
      <c r="X319" s="15"/>
      <c r="Y319" s="21"/>
    </row>
    <row r="320" spans="1:25">
      <c r="B320" s="8"/>
      <c r="C320" s="8"/>
      <c r="D320" s="8"/>
      <c r="E320" s="8"/>
      <c r="F320" s="7"/>
      <c r="G320" s="7"/>
      <c r="H320" s="11"/>
      <c r="I320" s="11"/>
      <c r="J320" s="7"/>
      <c r="K320" s="7"/>
      <c r="L320" s="7"/>
      <c r="M320" s="7"/>
      <c r="N320" s="7"/>
      <c r="O320" s="9"/>
      <c r="P320" s="10"/>
      <c r="Q320" s="9"/>
      <c r="R320" s="10"/>
      <c r="S320" s="9"/>
      <c r="T320" s="10"/>
      <c r="U320" s="9"/>
      <c r="V320" s="10"/>
      <c r="W320" s="15"/>
      <c r="X320" s="15"/>
      <c r="Y320" s="21"/>
    </row>
    <row r="321" spans="2:25">
      <c r="B321" s="8"/>
      <c r="C321" s="8"/>
      <c r="D321" s="8"/>
      <c r="E321" s="8"/>
      <c r="F321" s="7"/>
      <c r="G321" s="7"/>
      <c r="H321" s="11"/>
      <c r="I321" s="11"/>
      <c r="J321" s="7"/>
      <c r="K321" s="7"/>
      <c r="L321" s="7"/>
      <c r="M321" s="7"/>
      <c r="N321" s="7"/>
      <c r="O321" s="9"/>
      <c r="P321" s="10"/>
      <c r="Q321" s="9"/>
      <c r="R321" s="10"/>
      <c r="S321" s="9"/>
      <c r="T321" s="10"/>
      <c r="U321" s="9"/>
      <c r="V321" s="10"/>
      <c r="W321" s="15"/>
      <c r="X321" s="15"/>
      <c r="Y321" s="21"/>
    </row>
    <row r="322" spans="2:25">
      <c r="B322" s="8"/>
      <c r="C322" s="8"/>
      <c r="D322" s="8"/>
      <c r="E322" s="8"/>
      <c r="F322" s="7"/>
      <c r="G322" s="7"/>
      <c r="H322" s="11"/>
      <c r="I322" s="11"/>
      <c r="J322" s="7"/>
      <c r="K322" s="7"/>
      <c r="L322" s="7"/>
      <c r="M322" s="7"/>
      <c r="N322" s="7"/>
      <c r="O322" s="9"/>
      <c r="P322" s="10"/>
      <c r="Q322" s="9"/>
      <c r="R322" s="10"/>
      <c r="S322" s="9"/>
      <c r="T322" s="10"/>
      <c r="U322" s="9"/>
      <c r="V322" s="10"/>
      <c r="W322" s="15"/>
      <c r="X322" s="15"/>
      <c r="Y322" s="21"/>
    </row>
    <row r="323" spans="2:25">
      <c r="B323" s="8"/>
      <c r="C323" s="8"/>
      <c r="D323" s="8"/>
      <c r="E323" s="8"/>
      <c r="F323" s="7"/>
      <c r="G323" s="7"/>
      <c r="H323" s="11"/>
      <c r="I323" s="11"/>
      <c r="J323" s="7"/>
      <c r="K323" s="7"/>
      <c r="L323" s="7"/>
      <c r="M323" s="7"/>
      <c r="N323" s="7"/>
      <c r="O323" s="9"/>
      <c r="P323" s="10"/>
      <c r="Q323" s="9"/>
      <c r="R323" s="10"/>
      <c r="S323" s="9"/>
      <c r="T323" s="10"/>
      <c r="U323" s="9"/>
      <c r="V323" s="10"/>
      <c r="W323" s="15"/>
      <c r="X323" s="15"/>
      <c r="Y323" s="21"/>
    </row>
    <row r="324" spans="2:25">
      <c r="B324" s="8"/>
      <c r="C324" s="8"/>
      <c r="D324" s="8"/>
      <c r="E324" s="8"/>
      <c r="F324" s="7"/>
      <c r="G324" s="7"/>
      <c r="H324" s="11"/>
      <c r="I324" s="11"/>
      <c r="J324" s="7"/>
      <c r="K324" s="7"/>
      <c r="L324" s="7"/>
      <c r="M324" s="7"/>
      <c r="N324" s="7"/>
      <c r="O324" s="9"/>
      <c r="P324" s="10"/>
      <c r="Q324" s="9"/>
      <c r="R324" s="10"/>
      <c r="S324" s="9"/>
      <c r="T324" s="10"/>
      <c r="U324" s="9"/>
      <c r="V324" s="10"/>
      <c r="W324" s="15"/>
      <c r="X324" s="15"/>
      <c r="Y324" s="21"/>
    </row>
    <row r="325" spans="2:25">
      <c r="B325" s="8"/>
      <c r="C325" s="8"/>
      <c r="D325" s="8"/>
      <c r="E325" s="8"/>
      <c r="F325" s="7"/>
      <c r="G325" s="7"/>
      <c r="H325" s="11"/>
      <c r="I325" s="11"/>
      <c r="J325" s="7"/>
      <c r="K325" s="7"/>
      <c r="L325" s="7"/>
      <c r="M325" s="7"/>
      <c r="N325" s="7"/>
      <c r="O325" s="9"/>
      <c r="P325" s="10"/>
      <c r="Q325" s="9"/>
      <c r="R325" s="10"/>
      <c r="S325" s="9"/>
      <c r="T325" s="10"/>
      <c r="U325" s="9"/>
      <c r="V325" s="10"/>
      <c r="W325" s="15"/>
      <c r="X325" s="15"/>
      <c r="Y325" s="21"/>
    </row>
  </sheetData>
  <phoneticPr fontId="28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4A7EB-D1E4-4D75-8C5A-5CCA77685CA9}">
  <dimension ref="A1:AR195"/>
  <sheetViews>
    <sheetView tabSelected="1" topLeftCell="K1" zoomScale="85" zoomScaleNormal="85" workbookViewId="0">
      <selection activeCell="AV8" sqref="AV8"/>
    </sheetView>
  </sheetViews>
  <sheetFormatPr defaultRowHeight="17.25"/>
  <cols>
    <col min="7" max="7" width="30.109375" bestFit="1" customWidth="1"/>
    <col min="8" max="8" width="86.44140625" bestFit="1" customWidth="1"/>
    <col min="14" max="14" width="16.33203125" hidden="1" customWidth="1"/>
    <col min="15" max="15" width="0" hidden="1" customWidth="1"/>
    <col min="16" max="16" width="16.33203125" hidden="1" customWidth="1"/>
    <col min="17" max="17" width="0" hidden="1" customWidth="1"/>
    <col min="18" max="18" width="16.33203125" hidden="1" customWidth="1"/>
    <col min="19" max="19" width="0" hidden="1" customWidth="1"/>
    <col min="20" max="20" width="20.88671875" hidden="1" customWidth="1"/>
    <col min="21" max="21" width="15" hidden="1" customWidth="1"/>
    <col min="22" max="22" width="18.5546875" bestFit="1" customWidth="1"/>
    <col min="24" max="24" width="20.109375" bestFit="1" customWidth="1"/>
    <col min="26" max="26" width="20.109375" bestFit="1" customWidth="1"/>
    <col min="28" max="28" width="20.109375" bestFit="1" customWidth="1"/>
    <col min="29" max="29" width="15" bestFit="1" customWidth="1"/>
    <col min="31" max="31" width="15.33203125" bestFit="1" customWidth="1"/>
    <col min="32" max="32" width="12.88671875" bestFit="1" customWidth="1"/>
    <col min="33" max="33" width="19.109375" bestFit="1" customWidth="1"/>
    <col min="34" max="34" width="15.109375" bestFit="1" customWidth="1"/>
    <col min="35" max="35" width="16.77734375" hidden="1" customWidth="1"/>
    <col min="36" max="36" width="17.6640625" style="283" hidden="1" customWidth="1"/>
    <col min="37" max="37" width="24.33203125" style="287" hidden="1" customWidth="1"/>
    <col min="38" max="38" width="0" hidden="1" customWidth="1"/>
    <col min="39" max="40" width="0" style="200" hidden="1" customWidth="1"/>
    <col min="41" max="41" width="9.5546875" style="285" hidden="1" customWidth="1"/>
    <col min="42" max="42" width="51.6640625" hidden="1" customWidth="1"/>
  </cols>
  <sheetData>
    <row r="1" spans="1:44" ht="18" thickBot="1">
      <c r="A1" s="191" t="s">
        <v>4</v>
      </c>
      <c r="B1" s="191" t="s">
        <v>5</v>
      </c>
      <c r="C1" s="191" t="s">
        <v>6</v>
      </c>
      <c r="D1" s="191" t="s">
        <v>7</v>
      </c>
      <c r="E1" s="191" t="s">
        <v>8</v>
      </c>
      <c r="F1" s="191" t="s">
        <v>9</v>
      </c>
      <c r="G1" s="191" t="s">
        <v>10</v>
      </c>
      <c r="H1" s="191" t="s">
        <v>11</v>
      </c>
      <c r="I1" s="191" t="s">
        <v>12</v>
      </c>
      <c r="J1" s="191" t="s">
        <v>13</v>
      </c>
      <c r="K1" s="191" t="s">
        <v>14</v>
      </c>
      <c r="L1" s="191" t="s">
        <v>13</v>
      </c>
      <c r="M1" s="191" t="s">
        <v>15</v>
      </c>
      <c r="N1" s="288" t="s">
        <v>1304</v>
      </c>
      <c r="O1" s="191" t="s">
        <v>1305</v>
      </c>
      <c r="P1" s="288" t="s">
        <v>1306</v>
      </c>
      <c r="Q1" s="191" t="s">
        <v>1307</v>
      </c>
      <c r="R1" s="289" t="s">
        <v>1308</v>
      </c>
      <c r="S1" s="191" t="s">
        <v>1309</v>
      </c>
      <c r="T1" s="289" t="s">
        <v>1310</v>
      </c>
      <c r="U1" s="191" t="s">
        <v>1311</v>
      </c>
      <c r="V1" s="288" t="s">
        <v>16</v>
      </c>
      <c r="W1" s="191" t="s">
        <v>17</v>
      </c>
      <c r="X1" s="288" t="s">
        <v>18</v>
      </c>
      <c r="Y1" s="191" t="s">
        <v>19</v>
      </c>
      <c r="Z1" s="289" t="s">
        <v>20</v>
      </c>
      <c r="AA1" s="191" t="s">
        <v>21</v>
      </c>
      <c r="AB1" s="289" t="s">
        <v>22</v>
      </c>
      <c r="AC1" s="191" t="s">
        <v>23</v>
      </c>
      <c r="AD1" s="191" t="s">
        <v>24</v>
      </c>
      <c r="AE1" s="192" t="s">
        <v>891</v>
      </c>
      <c r="AF1" s="192" t="s">
        <v>890</v>
      </c>
      <c r="AG1" s="193" t="s">
        <v>892</v>
      </c>
      <c r="AH1" s="194" t="s">
        <v>893</v>
      </c>
      <c r="AI1" s="194" t="s">
        <v>1105</v>
      </c>
      <c r="AJ1" s="195" t="s">
        <v>1106</v>
      </c>
      <c r="AK1" s="196" t="s">
        <v>1107</v>
      </c>
      <c r="AL1" s="197" t="s">
        <v>1108</v>
      </c>
      <c r="AM1" s="197" t="s">
        <v>1109</v>
      </c>
      <c r="AN1" s="197" t="s">
        <v>1110</v>
      </c>
      <c r="AO1" s="197" t="s">
        <v>1111</v>
      </c>
      <c r="AP1" s="290" t="s">
        <v>1298</v>
      </c>
      <c r="AQ1" s="197"/>
      <c r="AR1" s="197"/>
    </row>
    <row r="2" spans="1:44">
      <c r="A2" s="201">
        <v>1</v>
      </c>
      <c r="B2" s="23" t="s">
        <v>25</v>
      </c>
      <c r="C2" s="23" t="s">
        <v>26</v>
      </c>
      <c r="D2" s="23" t="s">
        <v>27</v>
      </c>
      <c r="E2" s="24" t="s">
        <v>28</v>
      </c>
      <c r="F2" s="24" t="s">
        <v>28</v>
      </c>
      <c r="G2" s="25" t="s">
        <v>27</v>
      </c>
      <c r="H2" s="25" t="s">
        <v>27</v>
      </c>
      <c r="I2" s="24" t="s">
        <v>28</v>
      </c>
      <c r="J2" s="24" t="s">
        <v>28</v>
      </c>
      <c r="K2" s="24" t="s">
        <v>28</v>
      </c>
      <c r="L2" s="24" t="s">
        <v>28</v>
      </c>
      <c r="M2" s="24" t="s">
        <v>28</v>
      </c>
      <c r="N2" s="26">
        <v>955817500000.00012</v>
      </c>
      <c r="O2" s="27">
        <v>38957</v>
      </c>
      <c r="P2" s="26">
        <v>1382488800000</v>
      </c>
      <c r="Q2" s="27">
        <v>40025</v>
      </c>
      <c r="R2" s="26">
        <v>1852587000000</v>
      </c>
      <c r="S2" s="27">
        <v>41879</v>
      </c>
      <c r="T2" s="26">
        <v>2571929000000</v>
      </c>
      <c r="U2" s="27">
        <v>45380</v>
      </c>
      <c r="V2" s="199">
        <f>N2*$AO2</f>
        <v>955817500000.00012</v>
      </c>
      <c r="W2" s="27">
        <v>38957</v>
      </c>
      <c r="X2" s="199">
        <f t="shared" ref="W2:AC2" si="0">P2*$AO2</f>
        <v>1382488800000</v>
      </c>
      <c r="Y2" s="27">
        <v>40025</v>
      </c>
      <c r="Z2" s="199">
        <f t="shared" si="0"/>
        <v>1852587000000</v>
      </c>
      <c r="AA2" s="27">
        <v>41879</v>
      </c>
      <c r="AB2" s="199">
        <f t="shared" si="0"/>
        <v>2571929000000</v>
      </c>
      <c r="AC2" s="27">
        <v>45380</v>
      </c>
      <c r="AD2" s="28" t="s">
        <v>29</v>
      </c>
      <c r="AE2" s="63" t="s">
        <v>882</v>
      </c>
      <c r="AF2" s="29" t="s">
        <v>887</v>
      </c>
      <c r="AG2" s="66" t="s">
        <v>68</v>
      </c>
      <c r="AH2" s="30" t="s">
        <v>68</v>
      </c>
      <c r="AI2" s="21" t="s">
        <v>887</v>
      </c>
      <c r="AJ2" s="202" t="s">
        <v>1113</v>
      </c>
      <c r="AK2" s="203" t="s">
        <v>1113</v>
      </c>
      <c r="AL2" s="198"/>
      <c r="AM2" s="198"/>
      <c r="AN2" s="198"/>
      <c r="AO2" s="204">
        <v>1</v>
      </c>
      <c r="AP2" s="198" t="s">
        <v>1114</v>
      </c>
      <c r="AQ2" s="198"/>
      <c r="AR2" s="198"/>
    </row>
    <row r="3" spans="1:44">
      <c r="A3" s="205">
        <v>2</v>
      </c>
      <c r="B3" s="8" t="s">
        <v>25</v>
      </c>
      <c r="C3" s="8" t="s">
        <v>26</v>
      </c>
      <c r="D3" s="8" t="s">
        <v>30</v>
      </c>
      <c r="E3" s="7" t="s">
        <v>28</v>
      </c>
      <c r="F3" s="7" t="s">
        <v>28</v>
      </c>
      <c r="G3" s="32" t="s">
        <v>30</v>
      </c>
      <c r="H3" s="32" t="s">
        <v>30</v>
      </c>
      <c r="I3" s="7" t="s">
        <v>28</v>
      </c>
      <c r="J3" s="7" t="s">
        <v>28</v>
      </c>
      <c r="K3" s="7" t="s">
        <v>28</v>
      </c>
      <c r="L3" s="7" t="s">
        <v>28</v>
      </c>
      <c r="M3" s="7" t="s">
        <v>28</v>
      </c>
      <c r="N3" s="9">
        <v>245408900000.00003</v>
      </c>
      <c r="O3" s="10">
        <v>38957</v>
      </c>
      <c r="P3" s="9">
        <v>475737900000.00006</v>
      </c>
      <c r="Q3" s="10">
        <v>39987</v>
      </c>
      <c r="R3" s="9">
        <v>456122000000</v>
      </c>
      <c r="S3" s="10">
        <v>41879</v>
      </c>
      <c r="T3" s="9">
        <v>585244000000</v>
      </c>
      <c r="U3" s="10">
        <v>45380</v>
      </c>
      <c r="V3" s="199">
        <f t="shared" ref="V3:V66" si="1">N3*$AO3</f>
        <v>245408900000.00003</v>
      </c>
      <c r="W3" s="10">
        <v>38957</v>
      </c>
      <c r="X3" s="199">
        <f t="shared" ref="X3:X66" si="2">P3*$AO3</f>
        <v>475737900000.00006</v>
      </c>
      <c r="Y3" s="10">
        <v>39987</v>
      </c>
      <c r="Z3" s="199">
        <f t="shared" ref="Z3:Z66" si="3">R3*$AO3</f>
        <v>456122000000</v>
      </c>
      <c r="AA3" s="10">
        <v>41879</v>
      </c>
      <c r="AB3" s="199">
        <f t="shared" ref="AB3:AB66" si="4">T3*$AO3</f>
        <v>585244000000</v>
      </c>
      <c r="AC3" s="10">
        <v>45380</v>
      </c>
      <c r="AD3" s="11" t="s">
        <v>31</v>
      </c>
      <c r="AE3" s="15" t="s">
        <v>883</v>
      </c>
      <c r="AF3" s="21" t="s">
        <v>887</v>
      </c>
      <c r="AG3" s="67" t="s">
        <v>68</v>
      </c>
      <c r="AH3" s="33" t="s">
        <v>68</v>
      </c>
      <c r="AI3" s="21" t="s">
        <v>887</v>
      </c>
      <c r="AJ3" s="206" t="s">
        <v>1115</v>
      </c>
      <c r="AK3" s="207" t="s">
        <v>1116</v>
      </c>
      <c r="AL3" s="198" t="s">
        <v>1117</v>
      </c>
      <c r="AM3" s="198" t="s">
        <v>1118</v>
      </c>
      <c r="AN3" s="198" t="s">
        <v>1119</v>
      </c>
      <c r="AO3" s="204">
        <v>1</v>
      </c>
      <c r="AP3" s="198" t="s">
        <v>1120</v>
      </c>
      <c r="AQ3" s="198"/>
      <c r="AR3" s="198"/>
    </row>
    <row r="4" spans="1:44">
      <c r="A4" s="208">
        <v>3</v>
      </c>
      <c r="B4" s="209" t="s">
        <v>25</v>
      </c>
      <c r="C4" s="209" t="s">
        <v>26</v>
      </c>
      <c r="D4" s="210" t="s">
        <v>32</v>
      </c>
      <c r="E4" s="210" t="s">
        <v>33</v>
      </c>
      <c r="F4" s="211" t="s">
        <v>34</v>
      </c>
      <c r="G4" s="212" t="s">
        <v>35</v>
      </c>
      <c r="H4" s="212" t="s">
        <v>36</v>
      </c>
      <c r="I4" s="213" t="s">
        <v>37</v>
      </c>
      <c r="J4" s="210" t="s">
        <v>38</v>
      </c>
      <c r="K4" s="210" t="s">
        <v>28</v>
      </c>
      <c r="L4" s="210" t="s">
        <v>28</v>
      </c>
      <c r="M4" s="210" t="s">
        <v>38</v>
      </c>
      <c r="N4" s="291">
        <v>23645600000.000004</v>
      </c>
      <c r="O4" s="214">
        <v>39419</v>
      </c>
      <c r="P4" s="292">
        <v>0</v>
      </c>
      <c r="Q4" s="210" t="s">
        <v>28</v>
      </c>
      <c r="R4" s="291">
        <v>30942000000</v>
      </c>
      <c r="S4" s="214">
        <v>42200</v>
      </c>
      <c r="T4" s="291">
        <v>36650000000</v>
      </c>
      <c r="U4" s="214">
        <v>45230</v>
      </c>
      <c r="V4" s="199">
        <f t="shared" si="1"/>
        <v>23645600000.000004</v>
      </c>
      <c r="W4" s="214">
        <v>39419</v>
      </c>
      <c r="X4" s="199">
        <f t="shared" si="2"/>
        <v>0</v>
      </c>
      <c r="Y4" s="210" t="s">
        <v>28</v>
      </c>
      <c r="Z4" s="199">
        <f t="shared" si="3"/>
        <v>30942000000</v>
      </c>
      <c r="AA4" s="214">
        <v>42200</v>
      </c>
      <c r="AB4" s="199">
        <f t="shared" si="4"/>
        <v>36650000000</v>
      </c>
      <c r="AC4" s="214">
        <v>45230</v>
      </c>
      <c r="AD4" s="212" t="s">
        <v>39</v>
      </c>
      <c r="AE4" s="215" t="s">
        <v>879</v>
      </c>
      <c r="AF4" s="216" t="s">
        <v>68</v>
      </c>
      <c r="AG4" s="217" t="s">
        <v>68</v>
      </c>
      <c r="AH4" s="218" t="s">
        <v>887</v>
      </c>
      <c r="AI4" s="21" t="s">
        <v>887</v>
      </c>
      <c r="AJ4" s="202" t="s">
        <v>1121</v>
      </c>
      <c r="AK4" s="203" t="s">
        <v>1122</v>
      </c>
      <c r="AL4" s="198"/>
      <c r="AM4" s="198" t="s">
        <v>1123</v>
      </c>
      <c r="AN4" s="198" t="s">
        <v>1124</v>
      </c>
      <c r="AO4" s="204">
        <v>1</v>
      </c>
      <c r="AP4" s="198" t="s">
        <v>1112</v>
      </c>
      <c r="AQ4" s="198"/>
      <c r="AR4" s="198"/>
    </row>
    <row r="5" spans="1:44">
      <c r="A5" s="208">
        <v>4</v>
      </c>
      <c r="B5" s="209" t="s">
        <v>25</v>
      </c>
      <c r="C5" s="209" t="s">
        <v>26</v>
      </c>
      <c r="D5" s="210" t="s">
        <v>32</v>
      </c>
      <c r="E5" s="210" t="s">
        <v>33</v>
      </c>
      <c r="F5" s="211" t="s">
        <v>40</v>
      </c>
      <c r="G5" s="211" t="s">
        <v>41</v>
      </c>
      <c r="H5" s="219" t="s">
        <v>1125</v>
      </c>
      <c r="I5" s="210" t="s">
        <v>43</v>
      </c>
      <c r="J5" s="210" t="s">
        <v>38</v>
      </c>
      <c r="K5" s="210" t="s">
        <v>28</v>
      </c>
      <c r="L5" s="210" t="s">
        <v>28</v>
      </c>
      <c r="M5" s="210" t="s">
        <v>38</v>
      </c>
      <c r="N5" s="291">
        <v>33513700000.000004</v>
      </c>
      <c r="O5" s="214">
        <v>39254</v>
      </c>
      <c r="P5" s="291">
        <v>44972098600</v>
      </c>
      <c r="Q5" s="214">
        <v>40632</v>
      </c>
      <c r="R5" s="291">
        <v>45098000000</v>
      </c>
      <c r="S5" s="214">
        <v>42251</v>
      </c>
      <c r="T5" s="291">
        <v>61733000000</v>
      </c>
      <c r="U5" s="214">
        <v>45282</v>
      </c>
      <c r="V5" s="199">
        <f t="shared" si="1"/>
        <v>33513700000.000004</v>
      </c>
      <c r="W5" s="214">
        <v>39254</v>
      </c>
      <c r="X5" s="199">
        <f t="shared" si="2"/>
        <v>44972098600</v>
      </c>
      <c r="Y5" s="214">
        <v>40632</v>
      </c>
      <c r="Z5" s="199">
        <f t="shared" si="3"/>
        <v>45098000000</v>
      </c>
      <c r="AA5" s="214">
        <v>42251</v>
      </c>
      <c r="AB5" s="199">
        <f t="shared" si="4"/>
        <v>61733000000</v>
      </c>
      <c r="AC5" s="214">
        <v>45282</v>
      </c>
      <c r="AD5" s="212" t="s">
        <v>39</v>
      </c>
      <c r="AE5" s="215" t="s">
        <v>879</v>
      </c>
      <c r="AF5" s="216" t="s">
        <v>68</v>
      </c>
      <c r="AG5" s="217" t="s">
        <v>68</v>
      </c>
      <c r="AH5" s="218" t="s">
        <v>887</v>
      </c>
      <c r="AI5" s="21" t="s">
        <v>887</v>
      </c>
      <c r="AJ5" s="202" t="s">
        <v>1121</v>
      </c>
      <c r="AK5" s="203" t="s">
        <v>1122</v>
      </c>
      <c r="AL5" s="198"/>
      <c r="AM5" s="198" t="s">
        <v>1123</v>
      </c>
      <c r="AN5" s="198" t="s">
        <v>1124</v>
      </c>
      <c r="AO5" s="204">
        <v>1</v>
      </c>
      <c r="AP5" s="198" t="s">
        <v>1112</v>
      </c>
      <c r="AQ5" s="198"/>
      <c r="AR5" s="198"/>
    </row>
    <row r="6" spans="1:44">
      <c r="A6" s="208">
        <v>5</v>
      </c>
      <c r="B6" s="209" t="s">
        <v>25</v>
      </c>
      <c r="C6" s="209" t="s">
        <v>26</v>
      </c>
      <c r="D6" s="210" t="s">
        <v>32</v>
      </c>
      <c r="E6" s="210" t="s">
        <v>33</v>
      </c>
      <c r="F6" s="211" t="s">
        <v>44</v>
      </c>
      <c r="G6" s="211" t="s">
        <v>45</v>
      </c>
      <c r="H6" s="219" t="s">
        <v>1126</v>
      </c>
      <c r="I6" s="210" t="s">
        <v>37</v>
      </c>
      <c r="J6" s="210" t="s">
        <v>38</v>
      </c>
      <c r="K6" s="210" t="s">
        <v>28</v>
      </c>
      <c r="L6" s="210" t="s">
        <v>28</v>
      </c>
      <c r="M6" s="210" t="s">
        <v>38</v>
      </c>
      <c r="N6" s="291">
        <v>35998600000</v>
      </c>
      <c r="O6" s="214">
        <v>39409</v>
      </c>
      <c r="P6" s="291">
        <v>58219000000</v>
      </c>
      <c r="Q6" s="214">
        <v>41051</v>
      </c>
      <c r="R6" s="291">
        <v>58560000000</v>
      </c>
      <c r="S6" s="214">
        <v>42401</v>
      </c>
      <c r="T6" s="291">
        <v>82313000000</v>
      </c>
      <c r="U6" s="214">
        <v>45280</v>
      </c>
      <c r="V6" s="199">
        <f t="shared" si="1"/>
        <v>35998600000</v>
      </c>
      <c r="W6" s="214">
        <v>39409</v>
      </c>
      <c r="X6" s="199">
        <f t="shared" si="2"/>
        <v>58219000000</v>
      </c>
      <c r="Y6" s="214">
        <v>41051</v>
      </c>
      <c r="Z6" s="199">
        <f t="shared" si="3"/>
        <v>58560000000</v>
      </c>
      <c r="AA6" s="214">
        <v>42401</v>
      </c>
      <c r="AB6" s="199">
        <f t="shared" si="4"/>
        <v>82313000000</v>
      </c>
      <c r="AC6" s="214">
        <v>45280</v>
      </c>
      <c r="AD6" s="212" t="s">
        <v>39</v>
      </c>
      <c r="AE6" s="215" t="s">
        <v>879</v>
      </c>
      <c r="AF6" s="216" t="s">
        <v>68</v>
      </c>
      <c r="AG6" s="217" t="s">
        <v>68</v>
      </c>
      <c r="AH6" s="218" t="s">
        <v>887</v>
      </c>
      <c r="AI6" s="21" t="s">
        <v>887</v>
      </c>
      <c r="AJ6" s="202" t="s">
        <v>1121</v>
      </c>
      <c r="AK6" s="203" t="s">
        <v>1122</v>
      </c>
      <c r="AL6" s="198"/>
      <c r="AM6" s="198" t="s">
        <v>1123</v>
      </c>
      <c r="AN6" s="198" t="s">
        <v>1124</v>
      </c>
      <c r="AO6" s="204">
        <v>1</v>
      </c>
      <c r="AP6" s="198" t="s">
        <v>1112</v>
      </c>
      <c r="AQ6" s="198"/>
      <c r="AR6" s="198"/>
    </row>
    <row r="7" spans="1:44">
      <c r="A7" s="208">
        <v>6</v>
      </c>
      <c r="B7" s="209" t="s">
        <v>25</v>
      </c>
      <c r="C7" s="209" t="s">
        <v>26</v>
      </c>
      <c r="D7" s="210" t="s">
        <v>32</v>
      </c>
      <c r="E7" s="210" t="s">
        <v>33</v>
      </c>
      <c r="F7" s="211" t="s">
        <v>47</v>
      </c>
      <c r="G7" s="211" t="s">
        <v>48</v>
      </c>
      <c r="H7" s="219" t="s">
        <v>1127</v>
      </c>
      <c r="I7" s="210" t="s">
        <v>37</v>
      </c>
      <c r="J7" s="210" t="s">
        <v>38</v>
      </c>
      <c r="K7" s="210" t="s">
        <v>28</v>
      </c>
      <c r="L7" s="210" t="s">
        <v>28</v>
      </c>
      <c r="M7" s="210" t="s">
        <v>38</v>
      </c>
      <c r="N7" s="291">
        <v>39430600000</v>
      </c>
      <c r="O7" s="214">
        <v>39409</v>
      </c>
      <c r="P7" s="291">
        <v>71640000000</v>
      </c>
      <c r="Q7" s="214">
        <v>41051</v>
      </c>
      <c r="R7" s="291">
        <v>74285000000</v>
      </c>
      <c r="S7" s="214">
        <v>42415</v>
      </c>
      <c r="T7" s="291">
        <v>114986000000</v>
      </c>
      <c r="U7" s="214">
        <v>45280</v>
      </c>
      <c r="V7" s="199">
        <f t="shared" si="1"/>
        <v>39430600000</v>
      </c>
      <c r="W7" s="214">
        <v>39409</v>
      </c>
      <c r="X7" s="199">
        <f t="shared" si="2"/>
        <v>71640000000</v>
      </c>
      <c r="Y7" s="214">
        <v>41051</v>
      </c>
      <c r="Z7" s="199">
        <f t="shared" si="3"/>
        <v>74285000000</v>
      </c>
      <c r="AA7" s="214">
        <v>42415</v>
      </c>
      <c r="AB7" s="199">
        <f t="shared" si="4"/>
        <v>114986000000</v>
      </c>
      <c r="AC7" s="214">
        <v>45280</v>
      </c>
      <c r="AD7" s="212" t="s">
        <v>39</v>
      </c>
      <c r="AE7" s="215" t="s">
        <v>879</v>
      </c>
      <c r="AF7" s="216" t="s">
        <v>68</v>
      </c>
      <c r="AG7" s="217" t="s">
        <v>68</v>
      </c>
      <c r="AH7" s="218" t="s">
        <v>887</v>
      </c>
      <c r="AI7" s="21" t="s">
        <v>887</v>
      </c>
      <c r="AJ7" s="202" t="s">
        <v>1121</v>
      </c>
      <c r="AK7" s="203" t="s">
        <v>1122</v>
      </c>
      <c r="AL7" s="198"/>
      <c r="AM7" s="198" t="s">
        <v>1123</v>
      </c>
      <c r="AN7" s="198" t="s">
        <v>1124</v>
      </c>
      <c r="AO7" s="204">
        <v>1</v>
      </c>
      <c r="AP7" s="198" t="s">
        <v>1112</v>
      </c>
      <c r="AQ7" s="198"/>
      <c r="AR7" s="198"/>
    </row>
    <row r="8" spans="1:44">
      <c r="A8" s="208">
        <v>7</v>
      </c>
      <c r="B8" s="209" t="s">
        <v>25</v>
      </c>
      <c r="C8" s="209" t="s">
        <v>26</v>
      </c>
      <c r="D8" s="210" t="s">
        <v>32</v>
      </c>
      <c r="E8" s="210" t="s">
        <v>33</v>
      </c>
      <c r="F8" s="211" t="s">
        <v>50</v>
      </c>
      <c r="G8" s="211" t="s">
        <v>51</v>
      </c>
      <c r="H8" s="219" t="s">
        <v>1128</v>
      </c>
      <c r="I8" s="210" t="s">
        <v>53</v>
      </c>
      <c r="J8" s="210" t="s">
        <v>38</v>
      </c>
      <c r="K8" s="210" t="s">
        <v>28</v>
      </c>
      <c r="L8" s="210" t="s">
        <v>28</v>
      </c>
      <c r="M8" s="210" t="s">
        <v>38</v>
      </c>
      <c r="N8" s="291">
        <v>2104300000.0000002</v>
      </c>
      <c r="O8" s="214">
        <v>39409</v>
      </c>
      <c r="P8" s="292">
        <v>0</v>
      </c>
      <c r="Q8" s="210" t="s">
        <v>28</v>
      </c>
      <c r="R8" s="292">
        <v>0</v>
      </c>
      <c r="S8" s="214" t="s">
        <v>28</v>
      </c>
      <c r="T8" s="293">
        <v>0</v>
      </c>
      <c r="U8" s="214" t="s">
        <v>28</v>
      </c>
      <c r="V8" s="199">
        <f t="shared" si="1"/>
        <v>2104300000.0000002</v>
      </c>
      <c r="W8" s="214">
        <v>39409</v>
      </c>
      <c r="X8" s="199">
        <f t="shared" si="2"/>
        <v>0</v>
      </c>
      <c r="Y8" s="210" t="s">
        <v>28</v>
      </c>
      <c r="Z8" s="199">
        <f t="shared" si="3"/>
        <v>0</v>
      </c>
      <c r="AA8" s="214" t="s">
        <v>28</v>
      </c>
      <c r="AB8" s="199">
        <f t="shared" si="4"/>
        <v>0</v>
      </c>
      <c r="AC8" s="214" t="s">
        <v>28</v>
      </c>
      <c r="AD8" s="212" t="s">
        <v>39</v>
      </c>
      <c r="AE8" s="215" t="s">
        <v>879</v>
      </c>
      <c r="AF8" s="216" t="s">
        <v>68</v>
      </c>
      <c r="AG8" s="217" t="s">
        <v>68</v>
      </c>
      <c r="AH8" s="218" t="s">
        <v>887</v>
      </c>
      <c r="AI8" s="21" t="s">
        <v>887</v>
      </c>
      <c r="AJ8" s="202" t="s">
        <v>1121</v>
      </c>
      <c r="AK8" s="203" t="s">
        <v>1122</v>
      </c>
      <c r="AL8" s="198"/>
      <c r="AM8" s="198" t="s">
        <v>1123</v>
      </c>
      <c r="AN8" s="198" t="s">
        <v>1124</v>
      </c>
      <c r="AO8" s="204">
        <v>1</v>
      </c>
      <c r="AP8" s="198" t="s">
        <v>1112</v>
      </c>
      <c r="AQ8" s="198"/>
      <c r="AR8" s="198"/>
    </row>
    <row r="9" spans="1:44">
      <c r="A9" s="208">
        <v>8</v>
      </c>
      <c r="B9" s="209" t="s">
        <v>25</v>
      </c>
      <c r="C9" s="209" t="s">
        <v>26</v>
      </c>
      <c r="D9" s="210" t="s">
        <v>32</v>
      </c>
      <c r="E9" s="210" t="s">
        <v>33</v>
      </c>
      <c r="F9" s="211" t="s">
        <v>54</v>
      </c>
      <c r="G9" s="211" t="s">
        <v>1129</v>
      </c>
      <c r="H9" s="219" t="s">
        <v>1130</v>
      </c>
      <c r="I9" s="210" t="s">
        <v>57</v>
      </c>
      <c r="J9" s="210" t="s">
        <v>38</v>
      </c>
      <c r="K9" s="210" t="s">
        <v>28</v>
      </c>
      <c r="L9" s="210" t="s">
        <v>28</v>
      </c>
      <c r="M9" s="210" t="s">
        <v>38</v>
      </c>
      <c r="N9" s="291">
        <v>31672300000.000004</v>
      </c>
      <c r="O9" s="214">
        <v>39443</v>
      </c>
      <c r="P9" s="291">
        <v>23650000000.000004</v>
      </c>
      <c r="Q9" s="214">
        <v>40378</v>
      </c>
      <c r="R9" s="291">
        <v>28704000000</v>
      </c>
      <c r="S9" s="214">
        <v>42605</v>
      </c>
      <c r="T9" s="293">
        <v>0</v>
      </c>
      <c r="U9" s="214" t="s">
        <v>28</v>
      </c>
      <c r="V9" s="199">
        <f t="shared" si="1"/>
        <v>31672300000.000004</v>
      </c>
      <c r="W9" s="214">
        <v>39443</v>
      </c>
      <c r="X9" s="199">
        <f t="shared" si="2"/>
        <v>23650000000.000004</v>
      </c>
      <c r="Y9" s="214">
        <v>40378</v>
      </c>
      <c r="Z9" s="199">
        <f t="shared" si="3"/>
        <v>28704000000</v>
      </c>
      <c r="AA9" s="214">
        <v>42605</v>
      </c>
      <c r="AB9" s="199">
        <f t="shared" si="4"/>
        <v>0</v>
      </c>
      <c r="AC9" s="214" t="s">
        <v>28</v>
      </c>
      <c r="AD9" s="212" t="s">
        <v>39</v>
      </c>
      <c r="AE9" s="215" t="s">
        <v>879</v>
      </c>
      <c r="AF9" s="216" t="s">
        <v>68</v>
      </c>
      <c r="AG9" s="217" t="s">
        <v>68</v>
      </c>
      <c r="AH9" s="218" t="s">
        <v>887</v>
      </c>
      <c r="AI9" s="21" t="s">
        <v>887</v>
      </c>
      <c r="AJ9" s="202" t="s">
        <v>1121</v>
      </c>
      <c r="AK9" s="203" t="s">
        <v>1131</v>
      </c>
      <c r="AL9" s="198" t="s">
        <v>1132</v>
      </c>
      <c r="AM9" s="198" t="s">
        <v>1133</v>
      </c>
      <c r="AN9" s="198" t="s">
        <v>1134</v>
      </c>
      <c r="AO9" s="204">
        <v>1</v>
      </c>
      <c r="AP9" s="198" t="s">
        <v>1112</v>
      </c>
      <c r="AQ9" s="198"/>
      <c r="AR9" s="198"/>
    </row>
    <row r="10" spans="1:44">
      <c r="A10" s="208">
        <v>9</v>
      </c>
      <c r="B10" s="209" t="s">
        <v>25</v>
      </c>
      <c r="C10" s="209" t="s">
        <v>26</v>
      </c>
      <c r="D10" s="210" t="s">
        <v>32</v>
      </c>
      <c r="E10" s="210" t="s">
        <v>33</v>
      </c>
      <c r="F10" s="211" t="s">
        <v>58</v>
      </c>
      <c r="G10" s="211" t="s">
        <v>59</v>
      </c>
      <c r="H10" s="219" t="s">
        <v>1135</v>
      </c>
      <c r="I10" s="210" t="s">
        <v>61</v>
      </c>
      <c r="J10" s="210" t="s">
        <v>38</v>
      </c>
      <c r="K10" s="210" t="s">
        <v>28</v>
      </c>
      <c r="L10" s="210" t="s">
        <v>28</v>
      </c>
      <c r="M10" s="210" t="s">
        <v>38</v>
      </c>
      <c r="N10" s="291">
        <v>20255400000</v>
      </c>
      <c r="O10" s="214">
        <v>39386</v>
      </c>
      <c r="P10" s="291">
        <v>23221000000</v>
      </c>
      <c r="Q10" s="214">
        <v>40633</v>
      </c>
      <c r="R10" s="291">
        <v>21890000000</v>
      </c>
      <c r="S10" s="214">
        <v>42439</v>
      </c>
      <c r="T10" s="291">
        <v>35749000000</v>
      </c>
      <c r="U10" s="214">
        <v>45362</v>
      </c>
      <c r="V10" s="199">
        <f t="shared" si="1"/>
        <v>20255400000</v>
      </c>
      <c r="W10" s="214">
        <v>39386</v>
      </c>
      <c r="X10" s="199">
        <f t="shared" si="2"/>
        <v>23221000000</v>
      </c>
      <c r="Y10" s="214">
        <v>40633</v>
      </c>
      <c r="Z10" s="199">
        <f t="shared" si="3"/>
        <v>21890000000</v>
      </c>
      <c r="AA10" s="214">
        <v>42439</v>
      </c>
      <c r="AB10" s="199">
        <f t="shared" si="4"/>
        <v>35749000000</v>
      </c>
      <c r="AC10" s="214">
        <v>45362</v>
      </c>
      <c r="AD10" s="212" t="s">
        <v>39</v>
      </c>
      <c r="AE10" s="215" t="s">
        <v>879</v>
      </c>
      <c r="AF10" s="216" t="s">
        <v>68</v>
      </c>
      <c r="AG10" s="217" t="s">
        <v>68</v>
      </c>
      <c r="AH10" s="218" t="s">
        <v>887</v>
      </c>
      <c r="AI10" s="21" t="s">
        <v>887</v>
      </c>
      <c r="AJ10" s="202" t="s">
        <v>1121</v>
      </c>
      <c r="AK10" s="203" t="s">
        <v>1131</v>
      </c>
      <c r="AL10" s="198" t="s">
        <v>1136</v>
      </c>
      <c r="AM10" s="198" t="s">
        <v>1137</v>
      </c>
      <c r="AN10" s="198" t="s">
        <v>1138</v>
      </c>
      <c r="AO10" s="204">
        <v>1</v>
      </c>
      <c r="AP10" s="198" t="s">
        <v>1112</v>
      </c>
      <c r="AQ10" s="198"/>
      <c r="AR10" s="198"/>
    </row>
    <row r="11" spans="1:44">
      <c r="A11" s="208">
        <v>10</v>
      </c>
      <c r="B11" s="209" t="s">
        <v>25</v>
      </c>
      <c r="C11" s="209" t="s">
        <v>26</v>
      </c>
      <c r="D11" s="210" t="s">
        <v>32</v>
      </c>
      <c r="E11" s="210" t="s">
        <v>33</v>
      </c>
      <c r="F11" s="211" t="s">
        <v>62</v>
      </c>
      <c r="G11" s="211" t="s">
        <v>63</v>
      </c>
      <c r="H11" s="219" t="s">
        <v>1139</v>
      </c>
      <c r="I11" s="210" t="s">
        <v>57</v>
      </c>
      <c r="J11" s="210" t="s">
        <v>38</v>
      </c>
      <c r="K11" s="210" t="s">
        <v>28</v>
      </c>
      <c r="L11" s="210" t="s">
        <v>28</v>
      </c>
      <c r="M11" s="210" t="s">
        <v>38</v>
      </c>
      <c r="N11" s="291">
        <v>29304000000.000004</v>
      </c>
      <c r="O11" s="214">
        <v>39440</v>
      </c>
      <c r="P11" s="292">
        <v>0</v>
      </c>
      <c r="Q11" s="210" t="s">
        <v>28</v>
      </c>
      <c r="R11" s="291">
        <v>21036000000</v>
      </c>
      <c r="S11" s="214">
        <v>42517</v>
      </c>
      <c r="T11" s="293">
        <v>0</v>
      </c>
      <c r="U11" s="214" t="s">
        <v>28</v>
      </c>
      <c r="V11" s="199">
        <f t="shared" si="1"/>
        <v>29304000000.000004</v>
      </c>
      <c r="W11" s="214">
        <v>39440</v>
      </c>
      <c r="X11" s="199">
        <f t="shared" si="2"/>
        <v>0</v>
      </c>
      <c r="Y11" s="210" t="s">
        <v>28</v>
      </c>
      <c r="Z11" s="199">
        <f t="shared" si="3"/>
        <v>21036000000</v>
      </c>
      <c r="AA11" s="214">
        <v>42517</v>
      </c>
      <c r="AB11" s="199">
        <f t="shared" si="4"/>
        <v>0</v>
      </c>
      <c r="AC11" s="214" t="s">
        <v>28</v>
      </c>
      <c r="AD11" s="212" t="s">
        <v>65</v>
      </c>
      <c r="AE11" s="215" t="s">
        <v>879</v>
      </c>
      <c r="AF11" s="216" t="s">
        <v>68</v>
      </c>
      <c r="AG11" s="217" t="s">
        <v>68</v>
      </c>
      <c r="AH11" s="218" t="s">
        <v>887</v>
      </c>
      <c r="AI11" s="21" t="s">
        <v>887</v>
      </c>
      <c r="AJ11" s="202" t="s">
        <v>1121</v>
      </c>
      <c r="AK11" s="203" t="s">
        <v>1131</v>
      </c>
      <c r="AL11" s="198" t="s">
        <v>1140</v>
      </c>
      <c r="AM11" s="198" t="s">
        <v>1141</v>
      </c>
      <c r="AN11" s="198" t="s">
        <v>1142</v>
      </c>
      <c r="AO11" s="204">
        <v>1</v>
      </c>
      <c r="AP11" s="198" t="s">
        <v>1112</v>
      </c>
      <c r="AQ11" s="198"/>
      <c r="AR11" s="198"/>
    </row>
    <row r="12" spans="1:44">
      <c r="A12" s="208">
        <v>12</v>
      </c>
      <c r="B12" s="209" t="s">
        <v>25</v>
      </c>
      <c r="C12" s="209" t="s">
        <v>26</v>
      </c>
      <c r="D12" s="210" t="s">
        <v>32</v>
      </c>
      <c r="E12" s="210" t="s">
        <v>33</v>
      </c>
      <c r="F12" s="211" t="s">
        <v>69</v>
      </c>
      <c r="G12" s="211" t="s">
        <v>70</v>
      </c>
      <c r="H12" s="219" t="s">
        <v>1143</v>
      </c>
      <c r="I12" s="210" t="s">
        <v>53</v>
      </c>
      <c r="J12" s="210" t="s">
        <v>38</v>
      </c>
      <c r="K12" s="210" t="s">
        <v>28</v>
      </c>
      <c r="L12" s="210" t="s">
        <v>28</v>
      </c>
      <c r="M12" s="210" t="s">
        <v>38</v>
      </c>
      <c r="N12" s="291">
        <v>0</v>
      </c>
      <c r="O12" s="210" t="s">
        <v>28</v>
      </c>
      <c r="P12" s="292">
        <v>4967668603</v>
      </c>
      <c r="Q12" s="294">
        <v>41481</v>
      </c>
      <c r="R12" s="291">
        <v>9655000000</v>
      </c>
      <c r="S12" s="214">
        <v>42662</v>
      </c>
      <c r="T12" s="291">
        <v>12209000000</v>
      </c>
      <c r="U12" s="214">
        <v>45282</v>
      </c>
      <c r="V12" s="199">
        <f t="shared" si="1"/>
        <v>0</v>
      </c>
      <c r="W12" s="210" t="s">
        <v>28</v>
      </c>
      <c r="X12" s="199">
        <f t="shared" si="2"/>
        <v>4967668603</v>
      </c>
      <c r="Y12" s="294">
        <v>41481</v>
      </c>
      <c r="Z12" s="199">
        <f t="shared" si="3"/>
        <v>9655000000</v>
      </c>
      <c r="AA12" s="214">
        <v>42662</v>
      </c>
      <c r="AB12" s="199">
        <f t="shared" si="4"/>
        <v>12209000000</v>
      </c>
      <c r="AC12" s="214">
        <v>45282</v>
      </c>
      <c r="AD12" s="211" t="s">
        <v>72</v>
      </c>
      <c r="AE12" s="220" t="s">
        <v>880</v>
      </c>
      <c r="AF12" s="216" t="s">
        <v>887</v>
      </c>
      <c r="AG12" s="217" t="s">
        <v>68</v>
      </c>
      <c r="AH12" s="218" t="s">
        <v>887</v>
      </c>
      <c r="AI12" s="21" t="s">
        <v>887</v>
      </c>
      <c r="AJ12" s="202" t="s">
        <v>1121</v>
      </c>
      <c r="AK12" s="203" t="s">
        <v>1144</v>
      </c>
      <c r="AL12" s="198"/>
      <c r="AM12" s="198" t="s">
        <v>1123</v>
      </c>
      <c r="AN12" s="198" t="s">
        <v>1124</v>
      </c>
      <c r="AO12" s="204">
        <v>1</v>
      </c>
      <c r="AP12" s="295" t="s">
        <v>1299</v>
      </c>
      <c r="AQ12" s="198"/>
      <c r="AR12" s="198"/>
    </row>
    <row r="13" spans="1:44">
      <c r="A13" s="208">
        <v>13</v>
      </c>
      <c r="B13" s="209" t="s">
        <v>25</v>
      </c>
      <c r="C13" s="209" t="s">
        <v>26</v>
      </c>
      <c r="D13" s="210" t="s">
        <v>32</v>
      </c>
      <c r="E13" s="210" t="s">
        <v>33</v>
      </c>
      <c r="F13" s="211" t="s">
        <v>73</v>
      </c>
      <c r="G13" s="211" t="s">
        <v>74</v>
      </c>
      <c r="H13" s="219" t="s">
        <v>1145</v>
      </c>
      <c r="I13" s="210" t="s">
        <v>53</v>
      </c>
      <c r="J13" s="210" t="s">
        <v>38</v>
      </c>
      <c r="K13" s="210" t="s">
        <v>28</v>
      </c>
      <c r="L13" s="210" t="s">
        <v>28</v>
      </c>
      <c r="M13" s="210" t="s">
        <v>38</v>
      </c>
      <c r="N13" s="291">
        <v>0</v>
      </c>
      <c r="O13" s="210" t="s">
        <v>28</v>
      </c>
      <c r="P13" s="292">
        <v>0</v>
      </c>
      <c r="Q13" s="210" t="s">
        <v>28</v>
      </c>
      <c r="R13" s="292">
        <v>682000000</v>
      </c>
      <c r="S13" s="214" t="s">
        <v>28</v>
      </c>
      <c r="T13" s="293">
        <v>0</v>
      </c>
      <c r="U13" s="214" t="s">
        <v>28</v>
      </c>
      <c r="V13" s="199">
        <f t="shared" si="1"/>
        <v>0</v>
      </c>
      <c r="W13" s="210" t="s">
        <v>28</v>
      </c>
      <c r="X13" s="199">
        <f t="shared" si="2"/>
        <v>0</v>
      </c>
      <c r="Y13" s="210" t="s">
        <v>28</v>
      </c>
      <c r="Z13" s="199">
        <f t="shared" si="3"/>
        <v>682000000</v>
      </c>
      <c r="AA13" s="214" t="s">
        <v>28</v>
      </c>
      <c r="AB13" s="199">
        <f t="shared" si="4"/>
        <v>0</v>
      </c>
      <c r="AC13" s="214" t="s">
        <v>28</v>
      </c>
      <c r="AD13" s="211" t="s">
        <v>72</v>
      </c>
      <c r="AE13" s="220" t="s">
        <v>879</v>
      </c>
      <c r="AF13" s="216" t="s">
        <v>887</v>
      </c>
      <c r="AG13" s="217" t="s">
        <v>68</v>
      </c>
      <c r="AH13" s="218" t="s">
        <v>887</v>
      </c>
      <c r="AI13" s="21" t="s">
        <v>887</v>
      </c>
      <c r="AJ13" s="202" t="s">
        <v>1121</v>
      </c>
      <c r="AK13" s="203" t="s">
        <v>1144</v>
      </c>
      <c r="AL13" s="198"/>
      <c r="AM13" s="198" t="s">
        <v>1123</v>
      </c>
      <c r="AN13" s="198" t="s">
        <v>1124</v>
      </c>
      <c r="AO13" s="204">
        <v>1</v>
      </c>
      <c r="AP13" s="198" t="s">
        <v>1112</v>
      </c>
      <c r="AQ13" s="198"/>
      <c r="AR13" s="198"/>
    </row>
    <row r="14" spans="1:44" s="231" customFormat="1">
      <c r="A14" s="208">
        <v>14</v>
      </c>
      <c r="B14" s="213" t="s">
        <v>25</v>
      </c>
      <c r="C14" s="213" t="s">
        <v>26</v>
      </c>
      <c r="D14" s="221" t="s">
        <v>32</v>
      </c>
      <c r="E14" s="221" t="s">
        <v>33</v>
      </c>
      <c r="F14" s="222" t="s">
        <v>76</v>
      </c>
      <c r="G14" s="222" t="s">
        <v>77</v>
      </c>
      <c r="H14" s="223" t="s">
        <v>1146</v>
      </c>
      <c r="I14" s="221" t="s">
        <v>37</v>
      </c>
      <c r="J14" s="221" t="s">
        <v>38</v>
      </c>
      <c r="K14" s="221" t="s">
        <v>28</v>
      </c>
      <c r="L14" s="221" t="s">
        <v>28</v>
      </c>
      <c r="M14" s="221" t="s">
        <v>38</v>
      </c>
      <c r="N14" s="296">
        <v>0</v>
      </c>
      <c r="O14" s="221" t="s">
        <v>28</v>
      </c>
      <c r="P14" s="296">
        <v>8162000000</v>
      </c>
      <c r="Q14" s="224">
        <v>40739</v>
      </c>
      <c r="R14" s="296">
        <v>6465000000</v>
      </c>
      <c r="S14" s="224">
        <v>42478</v>
      </c>
      <c r="T14" s="296">
        <v>10670000000</v>
      </c>
      <c r="U14" s="224">
        <v>45442</v>
      </c>
      <c r="V14" s="199">
        <f t="shared" si="1"/>
        <v>0</v>
      </c>
      <c r="W14" s="221" t="s">
        <v>28</v>
      </c>
      <c r="X14" s="199">
        <f t="shared" si="2"/>
        <v>6529600000</v>
      </c>
      <c r="Y14" s="224">
        <v>40739</v>
      </c>
      <c r="Z14" s="199">
        <f t="shared" si="3"/>
        <v>5172000000</v>
      </c>
      <c r="AA14" s="224">
        <v>42478</v>
      </c>
      <c r="AB14" s="199">
        <f t="shared" si="4"/>
        <v>8536000000</v>
      </c>
      <c r="AC14" s="224">
        <v>45442</v>
      </c>
      <c r="AD14" s="225" t="s">
        <v>79</v>
      </c>
      <c r="AE14" s="226" t="s">
        <v>882</v>
      </c>
      <c r="AF14" s="227" t="s">
        <v>887</v>
      </c>
      <c r="AG14" s="228" t="s">
        <v>894</v>
      </c>
      <c r="AH14" s="229" t="s">
        <v>887</v>
      </c>
      <c r="AI14" s="230" t="s">
        <v>887</v>
      </c>
      <c r="AJ14" s="202" t="s">
        <v>1147</v>
      </c>
      <c r="AK14" s="203" t="s">
        <v>1148</v>
      </c>
      <c r="AL14" s="198" t="s">
        <v>1149</v>
      </c>
      <c r="AM14" s="198" t="s">
        <v>1150</v>
      </c>
      <c r="AN14" s="198" t="s">
        <v>1151</v>
      </c>
      <c r="AO14" s="204">
        <v>0.8</v>
      </c>
      <c r="AP14" s="295" t="s">
        <v>1299</v>
      </c>
      <c r="AQ14" s="198"/>
      <c r="AR14" s="198"/>
    </row>
    <row r="15" spans="1:44">
      <c r="A15" s="208">
        <v>15</v>
      </c>
      <c r="B15" s="209" t="s">
        <v>25</v>
      </c>
      <c r="C15" s="209" t="s">
        <v>26</v>
      </c>
      <c r="D15" s="210" t="s">
        <v>32</v>
      </c>
      <c r="E15" s="210" t="s">
        <v>33</v>
      </c>
      <c r="F15" s="211" t="s">
        <v>80</v>
      </c>
      <c r="G15" s="211" t="s">
        <v>81</v>
      </c>
      <c r="H15" s="219" t="s">
        <v>1153</v>
      </c>
      <c r="I15" s="210" t="s">
        <v>53</v>
      </c>
      <c r="J15" s="210" t="s">
        <v>38</v>
      </c>
      <c r="K15" s="210" t="s">
        <v>28</v>
      </c>
      <c r="L15" s="210" t="s">
        <v>28</v>
      </c>
      <c r="M15" s="210" t="s">
        <v>38</v>
      </c>
      <c r="N15" s="291">
        <v>0</v>
      </c>
      <c r="O15" s="210" t="s">
        <v>28</v>
      </c>
      <c r="P15" s="291">
        <v>5868500000</v>
      </c>
      <c r="Q15" s="214">
        <v>40765</v>
      </c>
      <c r="R15" s="292">
        <v>0</v>
      </c>
      <c r="S15" s="214" t="s">
        <v>28</v>
      </c>
      <c r="T15" s="291">
        <v>8542000000</v>
      </c>
      <c r="U15" s="214">
        <v>45537</v>
      </c>
      <c r="V15" s="199">
        <f t="shared" si="1"/>
        <v>0</v>
      </c>
      <c r="W15" s="210" t="s">
        <v>28</v>
      </c>
      <c r="X15" s="199">
        <f t="shared" si="2"/>
        <v>5868500000</v>
      </c>
      <c r="Y15" s="214">
        <v>40765</v>
      </c>
      <c r="Z15" s="199">
        <f t="shared" si="3"/>
        <v>0</v>
      </c>
      <c r="AA15" s="214" t="s">
        <v>28</v>
      </c>
      <c r="AB15" s="199">
        <f t="shared" si="4"/>
        <v>8542000000</v>
      </c>
      <c r="AC15" s="214">
        <v>45537</v>
      </c>
      <c r="AD15" s="212" t="s">
        <v>79</v>
      </c>
      <c r="AE15" s="220" t="s">
        <v>883</v>
      </c>
      <c r="AF15" s="216" t="s">
        <v>887</v>
      </c>
      <c r="AG15" s="217" t="s">
        <v>68</v>
      </c>
      <c r="AH15" s="218" t="s">
        <v>887</v>
      </c>
      <c r="AI15" s="21" t="s">
        <v>887</v>
      </c>
      <c r="AJ15" s="202" t="s">
        <v>1121</v>
      </c>
      <c r="AK15" s="203" t="s">
        <v>1144</v>
      </c>
      <c r="AL15" s="198"/>
      <c r="AM15" s="198" t="s">
        <v>1123</v>
      </c>
      <c r="AN15" s="198" t="s">
        <v>1124</v>
      </c>
      <c r="AO15" s="204">
        <v>1</v>
      </c>
      <c r="AP15" s="295" t="s">
        <v>1299</v>
      </c>
      <c r="AQ15" s="198"/>
      <c r="AR15" s="198"/>
    </row>
    <row r="16" spans="1:44">
      <c r="A16" s="208">
        <v>27</v>
      </c>
      <c r="B16" s="209" t="s">
        <v>25</v>
      </c>
      <c r="C16" s="209" t="s">
        <v>26</v>
      </c>
      <c r="D16" s="210" t="s">
        <v>32</v>
      </c>
      <c r="E16" s="210" t="s">
        <v>33</v>
      </c>
      <c r="F16" s="211" t="s">
        <v>107</v>
      </c>
      <c r="G16" s="211" t="s">
        <v>108</v>
      </c>
      <c r="H16" s="219" t="s">
        <v>109</v>
      </c>
      <c r="I16" s="210" t="s">
        <v>53</v>
      </c>
      <c r="J16" s="210" t="s">
        <v>38</v>
      </c>
      <c r="K16" s="210" t="s">
        <v>28</v>
      </c>
      <c r="L16" s="210" t="s">
        <v>28</v>
      </c>
      <c r="M16" s="210" t="s">
        <v>38</v>
      </c>
      <c r="N16" s="291">
        <v>0</v>
      </c>
      <c r="O16" s="210" t="s">
        <v>28</v>
      </c>
      <c r="P16" s="292">
        <v>0</v>
      </c>
      <c r="Q16" s="210" t="s">
        <v>28</v>
      </c>
      <c r="R16" s="291">
        <v>7065000000</v>
      </c>
      <c r="S16" s="214">
        <v>43752</v>
      </c>
      <c r="T16" s="293">
        <v>0</v>
      </c>
      <c r="U16" s="214" t="s">
        <v>28</v>
      </c>
      <c r="V16" s="199">
        <f t="shared" si="1"/>
        <v>0</v>
      </c>
      <c r="W16" s="210" t="s">
        <v>28</v>
      </c>
      <c r="X16" s="199">
        <f t="shared" si="2"/>
        <v>0</v>
      </c>
      <c r="Y16" s="210" t="s">
        <v>28</v>
      </c>
      <c r="Z16" s="199">
        <f t="shared" si="3"/>
        <v>7065000000</v>
      </c>
      <c r="AA16" s="214">
        <v>43752</v>
      </c>
      <c r="AB16" s="199">
        <f t="shared" si="4"/>
        <v>0</v>
      </c>
      <c r="AC16" s="214" t="s">
        <v>28</v>
      </c>
      <c r="AD16" s="212" t="s">
        <v>65</v>
      </c>
      <c r="AE16" s="220" t="s">
        <v>879</v>
      </c>
      <c r="AF16" s="216" t="s">
        <v>887</v>
      </c>
      <c r="AG16" s="217" t="s">
        <v>68</v>
      </c>
      <c r="AH16" s="218" t="s">
        <v>887</v>
      </c>
      <c r="AI16" s="21" t="s">
        <v>887</v>
      </c>
      <c r="AJ16" s="202" t="s">
        <v>1121</v>
      </c>
      <c r="AK16" s="203" t="s">
        <v>1144</v>
      </c>
      <c r="AL16" s="198"/>
      <c r="AM16" s="198" t="s">
        <v>1123</v>
      </c>
      <c r="AN16" s="198" t="s">
        <v>1124</v>
      </c>
      <c r="AO16" s="204">
        <v>1</v>
      </c>
      <c r="AP16" s="198" t="s">
        <v>1112</v>
      </c>
      <c r="AQ16" s="198"/>
      <c r="AR16" s="198"/>
    </row>
    <row r="17" spans="1:44">
      <c r="A17" s="205">
        <v>29</v>
      </c>
      <c r="B17" s="8" t="s">
        <v>25</v>
      </c>
      <c r="C17" s="8" t="s">
        <v>26</v>
      </c>
      <c r="D17" s="12" t="s">
        <v>32</v>
      </c>
      <c r="E17" s="12" t="s">
        <v>110</v>
      </c>
      <c r="F17" s="34" t="s">
        <v>113</v>
      </c>
      <c r="G17" s="34" t="s">
        <v>114</v>
      </c>
      <c r="H17" s="36" t="s">
        <v>115</v>
      </c>
      <c r="I17" s="12" t="s">
        <v>53</v>
      </c>
      <c r="J17" s="12" t="s">
        <v>38</v>
      </c>
      <c r="K17" s="12" t="s">
        <v>28</v>
      </c>
      <c r="L17" s="12" t="s">
        <v>28</v>
      </c>
      <c r="M17" s="12" t="s">
        <v>38</v>
      </c>
      <c r="N17" s="9">
        <v>0</v>
      </c>
      <c r="O17" s="12" t="s">
        <v>28</v>
      </c>
      <c r="P17" s="35">
        <v>0</v>
      </c>
      <c r="Q17" s="12" t="s">
        <v>28</v>
      </c>
      <c r="R17" s="35">
        <v>2061532000.0000002</v>
      </c>
      <c r="S17" s="10">
        <v>42443</v>
      </c>
      <c r="T17" s="37">
        <v>0</v>
      </c>
      <c r="U17" s="10" t="s">
        <v>28</v>
      </c>
      <c r="V17" s="199">
        <f t="shared" si="1"/>
        <v>0</v>
      </c>
      <c r="W17" s="12" t="s">
        <v>28</v>
      </c>
      <c r="X17" s="199">
        <f t="shared" si="2"/>
        <v>0</v>
      </c>
      <c r="Y17" s="12" t="s">
        <v>28</v>
      </c>
      <c r="Z17" s="199">
        <f t="shared" si="3"/>
        <v>2061532000.0000002</v>
      </c>
      <c r="AA17" s="10">
        <v>42443</v>
      </c>
      <c r="AB17" s="199">
        <f t="shared" si="4"/>
        <v>0</v>
      </c>
      <c r="AC17" s="10" t="s">
        <v>28</v>
      </c>
      <c r="AD17" s="11" t="s">
        <v>65</v>
      </c>
      <c r="AE17" s="15" t="s">
        <v>880</v>
      </c>
      <c r="AF17" s="21" t="s">
        <v>887</v>
      </c>
      <c r="AG17" s="67" t="s">
        <v>68</v>
      </c>
      <c r="AH17" s="33" t="s">
        <v>887</v>
      </c>
      <c r="AI17" s="21" t="s">
        <v>887</v>
      </c>
      <c r="AJ17" s="202" t="s">
        <v>1121</v>
      </c>
      <c r="AK17" s="203" t="s">
        <v>1144</v>
      </c>
      <c r="AL17" s="198"/>
      <c r="AM17" s="198" t="s">
        <v>1123</v>
      </c>
      <c r="AN17" s="198" t="s">
        <v>1124</v>
      </c>
      <c r="AO17" s="204">
        <v>1</v>
      </c>
      <c r="AP17" s="198" t="s">
        <v>1112</v>
      </c>
      <c r="AQ17" s="198"/>
      <c r="AR17" s="198"/>
    </row>
    <row r="18" spans="1:44">
      <c r="A18" s="205">
        <v>45</v>
      </c>
      <c r="B18" s="8" t="s">
        <v>25</v>
      </c>
      <c r="C18" s="8" t="s">
        <v>26</v>
      </c>
      <c r="D18" s="12" t="s">
        <v>32</v>
      </c>
      <c r="E18" s="12" t="s">
        <v>110</v>
      </c>
      <c r="F18" s="34" t="s">
        <v>148</v>
      </c>
      <c r="G18" s="34" t="s">
        <v>149</v>
      </c>
      <c r="H18" s="36" t="s">
        <v>150</v>
      </c>
      <c r="I18" s="12" t="s">
        <v>53</v>
      </c>
      <c r="J18" s="12" t="s">
        <v>38</v>
      </c>
      <c r="K18" s="12" t="s">
        <v>28</v>
      </c>
      <c r="L18" s="12" t="s">
        <v>28</v>
      </c>
      <c r="M18" s="12" t="s">
        <v>38</v>
      </c>
      <c r="N18" s="9">
        <v>0</v>
      </c>
      <c r="O18" s="12" t="s">
        <v>28</v>
      </c>
      <c r="P18" s="35">
        <v>0</v>
      </c>
      <c r="Q18" s="12" t="s">
        <v>28</v>
      </c>
      <c r="R18" s="35">
        <v>308457303</v>
      </c>
      <c r="S18" s="10">
        <v>44028</v>
      </c>
      <c r="T18" s="37">
        <v>0</v>
      </c>
      <c r="U18" s="10" t="s">
        <v>28</v>
      </c>
      <c r="V18" s="199">
        <f t="shared" si="1"/>
        <v>0</v>
      </c>
      <c r="W18" s="12" t="s">
        <v>28</v>
      </c>
      <c r="X18" s="199">
        <f t="shared" si="2"/>
        <v>0</v>
      </c>
      <c r="Y18" s="12" t="s">
        <v>28</v>
      </c>
      <c r="Z18" s="199">
        <f t="shared" si="3"/>
        <v>308457303</v>
      </c>
      <c r="AA18" s="10">
        <v>44028</v>
      </c>
      <c r="AB18" s="199">
        <f t="shared" si="4"/>
        <v>0</v>
      </c>
      <c r="AC18" s="10" t="s">
        <v>28</v>
      </c>
      <c r="AD18" s="34" t="s">
        <v>151</v>
      </c>
      <c r="AE18" s="15" t="s">
        <v>880</v>
      </c>
      <c r="AF18" s="21" t="s">
        <v>887</v>
      </c>
      <c r="AG18" s="67" t="s">
        <v>68</v>
      </c>
      <c r="AH18" s="33" t="s">
        <v>887</v>
      </c>
      <c r="AI18" s="21" t="s">
        <v>887</v>
      </c>
      <c r="AJ18" s="202" t="s">
        <v>1121</v>
      </c>
      <c r="AK18" s="203" t="s">
        <v>1154</v>
      </c>
      <c r="AL18" s="198"/>
      <c r="AM18" s="198" t="s">
        <v>1123</v>
      </c>
      <c r="AN18" s="198" t="s">
        <v>1124</v>
      </c>
      <c r="AO18" s="204">
        <v>1</v>
      </c>
      <c r="AP18" s="198" t="s">
        <v>1112</v>
      </c>
      <c r="AQ18" s="198"/>
      <c r="AR18" s="198"/>
    </row>
    <row r="19" spans="1:44">
      <c r="A19" s="232">
        <v>66</v>
      </c>
      <c r="B19" s="233" t="s">
        <v>25</v>
      </c>
      <c r="C19" s="233" t="s">
        <v>26</v>
      </c>
      <c r="D19" s="234" t="s">
        <v>32</v>
      </c>
      <c r="E19" s="234" t="s">
        <v>194</v>
      </c>
      <c r="F19" s="235" t="s">
        <v>195</v>
      </c>
      <c r="G19" s="235" t="s">
        <v>196</v>
      </c>
      <c r="H19" s="236" t="s">
        <v>197</v>
      </c>
      <c r="I19" s="234" t="s">
        <v>118</v>
      </c>
      <c r="J19" s="234" t="s">
        <v>38</v>
      </c>
      <c r="K19" s="234" t="s">
        <v>28</v>
      </c>
      <c r="L19" s="234" t="s">
        <v>28</v>
      </c>
      <c r="M19" s="234" t="s">
        <v>38</v>
      </c>
      <c r="N19" s="297">
        <v>0</v>
      </c>
      <c r="O19" s="234" t="s">
        <v>28</v>
      </c>
      <c r="P19" s="297">
        <v>43450000000</v>
      </c>
      <c r="Q19" s="237">
        <v>40571</v>
      </c>
      <c r="R19" s="297">
        <v>32010000000</v>
      </c>
      <c r="S19" s="237">
        <v>42667</v>
      </c>
      <c r="T19" s="298">
        <v>0</v>
      </c>
      <c r="U19" s="237" t="s">
        <v>28</v>
      </c>
      <c r="V19" s="199">
        <f t="shared" si="1"/>
        <v>0</v>
      </c>
      <c r="W19" s="234" t="s">
        <v>28</v>
      </c>
      <c r="X19" s="199">
        <f t="shared" si="2"/>
        <v>43450000000</v>
      </c>
      <c r="Y19" s="237">
        <v>40571</v>
      </c>
      <c r="Z19" s="199">
        <f t="shared" si="3"/>
        <v>32010000000</v>
      </c>
      <c r="AA19" s="237">
        <v>42667</v>
      </c>
      <c r="AB19" s="199">
        <f t="shared" si="4"/>
        <v>0</v>
      </c>
      <c r="AC19" s="237" t="s">
        <v>28</v>
      </c>
      <c r="AD19" s="235" t="s">
        <v>198</v>
      </c>
      <c r="AE19" s="238" t="s">
        <v>884</v>
      </c>
      <c r="AF19" s="239" t="s">
        <v>887</v>
      </c>
      <c r="AG19" s="240" t="s">
        <v>68</v>
      </c>
      <c r="AH19" s="241" t="s">
        <v>887</v>
      </c>
      <c r="AI19" s="21" t="s">
        <v>887</v>
      </c>
      <c r="AJ19" s="206" t="s">
        <v>1115</v>
      </c>
      <c r="AK19" s="207" t="s">
        <v>1155</v>
      </c>
      <c r="AL19" s="198" t="s">
        <v>1156</v>
      </c>
      <c r="AM19" s="198" t="s">
        <v>1157</v>
      </c>
      <c r="AN19" s="198" t="s">
        <v>1158</v>
      </c>
      <c r="AO19" s="204">
        <v>1</v>
      </c>
      <c r="AP19" s="198" t="s">
        <v>1120</v>
      </c>
      <c r="AQ19" s="198"/>
      <c r="AR19" s="198"/>
    </row>
    <row r="20" spans="1:44">
      <c r="A20" s="232">
        <v>67</v>
      </c>
      <c r="B20" s="233" t="s">
        <v>25</v>
      </c>
      <c r="C20" s="233" t="s">
        <v>26</v>
      </c>
      <c r="D20" s="234" t="s">
        <v>32</v>
      </c>
      <c r="E20" s="234" t="s">
        <v>194</v>
      </c>
      <c r="F20" s="235" t="s">
        <v>199</v>
      </c>
      <c r="G20" s="235" t="s">
        <v>200</v>
      </c>
      <c r="H20" s="236" t="s">
        <v>201</v>
      </c>
      <c r="I20" s="234" t="s">
        <v>118</v>
      </c>
      <c r="J20" s="234" t="s">
        <v>38</v>
      </c>
      <c r="K20" s="234" t="s">
        <v>28</v>
      </c>
      <c r="L20" s="234" t="s">
        <v>28</v>
      </c>
      <c r="M20" s="234" t="s">
        <v>38</v>
      </c>
      <c r="N20" s="297">
        <v>0</v>
      </c>
      <c r="O20" s="234" t="s">
        <v>28</v>
      </c>
      <c r="P20" s="299">
        <v>0</v>
      </c>
      <c r="Q20" s="234" t="s">
        <v>28</v>
      </c>
      <c r="R20" s="297">
        <v>6886000000</v>
      </c>
      <c r="S20" s="237">
        <v>42522</v>
      </c>
      <c r="T20" s="298">
        <v>0</v>
      </c>
      <c r="U20" s="237" t="s">
        <v>28</v>
      </c>
      <c r="V20" s="199">
        <f t="shared" si="1"/>
        <v>0</v>
      </c>
      <c r="W20" s="234" t="s">
        <v>28</v>
      </c>
      <c r="X20" s="199">
        <f t="shared" si="2"/>
        <v>0</v>
      </c>
      <c r="Y20" s="234" t="s">
        <v>28</v>
      </c>
      <c r="Z20" s="199">
        <f t="shared" si="3"/>
        <v>6886000000</v>
      </c>
      <c r="AA20" s="237">
        <v>42522</v>
      </c>
      <c r="AB20" s="199">
        <f t="shared" si="4"/>
        <v>0</v>
      </c>
      <c r="AC20" s="237" t="s">
        <v>28</v>
      </c>
      <c r="AD20" s="235" t="s">
        <v>65</v>
      </c>
      <c r="AE20" s="238" t="s">
        <v>884</v>
      </c>
      <c r="AF20" s="239" t="s">
        <v>887</v>
      </c>
      <c r="AG20" s="240" t="s">
        <v>68</v>
      </c>
      <c r="AH20" s="241" t="s">
        <v>887</v>
      </c>
      <c r="AI20" s="21" t="s">
        <v>887</v>
      </c>
      <c r="AJ20" s="206" t="s">
        <v>1115</v>
      </c>
      <c r="AK20" s="207" t="s">
        <v>1155</v>
      </c>
      <c r="AL20" s="198" t="s">
        <v>1156</v>
      </c>
      <c r="AM20" s="198" t="s">
        <v>1157</v>
      </c>
      <c r="AN20" s="198" t="s">
        <v>1158</v>
      </c>
      <c r="AO20" s="204">
        <v>1</v>
      </c>
      <c r="AP20" s="198" t="s">
        <v>1120</v>
      </c>
      <c r="AQ20" s="198"/>
      <c r="AR20" s="198"/>
    </row>
    <row r="21" spans="1:44">
      <c r="A21" s="232">
        <v>68</v>
      </c>
      <c r="B21" s="233" t="s">
        <v>25</v>
      </c>
      <c r="C21" s="233" t="s">
        <v>26</v>
      </c>
      <c r="D21" s="234" t="s">
        <v>32</v>
      </c>
      <c r="E21" s="234" t="s">
        <v>194</v>
      </c>
      <c r="F21" s="235" t="s">
        <v>202</v>
      </c>
      <c r="G21" s="235" t="s">
        <v>203</v>
      </c>
      <c r="H21" s="236" t="s">
        <v>204</v>
      </c>
      <c r="I21" s="234" t="s">
        <v>118</v>
      </c>
      <c r="J21" s="234" t="s">
        <v>38</v>
      </c>
      <c r="K21" s="234" t="s">
        <v>28</v>
      </c>
      <c r="L21" s="234" t="s">
        <v>28</v>
      </c>
      <c r="M21" s="234" t="s">
        <v>38</v>
      </c>
      <c r="N21" s="297">
        <v>0</v>
      </c>
      <c r="O21" s="234" t="s">
        <v>28</v>
      </c>
      <c r="P21" s="299">
        <v>0</v>
      </c>
      <c r="Q21" s="234" t="s">
        <v>28</v>
      </c>
      <c r="R21" s="297">
        <v>5308000000</v>
      </c>
      <c r="S21" s="237">
        <v>42761</v>
      </c>
      <c r="T21" s="298">
        <v>0</v>
      </c>
      <c r="U21" s="237" t="s">
        <v>28</v>
      </c>
      <c r="V21" s="199">
        <f t="shared" si="1"/>
        <v>0</v>
      </c>
      <c r="W21" s="234" t="s">
        <v>28</v>
      </c>
      <c r="X21" s="199">
        <f t="shared" si="2"/>
        <v>0</v>
      </c>
      <c r="Y21" s="234" t="s">
        <v>28</v>
      </c>
      <c r="Z21" s="199">
        <f t="shared" si="3"/>
        <v>5308000000</v>
      </c>
      <c r="AA21" s="237">
        <v>42761</v>
      </c>
      <c r="AB21" s="199">
        <f t="shared" si="4"/>
        <v>0</v>
      </c>
      <c r="AC21" s="237" t="s">
        <v>28</v>
      </c>
      <c r="AD21" s="235" t="s">
        <v>205</v>
      </c>
      <c r="AE21" s="238" t="s">
        <v>884</v>
      </c>
      <c r="AF21" s="239" t="s">
        <v>887</v>
      </c>
      <c r="AG21" s="240" t="s">
        <v>68</v>
      </c>
      <c r="AH21" s="241" t="s">
        <v>887</v>
      </c>
      <c r="AI21" s="21" t="s">
        <v>887</v>
      </c>
      <c r="AJ21" s="202" t="s">
        <v>1159</v>
      </c>
      <c r="AK21" s="203" t="s">
        <v>1160</v>
      </c>
      <c r="AL21" s="198" t="s">
        <v>1161</v>
      </c>
      <c r="AM21" s="198" t="s">
        <v>1162</v>
      </c>
      <c r="AN21" s="198" t="s">
        <v>1163</v>
      </c>
      <c r="AO21" s="204">
        <v>1</v>
      </c>
      <c r="AP21" s="200" t="s">
        <v>1164</v>
      </c>
      <c r="AQ21" s="198"/>
      <c r="AR21" s="198"/>
    </row>
    <row r="22" spans="1:44">
      <c r="A22" s="232">
        <v>69</v>
      </c>
      <c r="B22" s="233" t="s">
        <v>25</v>
      </c>
      <c r="C22" s="233" t="s">
        <v>26</v>
      </c>
      <c r="D22" s="234" t="s">
        <v>32</v>
      </c>
      <c r="E22" s="234" t="s">
        <v>194</v>
      </c>
      <c r="F22" s="235" t="s">
        <v>206</v>
      </c>
      <c r="G22" s="235" t="s">
        <v>207</v>
      </c>
      <c r="H22" s="236" t="s">
        <v>208</v>
      </c>
      <c r="I22" s="234" t="s">
        <v>125</v>
      </c>
      <c r="J22" s="234" t="s">
        <v>38</v>
      </c>
      <c r="K22" s="234" t="s">
        <v>28</v>
      </c>
      <c r="L22" s="234" t="s">
        <v>28</v>
      </c>
      <c r="M22" s="234" t="s">
        <v>38</v>
      </c>
      <c r="N22" s="297">
        <v>0</v>
      </c>
      <c r="O22" s="234" t="s">
        <v>28</v>
      </c>
      <c r="P22" s="299">
        <v>3569316000</v>
      </c>
      <c r="Q22" s="300">
        <v>40497</v>
      </c>
      <c r="R22" s="297">
        <v>7865000000</v>
      </c>
      <c r="S22" s="237">
        <v>42571</v>
      </c>
      <c r="T22" s="298">
        <v>0</v>
      </c>
      <c r="U22" s="237" t="s">
        <v>28</v>
      </c>
      <c r="V22" s="199">
        <f t="shared" si="1"/>
        <v>0</v>
      </c>
      <c r="W22" s="234" t="s">
        <v>28</v>
      </c>
      <c r="X22" s="199">
        <f t="shared" si="2"/>
        <v>3569316000</v>
      </c>
      <c r="Y22" s="300">
        <v>40497</v>
      </c>
      <c r="Z22" s="199">
        <f t="shared" si="3"/>
        <v>7865000000</v>
      </c>
      <c r="AA22" s="237">
        <v>42571</v>
      </c>
      <c r="AB22" s="199">
        <f t="shared" si="4"/>
        <v>0</v>
      </c>
      <c r="AC22" s="237" t="s">
        <v>28</v>
      </c>
      <c r="AD22" s="235" t="s">
        <v>65</v>
      </c>
      <c r="AE22" s="238" t="s">
        <v>883</v>
      </c>
      <c r="AF22" s="239" t="s">
        <v>887</v>
      </c>
      <c r="AG22" s="240" t="s">
        <v>68</v>
      </c>
      <c r="AH22" s="241" t="s">
        <v>887</v>
      </c>
      <c r="AI22" s="21" t="s">
        <v>887</v>
      </c>
      <c r="AJ22" s="206" t="s">
        <v>1115</v>
      </c>
      <c r="AK22" s="207" t="s">
        <v>1165</v>
      </c>
      <c r="AL22" s="198" t="s">
        <v>1166</v>
      </c>
      <c r="AM22" s="198" t="s">
        <v>1167</v>
      </c>
      <c r="AN22" s="198" t="s">
        <v>1168</v>
      </c>
      <c r="AO22" s="204">
        <v>1</v>
      </c>
      <c r="AP22" s="198" t="s">
        <v>1120</v>
      </c>
      <c r="AQ22" s="198"/>
      <c r="AR22" s="198"/>
    </row>
    <row r="23" spans="1:44">
      <c r="A23" s="232">
        <v>70</v>
      </c>
      <c r="B23" s="233" t="s">
        <v>25</v>
      </c>
      <c r="C23" s="233" t="s">
        <v>26</v>
      </c>
      <c r="D23" s="234" t="s">
        <v>32</v>
      </c>
      <c r="E23" s="234" t="s">
        <v>194</v>
      </c>
      <c r="F23" s="235" t="s">
        <v>209</v>
      </c>
      <c r="G23" s="235" t="s">
        <v>210</v>
      </c>
      <c r="H23" s="236" t="s">
        <v>211</v>
      </c>
      <c r="I23" s="234" t="s">
        <v>53</v>
      </c>
      <c r="J23" s="234" t="s">
        <v>38</v>
      </c>
      <c r="K23" s="234" t="s">
        <v>28</v>
      </c>
      <c r="L23" s="234" t="s">
        <v>28</v>
      </c>
      <c r="M23" s="234" t="s">
        <v>38</v>
      </c>
      <c r="N23" s="297">
        <v>0</v>
      </c>
      <c r="O23" s="234" t="s">
        <v>28</v>
      </c>
      <c r="P23" s="299">
        <v>0</v>
      </c>
      <c r="Q23" s="234" t="s">
        <v>28</v>
      </c>
      <c r="R23" s="299">
        <v>863500000.00000012</v>
      </c>
      <c r="S23" s="237">
        <v>42489</v>
      </c>
      <c r="T23" s="298">
        <v>0</v>
      </c>
      <c r="U23" s="237" t="s">
        <v>28</v>
      </c>
      <c r="V23" s="199">
        <f t="shared" si="1"/>
        <v>0</v>
      </c>
      <c r="W23" s="234" t="s">
        <v>28</v>
      </c>
      <c r="X23" s="199">
        <f t="shared" si="2"/>
        <v>0</v>
      </c>
      <c r="Y23" s="234" t="s">
        <v>28</v>
      </c>
      <c r="Z23" s="199">
        <f t="shared" si="3"/>
        <v>863500000.00000012</v>
      </c>
      <c r="AA23" s="237">
        <v>42489</v>
      </c>
      <c r="AB23" s="199">
        <f t="shared" si="4"/>
        <v>0</v>
      </c>
      <c r="AC23" s="237" t="s">
        <v>28</v>
      </c>
      <c r="AD23" s="235" t="s">
        <v>65</v>
      </c>
      <c r="AE23" s="238" t="s">
        <v>883</v>
      </c>
      <c r="AF23" s="239" t="s">
        <v>887</v>
      </c>
      <c r="AG23" s="240" t="s">
        <v>68</v>
      </c>
      <c r="AH23" s="241" t="s">
        <v>887</v>
      </c>
      <c r="AI23" s="21" t="s">
        <v>887</v>
      </c>
      <c r="AJ23" s="206" t="s">
        <v>1115</v>
      </c>
      <c r="AK23" s="207" t="s">
        <v>1165</v>
      </c>
      <c r="AL23" s="198" t="s">
        <v>1166</v>
      </c>
      <c r="AM23" s="198" t="s">
        <v>1167</v>
      </c>
      <c r="AN23" s="198" t="s">
        <v>1168</v>
      </c>
      <c r="AO23" s="204">
        <v>1</v>
      </c>
      <c r="AP23" s="198" t="s">
        <v>1120</v>
      </c>
      <c r="AQ23" s="198"/>
      <c r="AR23" s="198"/>
    </row>
    <row r="24" spans="1:44">
      <c r="A24" s="232">
        <v>71</v>
      </c>
      <c r="B24" s="233" t="s">
        <v>25</v>
      </c>
      <c r="C24" s="233" t="s">
        <v>26</v>
      </c>
      <c r="D24" s="234" t="s">
        <v>32</v>
      </c>
      <c r="E24" s="234" t="s">
        <v>194</v>
      </c>
      <c r="F24" s="235" t="s">
        <v>212</v>
      </c>
      <c r="G24" s="235" t="s">
        <v>213</v>
      </c>
      <c r="H24" s="236" t="s">
        <v>214</v>
      </c>
      <c r="I24" s="234" t="s">
        <v>118</v>
      </c>
      <c r="J24" s="234" t="s">
        <v>38</v>
      </c>
      <c r="K24" s="234" t="s">
        <v>28</v>
      </c>
      <c r="L24" s="234" t="s">
        <v>28</v>
      </c>
      <c r="M24" s="234" t="s">
        <v>38</v>
      </c>
      <c r="N24" s="297">
        <v>22965442500</v>
      </c>
      <c r="O24" s="237">
        <v>40277</v>
      </c>
      <c r="P24" s="297">
        <v>19874800000</v>
      </c>
      <c r="Q24" s="237">
        <v>40730</v>
      </c>
      <c r="R24" s="297">
        <v>26290000000</v>
      </c>
      <c r="S24" s="237">
        <v>42667</v>
      </c>
      <c r="T24" s="298">
        <v>0</v>
      </c>
      <c r="U24" s="237" t="s">
        <v>28</v>
      </c>
      <c r="V24" s="199">
        <f t="shared" si="1"/>
        <v>22965442500</v>
      </c>
      <c r="W24" s="237">
        <v>40277</v>
      </c>
      <c r="X24" s="199">
        <f t="shared" si="2"/>
        <v>19874800000</v>
      </c>
      <c r="Y24" s="237">
        <v>40730</v>
      </c>
      <c r="Z24" s="199">
        <f t="shared" si="3"/>
        <v>26290000000</v>
      </c>
      <c r="AA24" s="237">
        <v>42667</v>
      </c>
      <c r="AB24" s="199">
        <f t="shared" si="4"/>
        <v>0</v>
      </c>
      <c r="AC24" s="237" t="s">
        <v>28</v>
      </c>
      <c r="AD24" s="235" t="s">
        <v>65</v>
      </c>
      <c r="AE24" s="238" t="s">
        <v>883</v>
      </c>
      <c r="AF24" s="239" t="s">
        <v>887</v>
      </c>
      <c r="AG24" s="240" t="s">
        <v>68</v>
      </c>
      <c r="AH24" s="241" t="s">
        <v>887</v>
      </c>
      <c r="AI24" s="21" t="s">
        <v>887</v>
      </c>
      <c r="AJ24" s="206" t="s">
        <v>1115</v>
      </c>
      <c r="AK24" s="207" t="s">
        <v>1116</v>
      </c>
      <c r="AL24" s="198" t="s">
        <v>1169</v>
      </c>
      <c r="AM24" s="198" t="s">
        <v>1170</v>
      </c>
      <c r="AN24" s="198" t="s">
        <v>1171</v>
      </c>
      <c r="AO24" s="204">
        <v>1</v>
      </c>
      <c r="AP24" s="198" t="s">
        <v>1120</v>
      </c>
      <c r="AQ24" s="198"/>
      <c r="AR24" s="198"/>
    </row>
    <row r="25" spans="1:44">
      <c r="A25" s="232">
        <v>72</v>
      </c>
      <c r="B25" s="233" t="s">
        <v>25</v>
      </c>
      <c r="C25" s="233" t="s">
        <v>26</v>
      </c>
      <c r="D25" s="234" t="s">
        <v>32</v>
      </c>
      <c r="E25" s="234" t="s">
        <v>194</v>
      </c>
      <c r="F25" s="235" t="s">
        <v>215</v>
      </c>
      <c r="G25" s="235" t="s">
        <v>216</v>
      </c>
      <c r="H25" s="236" t="s">
        <v>217</v>
      </c>
      <c r="I25" s="234" t="s">
        <v>37</v>
      </c>
      <c r="J25" s="234" t="s">
        <v>38</v>
      </c>
      <c r="K25" s="234" t="s">
        <v>28</v>
      </c>
      <c r="L25" s="234" t="s">
        <v>28</v>
      </c>
      <c r="M25" s="234" t="s">
        <v>38</v>
      </c>
      <c r="N25" s="297">
        <v>12760000000.000002</v>
      </c>
      <c r="O25" s="237">
        <v>39713</v>
      </c>
      <c r="P25" s="299">
        <v>0</v>
      </c>
      <c r="Q25" s="234" t="s">
        <v>28</v>
      </c>
      <c r="R25" s="297">
        <v>27344000000</v>
      </c>
      <c r="S25" s="237">
        <v>43109</v>
      </c>
      <c r="T25" s="297">
        <v>29645000000</v>
      </c>
      <c r="U25" s="237">
        <v>45546</v>
      </c>
      <c r="V25" s="199">
        <f t="shared" si="1"/>
        <v>12760000000.000002</v>
      </c>
      <c r="W25" s="237">
        <v>39713</v>
      </c>
      <c r="X25" s="199">
        <f t="shared" si="2"/>
        <v>0</v>
      </c>
      <c r="Y25" s="234" t="s">
        <v>28</v>
      </c>
      <c r="Z25" s="199">
        <f t="shared" si="3"/>
        <v>27344000000</v>
      </c>
      <c r="AA25" s="237">
        <v>43109</v>
      </c>
      <c r="AB25" s="199">
        <f t="shared" si="4"/>
        <v>29645000000</v>
      </c>
      <c r="AC25" s="237">
        <v>45546</v>
      </c>
      <c r="AD25" s="235" t="s">
        <v>65</v>
      </c>
      <c r="AE25" s="238" t="s">
        <v>883</v>
      </c>
      <c r="AF25" s="239" t="s">
        <v>887</v>
      </c>
      <c r="AG25" s="240" t="s">
        <v>68</v>
      </c>
      <c r="AH25" s="241" t="s">
        <v>887</v>
      </c>
      <c r="AI25" s="21" t="s">
        <v>887</v>
      </c>
      <c r="AJ25" s="206" t="s">
        <v>1115</v>
      </c>
      <c r="AK25" s="207" t="s">
        <v>1165</v>
      </c>
      <c r="AL25" s="198" t="s">
        <v>1166</v>
      </c>
      <c r="AM25" s="198" t="s">
        <v>1167</v>
      </c>
      <c r="AN25" s="198" t="s">
        <v>1168</v>
      </c>
      <c r="AO25" s="204">
        <v>1</v>
      </c>
      <c r="AP25" s="198" t="s">
        <v>1120</v>
      </c>
      <c r="AQ25" s="198"/>
      <c r="AR25" s="198"/>
    </row>
    <row r="26" spans="1:44">
      <c r="A26" s="232">
        <v>73</v>
      </c>
      <c r="B26" s="233" t="s">
        <v>25</v>
      </c>
      <c r="C26" s="233" t="s">
        <v>26</v>
      </c>
      <c r="D26" s="234" t="s">
        <v>32</v>
      </c>
      <c r="E26" s="234" t="s">
        <v>194</v>
      </c>
      <c r="F26" s="235" t="s">
        <v>218</v>
      </c>
      <c r="G26" s="235" t="s">
        <v>219</v>
      </c>
      <c r="H26" s="236" t="s">
        <v>220</v>
      </c>
      <c r="I26" s="234" t="s">
        <v>125</v>
      </c>
      <c r="J26" s="234" t="s">
        <v>38</v>
      </c>
      <c r="K26" s="234" t="s">
        <v>28</v>
      </c>
      <c r="L26" s="234" t="s">
        <v>28</v>
      </c>
      <c r="M26" s="234" t="s">
        <v>38</v>
      </c>
      <c r="N26" s="297">
        <v>13486000000.000002</v>
      </c>
      <c r="O26" s="237">
        <v>39619</v>
      </c>
      <c r="P26" s="297">
        <v>13673000000.000002</v>
      </c>
      <c r="Q26" s="237">
        <v>40417</v>
      </c>
      <c r="R26" s="297">
        <v>14569000000</v>
      </c>
      <c r="S26" s="237">
        <v>42528</v>
      </c>
      <c r="T26" s="298">
        <v>0</v>
      </c>
      <c r="U26" s="237" t="s">
        <v>28</v>
      </c>
      <c r="V26" s="199">
        <f t="shared" si="1"/>
        <v>13486000000.000002</v>
      </c>
      <c r="W26" s="237">
        <v>39619</v>
      </c>
      <c r="X26" s="199">
        <f t="shared" si="2"/>
        <v>13673000000.000002</v>
      </c>
      <c r="Y26" s="237">
        <v>40417</v>
      </c>
      <c r="Z26" s="199">
        <f t="shared" si="3"/>
        <v>14569000000</v>
      </c>
      <c r="AA26" s="237">
        <v>42528</v>
      </c>
      <c r="AB26" s="199">
        <f t="shared" si="4"/>
        <v>0</v>
      </c>
      <c r="AC26" s="237" t="s">
        <v>28</v>
      </c>
      <c r="AD26" s="235" t="s">
        <v>65</v>
      </c>
      <c r="AE26" s="238" t="s">
        <v>884</v>
      </c>
      <c r="AF26" s="239" t="s">
        <v>887</v>
      </c>
      <c r="AG26" s="240" t="s">
        <v>68</v>
      </c>
      <c r="AH26" s="241" t="s">
        <v>887</v>
      </c>
      <c r="AI26" s="21" t="s">
        <v>887</v>
      </c>
      <c r="AJ26" s="206" t="s">
        <v>1115</v>
      </c>
      <c r="AK26" s="207" t="s">
        <v>1165</v>
      </c>
      <c r="AL26" s="198" t="s">
        <v>1166</v>
      </c>
      <c r="AM26" s="198" t="s">
        <v>1167</v>
      </c>
      <c r="AN26" s="198" t="s">
        <v>1168</v>
      </c>
      <c r="AO26" s="204">
        <v>1</v>
      </c>
      <c r="AP26" s="198" t="s">
        <v>1120</v>
      </c>
      <c r="AQ26" s="198"/>
      <c r="AR26" s="198"/>
    </row>
    <row r="27" spans="1:44">
      <c r="A27" s="232">
        <v>74</v>
      </c>
      <c r="B27" s="233" t="s">
        <v>25</v>
      </c>
      <c r="C27" s="233" t="s">
        <v>26</v>
      </c>
      <c r="D27" s="234" t="s">
        <v>32</v>
      </c>
      <c r="E27" s="234" t="s">
        <v>194</v>
      </c>
      <c r="F27" s="235" t="s">
        <v>221</v>
      </c>
      <c r="G27" s="235" t="s">
        <v>222</v>
      </c>
      <c r="H27" s="236" t="s">
        <v>223</v>
      </c>
      <c r="I27" s="234" t="s">
        <v>53</v>
      </c>
      <c r="J27" s="234" t="s">
        <v>38</v>
      </c>
      <c r="K27" s="234" t="s">
        <v>28</v>
      </c>
      <c r="L27" s="234" t="s">
        <v>28</v>
      </c>
      <c r="M27" s="234" t="s">
        <v>38</v>
      </c>
      <c r="N27" s="297">
        <v>0</v>
      </c>
      <c r="O27" s="234" t="s">
        <v>28</v>
      </c>
      <c r="P27" s="299">
        <v>0</v>
      </c>
      <c r="Q27" s="234" t="s">
        <v>28</v>
      </c>
      <c r="R27" s="299">
        <v>805200000.00000012</v>
      </c>
      <c r="S27" s="237">
        <v>42517</v>
      </c>
      <c r="T27" s="298">
        <v>0</v>
      </c>
      <c r="U27" s="237" t="s">
        <v>28</v>
      </c>
      <c r="V27" s="199">
        <f t="shared" si="1"/>
        <v>0</v>
      </c>
      <c r="W27" s="234" t="s">
        <v>28</v>
      </c>
      <c r="X27" s="199">
        <f t="shared" si="2"/>
        <v>0</v>
      </c>
      <c r="Y27" s="234" t="s">
        <v>28</v>
      </c>
      <c r="Z27" s="199">
        <f t="shared" si="3"/>
        <v>805200000.00000012</v>
      </c>
      <c r="AA27" s="237">
        <v>42517</v>
      </c>
      <c r="AB27" s="199">
        <f t="shared" si="4"/>
        <v>0</v>
      </c>
      <c r="AC27" s="237" t="s">
        <v>28</v>
      </c>
      <c r="AD27" s="235" t="s">
        <v>65</v>
      </c>
      <c r="AE27" s="238" t="s">
        <v>884</v>
      </c>
      <c r="AF27" s="239" t="s">
        <v>887</v>
      </c>
      <c r="AG27" s="240" t="s">
        <v>68</v>
      </c>
      <c r="AH27" s="241" t="s">
        <v>887</v>
      </c>
      <c r="AI27" s="21" t="s">
        <v>887</v>
      </c>
      <c r="AJ27" s="206" t="s">
        <v>1115</v>
      </c>
      <c r="AK27" s="207" t="s">
        <v>1155</v>
      </c>
      <c r="AL27" s="198" t="s">
        <v>1172</v>
      </c>
      <c r="AM27" s="198" t="s">
        <v>1173</v>
      </c>
      <c r="AN27" s="198" t="s">
        <v>1174</v>
      </c>
      <c r="AO27" s="204">
        <v>1</v>
      </c>
      <c r="AP27" s="198" t="s">
        <v>1120</v>
      </c>
      <c r="AQ27" s="198"/>
      <c r="AR27" s="198"/>
    </row>
    <row r="28" spans="1:44">
      <c r="A28" s="232">
        <v>75</v>
      </c>
      <c r="B28" s="233" t="s">
        <v>25</v>
      </c>
      <c r="C28" s="233" t="s">
        <v>26</v>
      </c>
      <c r="D28" s="234" t="s">
        <v>32</v>
      </c>
      <c r="E28" s="234" t="s">
        <v>194</v>
      </c>
      <c r="F28" s="235" t="s">
        <v>224</v>
      </c>
      <c r="G28" s="235" t="s">
        <v>225</v>
      </c>
      <c r="H28" s="236" t="s">
        <v>226</v>
      </c>
      <c r="I28" s="234" t="s">
        <v>227</v>
      </c>
      <c r="J28" s="234" t="s">
        <v>38</v>
      </c>
      <c r="K28" s="234" t="s">
        <v>28</v>
      </c>
      <c r="L28" s="234" t="s">
        <v>28</v>
      </c>
      <c r="M28" s="234" t="s">
        <v>38</v>
      </c>
      <c r="N28" s="297">
        <v>0</v>
      </c>
      <c r="O28" s="234" t="s">
        <v>28</v>
      </c>
      <c r="P28" s="299">
        <v>0</v>
      </c>
      <c r="Q28" s="234" t="s">
        <v>28</v>
      </c>
      <c r="R28" s="299">
        <v>0</v>
      </c>
      <c r="S28" s="237" t="s">
        <v>28</v>
      </c>
      <c r="T28" s="297">
        <v>5225000000</v>
      </c>
      <c r="U28" s="237">
        <v>45526</v>
      </c>
      <c r="V28" s="199">
        <f t="shared" si="1"/>
        <v>0</v>
      </c>
      <c r="W28" s="234" t="s">
        <v>28</v>
      </c>
      <c r="X28" s="199">
        <f t="shared" si="2"/>
        <v>0</v>
      </c>
      <c r="Y28" s="234" t="s">
        <v>28</v>
      </c>
      <c r="Z28" s="199">
        <f t="shared" si="3"/>
        <v>0</v>
      </c>
      <c r="AA28" s="237" t="s">
        <v>28</v>
      </c>
      <c r="AB28" s="199">
        <f t="shared" si="4"/>
        <v>5225000000</v>
      </c>
      <c r="AC28" s="237">
        <v>45526</v>
      </c>
      <c r="AD28" s="235" t="s">
        <v>65</v>
      </c>
      <c r="AE28" s="238" t="s">
        <v>880</v>
      </c>
      <c r="AF28" s="239" t="s">
        <v>887</v>
      </c>
      <c r="AG28" s="240" t="s">
        <v>68</v>
      </c>
      <c r="AH28" s="241" t="s">
        <v>887</v>
      </c>
      <c r="AI28" s="21" t="s">
        <v>887</v>
      </c>
      <c r="AJ28" s="202" t="s">
        <v>1121</v>
      </c>
      <c r="AK28" s="203" t="s">
        <v>1144</v>
      </c>
      <c r="AL28" s="198"/>
      <c r="AM28" s="198" t="s">
        <v>1123</v>
      </c>
      <c r="AN28" s="198" t="s">
        <v>1124</v>
      </c>
      <c r="AO28" s="204">
        <v>1</v>
      </c>
      <c r="AP28" s="198" t="s">
        <v>1112</v>
      </c>
      <c r="AQ28" s="198"/>
      <c r="AR28" s="198"/>
    </row>
    <row r="29" spans="1:44">
      <c r="A29" s="232">
        <v>76</v>
      </c>
      <c r="B29" s="233" t="s">
        <v>25</v>
      </c>
      <c r="C29" s="233" t="s">
        <v>26</v>
      </c>
      <c r="D29" s="234" t="s">
        <v>32</v>
      </c>
      <c r="E29" s="234" t="s">
        <v>194</v>
      </c>
      <c r="F29" s="235" t="s">
        <v>228</v>
      </c>
      <c r="G29" s="235" t="s">
        <v>229</v>
      </c>
      <c r="H29" s="236" t="s">
        <v>230</v>
      </c>
      <c r="I29" s="234" t="s">
        <v>61</v>
      </c>
      <c r="J29" s="234" t="s">
        <v>38</v>
      </c>
      <c r="K29" s="234" t="s">
        <v>28</v>
      </c>
      <c r="L29" s="234" t="s">
        <v>28</v>
      </c>
      <c r="M29" s="234" t="s">
        <v>38</v>
      </c>
      <c r="N29" s="297">
        <v>0</v>
      </c>
      <c r="O29" s="234" t="s">
        <v>28</v>
      </c>
      <c r="P29" s="299">
        <v>0</v>
      </c>
      <c r="Q29" s="234" t="s">
        <v>28</v>
      </c>
      <c r="R29" s="299">
        <v>1311200000</v>
      </c>
      <c r="S29" s="237">
        <v>42543</v>
      </c>
      <c r="T29" s="298">
        <v>1509970000.0000002</v>
      </c>
      <c r="U29" s="237">
        <v>45309</v>
      </c>
      <c r="V29" s="199">
        <f t="shared" si="1"/>
        <v>0</v>
      </c>
      <c r="W29" s="234" t="s">
        <v>28</v>
      </c>
      <c r="X29" s="199">
        <f t="shared" si="2"/>
        <v>0</v>
      </c>
      <c r="Y29" s="234" t="s">
        <v>28</v>
      </c>
      <c r="Z29" s="199">
        <f t="shared" si="3"/>
        <v>1311200000</v>
      </c>
      <c r="AA29" s="237">
        <v>42543</v>
      </c>
      <c r="AB29" s="199">
        <f t="shared" si="4"/>
        <v>1509970000.0000002</v>
      </c>
      <c r="AC29" s="237">
        <v>45309</v>
      </c>
      <c r="AD29" s="235" t="s">
        <v>65</v>
      </c>
      <c r="AE29" s="238" t="s">
        <v>880</v>
      </c>
      <c r="AF29" s="239" t="s">
        <v>887</v>
      </c>
      <c r="AG29" s="240" t="s">
        <v>68</v>
      </c>
      <c r="AH29" s="241" t="s">
        <v>887</v>
      </c>
      <c r="AI29" s="21" t="s">
        <v>887</v>
      </c>
      <c r="AJ29" s="202" t="s">
        <v>1121</v>
      </c>
      <c r="AK29" s="203" t="s">
        <v>1144</v>
      </c>
      <c r="AL29" s="198"/>
      <c r="AM29" s="198" t="s">
        <v>1123</v>
      </c>
      <c r="AN29" s="198" t="s">
        <v>1124</v>
      </c>
      <c r="AO29" s="204">
        <v>1</v>
      </c>
      <c r="AP29" s="198" t="s">
        <v>1112</v>
      </c>
      <c r="AQ29" s="198"/>
      <c r="AR29" s="198"/>
    </row>
    <row r="30" spans="1:44">
      <c r="A30" s="232">
        <v>77</v>
      </c>
      <c r="B30" s="233" t="s">
        <v>25</v>
      </c>
      <c r="C30" s="233" t="s">
        <v>26</v>
      </c>
      <c r="D30" s="234" t="s">
        <v>32</v>
      </c>
      <c r="E30" s="234" t="s">
        <v>194</v>
      </c>
      <c r="F30" s="235" t="s">
        <v>231</v>
      </c>
      <c r="G30" s="235" t="s">
        <v>232</v>
      </c>
      <c r="H30" s="236" t="s">
        <v>233</v>
      </c>
      <c r="I30" s="234" t="s">
        <v>118</v>
      </c>
      <c r="J30" s="234" t="s">
        <v>38</v>
      </c>
      <c r="K30" s="234" t="s">
        <v>28</v>
      </c>
      <c r="L30" s="234" t="s">
        <v>28</v>
      </c>
      <c r="M30" s="234" t="s">
        <v>38</v>
      </c>
      <c r="N30" s="297">
        <v>0</v>
      </c>
      <c r="O30" s="234" t="s">
        <v>28</v>
      </c>
      <c r="P30" s="299">
        <v>0</v>
      </c>
      <c r="Q30" s="234" t="s">
        <v>28</v>
      </c>
      <c r="R30" s="299">
        <v>1234013000</v>
      </c>
      <c r="S30" s="237">
        <v>42366</v>
      </c>
      <c r="T30" s="298">
        <v>2530000000</v>
      </c>
      <c r="U30" s="237">
        <v>45667</v>
      </c>
      <c r="V30" s="199">
        <f t="shared" si="1"/>
        <v>0</v>
      </c>
      <c r="W30" s="234" t="s">
        <v>28</v>
      </c>
      <c r="X30" s="199">
        <f t="shared" si="2"/>
        <v>0</v>
      </c>
      <c r="Y30" s="234" t="s">
        <v>28</v>
      </c>
      <c r="Z30" s="199">
        <f t="shared" si="3"/>
        <v>1234013000</v>
      </c>
      <c r="AA30" s="237">
        <v>42366</v>
      </c>
      <c r="AB30" s="199">
        <f t="shared" si="4"/>
        <v>2530000000</v>
      </c>
      <c r="AC30" s="237">
        <v>45667</v>
      </c>
      <c r="AD30" s="235" t="s">
        <v>65</v>
      </c>
      <c r="AE30" s="238" t="s">
        <v>880</v>
      </c>
      <c r="AF30" s="239" t="s">
        <v>887</v>
      </c>
      <c r="AG30" s="240" t="s">
        <v>68</v>
      </c>
      <c r="AH30" s="241" t="s">
        <v>887</v>
      </c>
      <c r="AI30" s="21" t="s">
        <v>887</v>
      </c>
      <c r="AJ30" s="202" t="s">
        <v>1121</v>
      </c>
      <c r="AK30" s="203" t="s">
        <v>1144</v>
      </c>
      <c r="AL30" s="198"/>
      <c r="AM30" s="198" t="s">
        <v>1123</v>
      </c>
      <c r="AN30" s="198" t="s">
        <v>1124</v>
      </c>
      <c r="AO30" s="204">
        <v>1</v>
      </c>
      <c r="AP30" s="198" t="s">
        <v>1112</v>
      </c>
      <c r="AQ30" s="198"/>
      <c r="AR30" s="198"/>
    </row>
    <row r="31" spans="1:44">
      <c r="A31" s="232">
        <v>78</v>
      </c>
      <c r="B31" s="233" t="s">
        <v>25</v>
      </c>
      <c r="C31" s="233" t="s">
        <v>26</v>
      </c>
      <c r="D31" s="234" t="s">
        <v>32</v>
      </c>
      <c r="E31" s="234" t="s">
        <v>194</v>
      </c>
      <c r="F31" s="235" t="s">
        <v>234</v>
      </c>
      <c r="G31" s="235" t="s">
        <v>235</v>
      </c>
      <c r="H31" s="236" t="s">
        <v>236</v>
      </c>
      <c r="I31" s="234" t="s">
        <v>53</v>
      </c>
      <c r="J31" s="234" t="s">
        <v>38</v>
      </c>
      <c r="K31" s="234" t="s">
        <v>28</v>
      </c>
      <c r="L31" s="234" t="s">
        <v>28</v>
      </c>
      <c r="M31" s="234" t="s">
        <v>38</v>
      </c>
      <c r="N31" s="297">
        <v>0</v>
      </c>
      <c r="O31" s="234" t="s">
        <v>28</v>
      </c>
      <c r="P31" s="299">
        <v>0</v>
      </c>
      <c r="Q31" s="234" t="s">
        <v>28</v>
      </c>
      <c r="R31" s="299">
        <v>619300000</v>
      </c>
      <c r="S31" s="237">
        <v>42474</v>
      </c>
      <c r="T31" s="298">
        <v>0</v>
      </c>
      <c r="U31" s="237" t="s">
        <v>28</v>
      </c>
      <c r="V31" s="199">
        <f t="shared" si="1"/>
        <v>0</v>
      </c>
      <c r="W31" s="234" t="s">
        <v>28</v>
      </c>
      <c r="X31" s="199">
        <f t="shared" si="2"/>
        <v>0</v>
      </c>
      <c r="Y31" s="234" t="s">
        <v>28</v>
      </c>
      <c r="Z31" s="199">
        <f t="shared" si="3"/>
        <v>619300000</v>
      </c>
      <c r="AA31" s="237">
        <v>42474</v>
      </c>
      <c r="AB31" s="199">
        <f t="shared" si="4"/>
        <v>0</v>
      </c>
      <c r="AC31" s="237" t="s">
        <v>28</v>
      </c>
      <c r="AD31" s="235" t="s">
        <v>65</v>
      </c>
      <c r="AE31" s="238" t="s">
        <v>880</v>
      </c>
      <c r="AF31" s="239" t="s">
        <v>887</v>
      </c>
      <c r="AG31" s="240" t="s">
        <v>68</v>
      </c>
      <c r="AH31" s="241" t="s">
        <v>887</v>
      </c>
      <c r="AI31" s="21" t="s">
        <v>887</v>
      </c>
      <c r="AJ31" s="202" t="s">
        <v>1121</v>
      </c>
      <c r="AK31" s="203" t="s">
        <v>1144</v>
      </c>
      <c r="AL31" s="198"/>
      <c r="AM31" s="198" t="s">
        <v>1123</v>
      </c>
      <c r="AN31" s="198" t="s">
        <v>1124</v>
      </c>
      <c r="AO31" s="204">
        <v>1</v>
      </c>
      <c r="AP31" s="198" t="s">
        <v>1112</v>
      </c>
      <c r="AQ31" s="198"/>
      <c r="AR31" s="198"/>
    </row>
    <row r="32" spans="1:44">
      <c r="A32" s="232">
        <v>79</v>
      </c>
      <c r="B32" s="233" t="s">
        <v>25</v>
      </c>
      <c r="C32" s="233" t="s">
        <v>26</v>
      </c>
      <c r="D32" s="234" t="s">
        <v>32</v>
      </c>
      <c r="E32" s="234" t="s">
        <v>194</v>
      </c>
      <c r="F32" s="235" t="s">
        <v>237</v>
      </c>
      <c r="G32" s="235" t="s">
        <v>238</v>
      </c>
      <c r="H32" s="236" t="s">
        <v>239</v>
      </c>
      <c r="I32" s="234" t="s">
        <v>125</v>
      </c>
      <c r="J32" s="234" t="s">
        <v>38</v>
      </c>
      <c r="K32" s="234" t="s">
        <v>28</v>
      </c>
      <c r="L32" s="234" t="s">
        <v>28</v>
      </c>
      <c r="M32" s="234" t="s">
        <v>38</v>
      </c>
      <c r="N32" s="297">
        <v>32351000000.000004</v>
      </c>
      <c r="O32" s="237">
        <v>39800</v>
      </c>
      <c r="P32" s="299">
        <v>0</v>
      </c>
      <c r="Q32" s="234" t="s">
        <v>28</v>
      </c>
      <c r="R32" s="297">
        <v>18641000000</v>
      </c>
      <c r="S32" s="237">
        <v>42674</v>
      </c>
      <c r="T32" s="297">
        <v>39358000000</v>
      </c>
      <c r="U32" s="237">
        <v>45449</v>
      </c>
      <c r="V32" s="199">
        <f t="shared" si="1"/>
        <v>32351000000.000004</v>
      </c>
      <c r="W32" s="237">
        <v>39800</v>
      </c>
      <c r="X32" s="199">
        <f t="shared" si="2"/>
        <v>0</v>
      </c>
      <c r="Y32" s="234" t="s">
        <v>28</v>
      </c>
      <c r="Z32" s="199">
        <f t="shared" si="3"/>
        <v>18641000000</v>
      </c>
      <c r="AA32" s="237">
        <v>42674</v>
      </c>
      <c r="AB32" s="199">
        <f t="shared" si="4"/>
        <v>39358000000</v>
      </c>
      <c r="AC32" s="237">
        <v>45449</v>
      </c>
      <c r="AD32" s="235" t="s">
        <v>65</v>
      </c>
      <c r="AE32" s="238" t="s">
        <v>880</v>
      </c>
      <c r="AF32" s="239" t="s">
        <v>887</v>
      </c>
      <c r="AG32" s="240" t="s">
        <v>68</v>
      </c>
      <c r="AH32" s="241" t="s">
        <v>887</v>
      </c>
      <c r="AI32" s="21" t="s">
        <v>887</v>
      </c>
      <c r="AJ32" s="206" t="s">
        <v>1115</v>
      </c>
      <c r="AK32" s="207" t="s">
        <v>1155</v>
      </c>
      <c r="AL32" s="198" t="s">
        <v>1175</v>
      </c>
      <c r="AM32" s="198" t="s">
        <v>1176</v>
      </c>
      <c r="AN32" s="198" t="s">
        <v>1177</v>
      </c>
      <c r="AO32" s="204">
        <v>1</v>
      </c>
      <c r="AP32" s="198" t="s">
        <v>1120</v>
      </c>
      <c r="AQ32" s="198"/>
      <c r="AR32" s="198"/>
    </row>
    <row r="33" spans="1:44">
      <c r="A33" s="232">
        <v>80</v>
      </c>
      <c r="B33" s="233" t="s">
        <v>25</v>
      </c>
      <c r="C33" s="233" t="s">
        <v>26</v>
      </c>
      <c r="D33" s="234" t="s">
        <v>32</v>
      </c>
      <c r="E33" s="234" t="s">
        <v>194</v>
      </c>
      <c r="F33" s="235" t="s">
        <v>240</v>
      </c>
      <c r="G33" s="235" t="s">
        <v>241</v>
      </c>
      <c r="H33" s="236" t="s">
        <v>242</v>
      </c>
      <c r="I33" s="234" t="s">
        <v>53</v>
      </c>
      <c r="J33" s="234" t="s">
        <v>38</v>
      </c>
      <c r="K33" s="234" t="s">
        <v>28</v>
      </c>
      <c r="L33" s="234" t="s">
        <v>28</v>
      </c>
      <c r="M33" s="234" t="s">
        <v>38</v>
      </c>
      <c r="N33" s="297">
        <v>0</v>
      </c>
      <c r="O33" s="234" t="s">
        <v>28</v>
      </c>
      <c r="P33" s="299">
        <v>0</v>
      </c>
      <c r="Q33" s="234" t="s">
        <v>28</v>
      </c>
      <c r="R33" s="299">
        <v>810999999.70000005</v>
      </c>
      <c r="S33" s="237">
        <v>43825</v>
      </c>
      <c r="T33" s="298">
        <v>0</v>
      </c>
      <c r="U33" s="237" t="s">
        <v>28</v>
      </c>
      <c r="V33" s="199">
        <f t="shared" si="1"/>
        <v>0</v>
      </c>
      <c r="W33" s="234" t="s">
        <v>28</v>
      </c>
      <c r="X33" s="199">
        <f t="shared" si="2"/>
        <v>0</v>
      </c>
      <c r="Y33" s="234" t="s">
        <v>28</v>
      </c>
      <c r="Z33" s="199">
        <f t="shared" si="3"/>
        <v>810999999.70000005</v>
      </c>
      <c r="AA33" s="237">
        <v>43825</v>
      </c>
      <c r="AB33" s="199">
        <f t="shared" si="4"/>
        <v>0</v>
      </c>
      <c r="AC33" s="237" t="s">
        <v>28</v>
      </c>
      <c r="AD33" s="235" t="s">
        <v>65</v>
      </c>
      <c r="AE33" s="238" t="s">
        <v>880</v>
      </c>
      <c r="AF33" s="239" t="s">
        <v>887</v>
      </c>
      <c r="AG33" s="240" t="s">
        <v>68</v>
      </c>
      <c r="AH33" s="241" t="s">
        <v>887</v>
      </c>
      <c r="AI33" s="21" t="s">
        <v>887</v>
      </c>
      <c r="AJ33" s="202" t="s">
        <v>1121</v>
      </c>
      <c r="AK33" s="203" t="s">
        <v>1144</v>
      </c>
      <c r="AL33" s="198"/>
      <c r="AM33" s="198" t="s">
        <v>1123</v>
      </c>
      <c r="AN33" s="198" t="s">
        <v>1124</v>
      </c>
      <c r="AO33" s="204">
        <v>1</v>
      </c>
      <c r="AP33" s="198" t="s">
        <v>1112</v>
      </c>
      <c r="AQ33" s="198"/>
      <c r="AR33" s="198"/>
    </row>
    <row r="34" spans="1:44">
      <c r="A34" s="232">
        <v>81</v>
      </c>
      <c r="B34" s="233" t="s">
        <v>25</v>
      </c>
      <c r="C34" s="233" t="s">
        <v>26</v>
      </c>
      <c r="D34" s="234" t="s">
        <v>32</v>
      </c>
      <c r="E34" s="234" t="s">
        <v>194</v>
      </c>
      <c r="F34" s="235" t="s">
        <v>243</v>
      </c>
      <c r="G34" s="235" t="s">
        <v>244</v>
      </c>
      <c r="H34" s="236" t="s">
        <v>245</v>
      </c>
      <c r="I34" s="234" t="s">
        <v>125</v>
      </c>
      <c r="J34" s="234" t="s">
        <v>38</v>
      </c>
      <c r="K34" s="234" t="s">
        <v>28</v>
      </c>
      <c r="L34" s="234" t="s">
        <v>28</v>
      </c>
      <c r="M34" s="234" t="s">
        <v>38</v>
      </c>
      <c r="N34" s="297">
        <v>0</v>
      </c>
      <c r="O34" s="234" t="s">
        <v>28</v>
      </c>
      <c r="P34" s="299">
        <v>0</v>
      </c>
      <c r="Q34" s="234" t="s">
        <v>28</v>
      </c>
      <c r="R34" s="299">
        <v>3175040000.0000005</v>
      </c>
      <c r="S34" s="237">
        <v>42674</v>
      </c>
      <c r="T34" s="298">
        <v>0</v>
      </c>
      <c r="U34" s="237" t="s">
        <v>28</v>
      </c>
      <c r="V34" s="199">
        <f t="shared" si="1"/>
        <v>0</v>
      </c>
      <c r="W34" s="234" t="s">
        <v>28</v>
      </c>
      <c r="X34" s="199">
        <f t="shared" si="2"/>
        <v>0</v>
      </c>
      <c r="Y34" s="234" t="s">
        <v>28</v>
      </c>
      <c r="Z34" s="199">
        <f t="shared" si="3"/>
        <v>3175040000.0000005</v>
      </c>
      <c r="AA34" s="237">
        <v>42674</v>
      </c>
      <c r="AB34" s="199">
        <f t="shared" si="4"/>
        <v>0</v>
      </c>
      <c r="AC34" s="237" t="s">
        <v>28</v>
      </c>
      <c r="AD34" s="235" t="s">
        <v>65</v>
      </c>
      <c r="AE34" s="238" t="s">
        <v>880</v>
      </c>
      <c r="AF34" s="239" t="s">
        <v>887</v>
      </c>
      <c r="AG34" s="240" t="s">
        <v>68</v>
      </c>
      <c r="AH34" s="241" t="s">
        <v>887</v>
      </c>
      <c r="AI34" s="21" t="s">
        <v>887</v>
      </c>
      <c r="AJ34" s="202" t="s">
        <v>1121</v>
      </c>
      <c r="AK34" s="203" t="s">
        <v>1144</v>
      </c>
      <c r="AL34" s="198"/>
      <c r="AM34" s="198" t="s">
        <v>1123</v>
      </c>
      <c r="AN34" s="198" t="s">
        <v>1124</v>
      </c>
      <c r="AO34" s="204">
        <v>1</v>
      </c>
      <c r="AP34" s="198" t="s">
        <v>1112</v>
      </c>
      <c r="AQ34" s="198"/>
      <c r="AR34" s="198"/>
    </row>
    <row r="35" spans="1:44">
      <c r="A35" s="242">
        <v>82</v>
      </c>
      <c r="B35" s="233" t="s">
        <v>25</v>
      </c>
      <c r="C35" s="233" t="s">
        <v>26</v>
      </c>
      <c r="D35" s="234" t="s">
        <v>32</v>
      </c>
      <c r="E35" s="234" t="s">
        <v>194</v>
      </c>
      <c r="F35" s="235" t="s">
        <v>246</v>
      </c>
      <c r="G35" s="235" t="s">
        <v>247</v>
      </c>
      <c r="H35" s="236" t="s">
        <v>248</v>
      </c>
      <c r="I35" s="234" t="s">
        <v>118</v>
      </c>
      <c r="J35" s="234" t="s">
        <v>38</v>
      </c>
      <c r="K35" s="234" t="s">
        <v>28</v>
      </c>
      <c r="L35" s="234" t="s">
        <v>28</v>
      </c>
      <c r="M35" s="234" t="s">
        <v>38</v>
      </c>
      <c r="N35" s="297">
        <v>0</v>
      </c>
      <c r="O35" s="234" t="s">
        <v>28</v>
      </c>
      <c r="P35" s="299">
        <v>0</v>
      </c>
      <c r="Q35" s="234" t="s">
        <v>28</v>
      </c>
      <c r="R35" s="297">
        <v>7425000000</v>
      </c>
      <c r="S35" s="237">
        <v>42564</v>
      </c>
      <c r="T35" s="298">
        <v>0</v>
      </c>
      <c r="U35" s="237" t="s">
        <v>28</v>
      </c>
      <c r="V35" s="199">
        <f t="shared" si="1"/>
        <v>0</v>
      </c>
      <c r="W35" s="234" t="s">
        <v>28</v>
      </c>
      <c r="X35" s="199">
        <f t="shared" si="2"/>
        <v>0</v>
      </c>
      <c r="Y35" s="234" t="s">
        <v>28</v>
      </c>
      <c r="Z35" s="199">
        <f t="shared" si="3"/>
        <v>7425000000</v>
      </c>
      <c r="AA35" s="237">
        <v>42564</v>
      </c>
      <c r="AB35" s="199">
        <f t="shared" si="4"/>
        <v>0</v>
      </c>
      <c r="AC35" s="237" t="s">
        <v>28</v>
      </c>
      <c r="AD35" s="235" t="s">
        <v>65</v>
      </c>
      <c r="AE35" s="238" t="s">
        <v>880</v>
      </c>
      <c r="AF35" s="239" t="s">
        <v>887</v>
      </c>
      <c r="AG35" s="240" t="s">
        <v>68</v>
      </c>
      <c r="AH35" s="241" t="s">
        <v>887</v>
      </c>
      <c r="AI35" s="21" t="s">
        <v>887</v>
      </c>
      <c r="AJ35" s="202" t="s">
        <v>1121</v>
      </c>
      <c r="AK35" s="203" t="s">
        <v>1178</v>
      </c>
      <c r="AL35" s="198"/>
      <c r="AM35" s="198"/>
      <c r="AN35" s="198"/>
      <c r="AO35" s="204">
        <v>1</v>
      </c>
      <c r="AP35" s="198" t="s">
        <v>1112</v>
      </c>
      <c r="AQ35" s="198"/>
      <c r="AR35" s="198"/>
    </row>
    <row r="36" spans="1:44" s="231" customFormat="1">
      <c r="A36" s="232">
        <v>83</v>
      </c>
      <c r="B36" s="243" t="s">
        <v>25</v>
      </c>
      <c r="C36" s="243" t="s">
        <v>26</v>
      </c>
      <c r="D36" s="244" t="s">
        <v>32</v>
      </c>
      <c r="E36" s="244" t="s">
        <v>194</v>
      </c>
      <c r="F36" s="245" t="s">
        <v>249</v>
      </c>
      <c r="G36" s="245" t="s">
        <v>250</v>
      </c>
      <c r="H36" s="246" t="s">
        <v>251</v>
      </c>
      <c r="I36" s="244" t="s">
        <v>57</v>
      </c>
      <c r="J36" s="244" t="s">
        <v>38</v>
      </c>
      <c r="K36" s="244" t="s">
        <v>28</v>
      </c>
      <c r="L36" s="244" t="s">
        <v>28</v>
      </c>
      <c r="M36" s="244" t="s">
        <v>38</v>
      </c>
      <c r="N36" s="301">
        <v>0</v>
      </c>
      <c r="O36" s="244" t="s">
        <v>28</v>
      </c>
      <c r="P36" s="302">
        <v>0</v>
      </c>
      <c r="Q36" s="244" t="s">
        <v>28</v>
      </c>
      <c r="R36" s="301">
        <v>9350000000</v>
      </c>
      <c r="S36" s="247">
        <v>42761</v>
      </c>
      <c r="T36" s="303">
        <v>0</v>
      </c>
      <c r="U36" s="247" t="s">
        <v>28</v>
      </c>
      <c r="V36" s="199">
        <f t="shared" si="1"/>
        <v>0</v>
      </c>
      <c r="W36" s="244" t="s">
        <v>28</v>
      </c>
      <c r="X36" s="199">
        <f t="shared" si="2"/>
        <v>0</v>
      </c>
      <c r="Y36" s="244" t="s">
        <v>28</v>
      </c>
      <c r="Z36" s="199">
        <f t="shared" si="3"/>
        <v>9350000000</v>
      </c>
      <c r="AA36" s="247">
        <v>42761</v>
      </c>
      <c r="AB36" s="199">
        <f t="shared" si="4"/>
        <v>0</v>
      </c>
      <c r="AC36" s="247" t="s">
        <v>28</v>
      </c>
      <c r="AD36" s="245" t="s">
        <v>65</v>
      </c>
      <c r="AE36" s="248" t="s">
        <v>880</v>
      </c>
      <c r="AF36" s="249" t="s">
        <v>887</v>
      </c>
      <c r="AG36" s="250" t="s">
        <v>895</v>
      </c>
      <c r="AH36" s="251" t="s">
        <v>887</v>
      </c>
      <c r="AI36" s="230" t="s">
        <v>887</v>
      </c>
      <c r="AJ36" s="202" t="s">
        <v>1147</v>
      </c>
      <c r="AK36" s="203" t="s">
        <v>1148</v>
      </c>
      <c r="AL36" s="198" t="s">
        <v>1149</v>
      </c>
      <c r="AM36" s="198" t="s">
        <v>1150</v>
      </c>
      <c r="AN36" s="198" t="s">
        <v>1151</v>
      </c>
      <c r="AO36" s="204">
        <v>1</v>
      </c>
      <c r="AP36" s="200" t="s">
        <v>1164</v>
      </c>
      <c r="AQ36" s="198"/>
      <c r="AR36" s="198"/>
    </row>
    <row r="37" spans="1:44">
      <c r="A37" s="232">
        <v>84</v>
      </c>
      <c r="B37" s="233" t="s">
        <v>25</v>
      </c>
      <c r="C37" s="233" t="s">
        <v>26</v>
      </c>
      <c r="D37" s="234" t="s">
        <v>32</v>
      </c>
      <c r="E37" s="234" t="s">
        <v>194</v>
      </c>
      <c r="F37" s="235" t="s">
        <v>252</v>
      </c>
      <c r="G37" s="235" t="s">
        <v>253</v>
      </c>
      <c r="H37" s="236" t="s">
        <v>254</v>
      </c>
      <c r="I37" s="234" t="s">
        <v>125</v>
      </c>
      <c r="J37" s="234" t="s">
        <v>38</v>
      </c>
      <c r="K37" s="234" t="s">
        <v>28</v>
      </c>
      <c r="L37" s="234" t="s">
        <v>28</v>
      </c>
      <c r="M37" s="234" t="s">
        <v>38</v>
      </c>
      <c r="N37" s="297">
        <v>0</v>
      </c>
      <c r="O37" s="234" t="s">
        <v>28</v>
      </c>
      <c r="P37" s="297">
        <v>11730000000</v>
      </c>
      <c r="Q37" s="237">
        <v>40697</v>
      </c>
      <c r="R37" s="297">
        <v>14223000000</v>
      </c>
      <c r="S37" s="237">
        <v>42797</v>
      </c>
      <c r="T37" s="298">
        <v>0</v>
      </c>
      <c r="U37" s="237" t="s">
        <v>28</v>
      </c>
      <c r="V37" s="199">
        <f t="shared" si="1"/>
        <v>0</v>
      </c>
      <c r="W37" s="234" t="s">
        <v>28</v>
      </c>
      <c r="X37" s="199">
        <f t="shared" si="2"/>
        <v>11730000000</v>
      </c>
      <c r="Y37" s="237">
        <v>40697</v>
      </c>
      <c r="Z37" s="199">
        <f t="shared" si="3"/>
        <v>14223000000</v>
      </c>
      <c r="AA37" s="237">
        <v>42797</v>
      </c>
      <c r="AB37" s="199">
        <f t="shared" si="4"/>
        <v>0</v>
      </c>
      <c r="AC37" s="237" t="s">
        <v>28</v>
      </c>
      <c r="AD37" s="235" t="s">
        <v>65</v>
      </c>
      <c r="AE37" s="238" t="s">
        <v>883</v>
      </c>
      <c r="AF37" s="239" t="s">
        <v>887</v>
      </c>
      <c r="AG37" s="240" t="s">
        <v>68</v>
      </c>
      <c r="AH37" s="241" t="s">
        <v>887</v>
      </c>
      <c r="AI37" s="21" t="s">
        <v>887</v>
      </c>
      <c r="AJ37" s="206" t="s">
        <v>1115</v>
      </c>
      <c r="AK37" s="207" t="s">
        <v>1165</v>
      </c>
      <c r="AL37" s="198" t="s">
        <v>1166</v>
      </c>
      <c r="AM37" s="198" t="s">
        <v>1167</v>
      </c>
      <c r="AN37" s="198" t="s">
        <v>1168</v>
      </c>
      <c r="AO37" s="204">
        <v>1</v>
      </c>
      <c r="AP37" s="198" t="s">
        <v>1120</v>
      </c>
      <c r="AQ37" s="198"/>
      <c r="AR37" s="198"/>
    </row>
    <row r="38" spans="1:44">
      <c r="A38" s="232">
        <v>85</v>
      </c>
      <c r="B38" s="233" t="s">
        <v>25</v>
      </c>
      <c r="C38" s="233" t="s">
        <v>26</v>
      </c>
      <c r="D38" s="234" t="s">
        <v>32</v>
      </c>
      <c r="E38" s="234" t="s">
        <v>194</v>
      </c>
      <c r="F38" s="235" t="s">
        <v>255</v>
      </c>
      <c r="G38" s="235" t="s">
        <v>256</v>
      </c>
      <c r="H38" s="236" t="s">
        <v>1179</v>
      </c>
      <c r="I38" s="234" t="s">
        <v>118</v>
      </c>
      <c r="J38" s="234" t="s">
        <v>38</v>
      </c>
      <c r="K38" s="234" t="s">
        <v>28</v>
      </c>
      <c r="L38" s="234" t="s">
        <v>28</v>
      </c>
      <c r="M38" s="234" t="s">
        <v>38</v>
      </c>
      <c r="N38" s="297">
        <v>0</v>
      </c>
      <c r="O38" s="234" t="s">
        <v>28</v>
      </c>
      <c r="P38" s="299">
        <v>0</v>
      </c>
      <c r="Q38" s="234" t="s">
        <v>28</v>
      </c>
      <c r="R38" s="299">
        <v>1042800000.0000001</v>
      </c>
      <c r="S38" s="237">
        <v>42454</v>
      </c>
      <c r="T38" s="298">
        <v>1224487000</v>
      </c>
      <c r="U38" s="237">
        <v>45476</v>
      </c>
      <c r="V38" s="199">
        <f t="shared" si="1"/>
        <v>0</v>
      </c>
      <c r="W38" s="234" t="s">
        <v>28</v>
      </c>
      <c r="X38" s="199">
        <f t="shared" si="2"/>
        <v>0</v>
      </c>
      <c r="Y38" s="234" t="s">
        <v>28</v>
      </c>
      <c r="Z38" s="199">
        <f t="shared" si="3"/>
        <v>1042800000.0000001</v>
      </c>
      <c r="AA38" s="237">
        <v>42454</v>
      </c>
      <c r="AB38" s="199">
        <f t="shared" si="4"/>
        <v>1224487000</v>
      </c>
      <c r="AC38" s="237">
        <v>45476</v>
      </c>
      <c r="AD38" s="235" t="s">
        <v>65</v>
      </c>
      <c r="AE38" s="238" t="s">
        <v>880</v>
      </c>
      <c r="AF38" s="239" t="s">
        <v>887</v>
      </c>
      <c r="AG38" s="240" t="s">
        <v>68</v>
      </c>
      <c r="AH38" s="241" t="s">
        <v>887</v>
      </c>
      <c r="AI38" s="21" t="s">
        <v>887</v>
      </c>
      <c r="AJ38" s="202" t="s">
        <v>1180</v>
      </c>
      <c r="AK38" s="203" t="s">
        <v>1154</v>
      </c>
      <c r="AL38" s="198" t="s">
        <v>1149</v>
      </c>
      <c r="AM38" s="198" t="s">
        <v>1150</v>
      </c>
      <c r="AN38" s="198" t="s">
        <v>1151</v>
      </c>
      <c r="AO38" s="204">
        <v>1</v>
      </c>
      <c r="AP38" s="198" t="s">
        <v>1152</v>
      </c>
      <c r="AQ38" s="198"/>
      <c r="AR38" s="198"/>
    </row>
    <row r="39" spans="1:44">
      <c r="A39" s="232">
        <v>86</v>
      </c>
      <c r="B39" s="233" t="s">
        <v>25</v>
      </c>
      <c r="C39" s="233" t="s">
        <v>26</v>
      </c>
      <c r="D39" s="234" t="s">
        <v>32</v>
      </c>
      <c r="E39" s="234" t="s">
        <v>194</v>
      </c>
      <c r="F39" s="235" t="s">
        <v>258</v>
      </c>
      <c r="G39" s="235" t="s">
        <v>259</v>
      </c>
      <c r="H39" s="236" t="s">
        <v>260</v>
      </c>
      <c r="I39" s="234" t="s">
        <v>125</v>
      </c>
      <c r="J39" s="234" t="s">
        <v>38</v>
      </c>
      <c r="K39" s="234" t="s">
        <v>28</v>
      </c>
      <c r="L39" s="234" t="s">
        <v>28</v>
      </c>
      <c r="M39" s="234" t="s">
        <v>38</v>
      </c>
      <c r="N39" s="297">
        <v>0</v>
      </c>
      <c r="O39" s="234" t="s">
        <v>28</v>
      </c>
      <c r="P39" s="299">
        <v>0</v>
      </c>
      <c r="Q39" s="234" t="s">
        <v>28</v>
      </c>
      <c r="R39" s="299">
        <v>314029999.80000001</v>
      </c>
      <c r="S39" s="237">
        <v>42228</v>
      </c>
      <c r="T39" s="298">
        <v>572000000</v>
      </c>
      <c r="U39" s="237">
        <v>45448</v>
      </c>
      <c r="V39" s="199">
        <f t="shared" si="1"/>
        <v>0</v>
      </c>
      <c r="W39" s="234" t="s">
        <v>28</v>
      </c>
      <c r="X39" s="199">
        <f t="shared" si="2"/>
        <v>0</v>
      </c>
      <c r="Y39" s="234" t="s">
        <v>28</v>
      </c>
      <c r="Z39" s="199">
        <f t="shared" si="3"/>
        <v>314029999.80000001</v>
      </c>
      <c r="AA39" s="237">
        <v>42228</v>
      </c>
      <c r="AB39" s="199">
        <f t="shared" si="4"/>
        <v>572000000</v>
      </c>
      <c r="AC39" s="237">
        <v>45448</v>
      </c>
      <c r="AD39" s="235" t="s">
        <v>65</v>
      </c>
      <c r="AE39" s="238" t="s">
        <v>880</v>
      </c>
      <c r="AF39" s="239" t="s">
        <v>887</v>
      </c>
      <c r="AG39" s="240" t="s">
        <v>68</v>
      </c>
      <c r="AH39" s="241" t="s">
        <v>887</v>
      </c>
      <c r="AI39" s="21" t="s">
        <v>887</v>
      </c>
      <c r="AJ39" s="202" t="s">
        <v>1180</v>
      </c>
      <c r="AK39" s="203" t="s">
        <v>1154</v>
      </c>
      <c r="AL39" s="198" t="s">
        <v>1149</v>
      </c>
      <c r="AM39" s="198" t="s">
        <v>1150</v>
      </c>
      <c r="AN39" s="198" t="s">
        <v>1151</v>
      </c>
      <c r="AO39" s="204">
        <v>1</v>
      </c>
      <c r="AP39" s="198" t="s">
        <v>1152</v>
      </c>
      <c r="AQ39" s="198"/>
      <c r="AR39" s="198"/>
    </row>
    <row r="40" spans="1:44">
      <c r="A40" s="232">
        <v>87</v>
      </c>
      <c r="B40" s="233" t="s">
        <v>25</v>
      </c>
      <c r="C40" s="233" t="s">
        <v>26</v>
      </c>
      <c r="D40" s="234" t="s">
        <v>32</v>
      </c>
      <c r="E40" s="234" t="s">
        <v>194</v>
      </c>
      <c r="F40" s="235" t="s">
        <v>261</v>
      </c>
      <c r="G40" s="235" t="s">
        <v>262</v>
      </c>
      <c r="H40" s="236" t="s">
        <v>263</v>
      </c>
      <c r="I40" s="234" t="s">
        <v>53</v>
      </c>
      <c r="J40" s="234" t="s">
        <v>38</v>
      </c>
      <c r="K40" s="234" t="s">
        <v>28</v>
      </c>
      <c r="L40" s="234" t="s">
        <v>28</v>
      </c>
      <c r="M40" s="234" t="s">
        <v>38</v>
      </c>
      <c r="N40" s="297">
        <v>51810000000.000008</v>
      </c>
      <c r="O40" s="237">
        <v>39925</v>
      </c>
      <c r="P40" s="297">
        <v>55473000000</v>
      </c>
      <c r="Q40" s="237">
        <v>40968</v>
      </c>
      <c r="R40" s="297">
        <v>33638000000</v>
      </c>
      <c r="S40" s="237">
        <v>42853</v>
      </c>
      <c r="T40" s="298">
        <v>0</v>
      </c>
      <c r="U40" s="237" t="s">
        <v>28</v>
      </c>
      <c r="V40" s="199">
        <f t="shared" si="1"/>
        <v>51810000000.000008</v>
      </c>
      <c r="W40" s="237">
        <v>39925</v>
      </c>
      <c r="X40" s="199">
        <f t="shared" si="2"/>
        <v>55473000000</v>
      </c>
      <c r="Y40" s="237">
        <v>40968</v>
      </c>
      <c r="Z40" s="199">
        <f t="shared" si="3"/>
        <v>33638000000</v>
      </c>
      <c r="AA40" s="237">
        <v>42853</v>
      </c>
      <c r="AB40" s="199">
        <f t="shared" si="4"/>
        <v>0</v>
      </c>
      <c r="AC40" s="237" t="s">
        <v>28</v>
      </c>
      <c r="AD40" s="235" t="s">
        <v>65</v>
      </c>
      <c r="AE40" s="238" t="s">
        <v>880</v>
      </c>
      <c r="AF40" s="239" t="s">
        <v>887</v>
      </c>
      <c r="AG40" s="240" t="s">
        <v>68</v>
      </c>
      <c r="AH40" s="241" t="s">
        <v>887</v>
      </c>
      <c r="AI40" s="21" t="s">
        <v>887</v>
      </c>
      <c r="AJ40" s="202" t="s">
        <v>1121</v>
      </c>
      <c r="AK40" s="203" t="s">
        <v>1144</v>
      </c>
      <c r="AL40" s="198"/>
      <c r="AM40" s="198" t="s">
        <v>1123</v>
      </c>
      <c r="AN40" s="198" t="s">
        <v>1124</v>
      </c>
      <c r="AO40" s="204">
        <v>1</v>
      </c>
      <c r="AP40" s="198" t="s">
        <v>1112</v>
      </c>
      <c r="AQ40" s="198"/>
      <c r="AR40" s="198"/>
    </row>
    <row r="41" spans="1:44">
      <c r="A41" s="232">
        <v>88</v>
      </c>
      <c r="B41" s="233" t="s">
        <v>25</v>
      </c>
      <c r="C41" s="233" t="s">
        <v>26</v>
      </c>
      <c r="D41" s="234" t="s">
        <v>32</v>
      </c>
      <c r="E41" s="234" t="s">
        <v>194</v>
      </c>
      <c r="F41" s="235" t="s">
        <v>264</v>
      </c>
      <c r="G41" s="235" t="s">
        <v>265</v>
      </c>
      <c r="H41" s="236" t="s">
        <v>266</v>
      </c>
      <c r="I41" s="234" t="s">
        <v>53</v>
      </c>
      <c r="J41" s="234" t="s">
        <v>38</v>
      </c>
      <c r="K41" s="234" t="s">
        <v>28</v>
      </c>
      <c r="L41" s="234" t="s">
        <v>28</v>
      </c>
      <c r="M41" s="234" t="s">
        <v>38</v>
      </c>
      <c r="N41" s="297">
        <v>0</v>
      </c>
      <c r="O41" s="234" t="s">
        <v>28</v>
      </c>
      <c r="P41" s="299">
        <v>0</v>
      </c>
      <c r="Q41" s="234" t="s">
        <v>28</v>
      </c>
      <c r="R41" s="299">
        <v>2095500000.0000002</v>
      </c>
      <c r="S41" s="237">
        <v>43143</v>
      </c>
      <c r="T41" s="298">
        <v>0</v>
      </c>
      <c r="U41" s="237" t="s">
        <v>28</v>
      </c>
      <c r="V41" s="199">
        <f t="shared" si="1"/>
        <v>0</v>
      </c>
      <c r="W41" s="234" t="s">
        <v>28</v>
      </c>
      <c r="X41" s="199">
        <f t="shared" si="2"/>
        <v>0</v>
      </c>
      <c r="Y41" s="234" t="s">
        <v>28</v>
      </c>
      <c r="Z41" s="199">
        <f t="shared" si="3"/>
        <v>2095500000.0000002</v>
      </c>
      <c r="AA41" s="237">
        <v>43143</v>
      </c>
      <c r="AB41" s="199">
        <f t="shared" si="4"/>
        <v>0</v>
      </c>
      <c r="AC41" s="237" t="s">
        <v>28</v>
      </c>
      <c r="AD41" s="235" t="s">
        <v>65</v>
      </c>
      <c r="AE41" s="238" t="s">
        <v>880</v>
      </c>
      <c r="AF41" s="239" t="s">
        <v>887</v>
      </c>
      <c r="AG41" s="240" t="s">
        <v>68</v>
      </c>
      <c r="AH41" s="241" t="s">
        <v>887</v>
      </c>
      <c r="AI41" s="21" t="s">
        <v>887</v>
      </c>
      <c r="AJ41" s="202" t="s">
        <v>1121</v>
      </c>
      <c r="AK41" s="203" t="s">
        <v>1144</v>
      </c>
      <c r="AL41" s="198"/>
      <c r="AM41" s="198" t="s">
        <v>1123</v>
      </c>
      <c r="AN41" s="198" t="s">
        <v>1124</v>
      </c>
      <c r="AO41" s="204">
        <v>1</v>
      </c>
      <c r="AP41" s="198" t="s">
        <v>1112</v>
      </c>
      <c r="AQ41" s="198"/>
      <c r="AR41" s="198"/>
    </row>
    <row r="42" spans="1:44">
      <c r="A42" s="232">
        <v>89</v>
      </c>
      <c r="B42" s="233" t="s">
        <v>25</v>
      </c>
      <c r="C42" s="233" t="s">
        <v>26</v>
      </c>
      <c r="D42" s="234" t="s">
        <v>32</v>
      </c>
      <c r="E42" s="234" t="s">
        <v>194</v>
      </c>
      <c r="F42" s="235" t="s">
        <v>267</v>
      </c>
      <c r="G42" s="235" t="s">
        <v>268</v>
      </c>
      <c r="H42" s="236" t="s">
        <v>269</v>
      </c>
      <c r="I42" s="234" t="s">
        <v>43</v>
      </c>
      <c r="J42" s="234" t="s">
        <v>38</v>
      </c>
      <c r="K42" s="234" t="s">
        <v>28</v>
      </c>
      <c r="L42" s="234" t="s">
        <v>28</v>
      </c>
      <c r="M42" s="234" t="s">
        <v>38</v>
      </c>
      <c r="N42" s="297">
        <v>0</v>
      </c>
      <c r="O42" s="234" t="s">
        <v>28</v>
      </c>
      <c r="P42" s="299">
        <v>0</v>
      </c>
      <c r="Q42" s="234" t="s">
        <v>28</v>
      </c>
      <c r="R42" s="297">
        <v>12779000000</v>
      </c>
      <c r="S42" s="237">
        <v>42863</v>
      </c>
      <c r="T42" s="298">
        <v>0</v>
      </c>
      <c r="U42" s="237" t="s">
        <v>28</v>
      </c>
      <c r="V42" s="199">
        <f t="shared" si="1"/>
        <v>0</v>
      </c>
      <c r="W42" s="234" t="s">
        <v>28</v>
      </c>
      <c r="X42" s="199">
        <f t="shared" si="2"/>
        <v>0</v>
      </c>
      <c r="Y42" s="234" t="s">
        <v>28</v>
      </c>
      <c r="Z42" s="199">
        <f t="shared" si="3"/>
        <v>12779000000</v>
      </c>
      <c r="AA42" s="237">
        <v>42863</v>
      </c>
      <c r="AB42" s="199">
        <f t="shared" si="4"/>
        <v>0</v>
      </c>
      <c r="AC42" s="237" t="s">
        <v>28</v>
      </c>
      <c r="AD42" s="235" t="s">
        <v>65</v>
      </c>
      <c r="AE42" s="238" t="s">
        <v>880</v>
      </c>
      <c r="AF42" s="239" t="s">
        <v>887</v>
      </c>
      <c r="AG42" s="240" t="s">
        <v>68</v>
      </c>
      <c r="AH42" s="241" t="s">
        <v>887</v>
      </c>
      <c r="AI42" s="21" t="s">
        <v>887</v>
      </c>
      <c r="AJ42" s="202" t="s">
        <v>1121</v>
      </c>
      <c r="AK42" s="203" t="s">
        <v>1144</v>
      </c>
      <c r="AL42" s="198"/>
      <c r="AM42" s="198" t="s">
        <v>1123</v>
      </c>
      <c r="AN42" s="198" t="s">
        <v>1124</v>
      </c>
      <c r="AO42" s="204">
        <v>1</v>
      </c>
      <c r="AP42" s="198" t="s">
        <v>1112</v>
      </c>
      <c r="AQ42" s="198"/>
      <c r="AR42" s="198"/>
    </row>
    <row r="43" spans="1:44">
      <c r="A43" s="232">
        <v>90</v>
      </c>
      <c r="B43" s="233" t="s">
        <v>25</v>
      </c>
      <c r="C43" s="233" t="s">
        <v>26</v>
      </c>
      <c r="D43" s="234" t="s">
        <v>32</v>
      </c>
      <c r="E43" s="234" t="s">
        <v>194</v>
      </c>
      <c r="F43" s="235" t="s">
        <v>270</v>
      </c>
      <c r="G43" s="235" t="s">
        <v>271</v>
      </c>
      <c r="H43" s="236" t="s">
        <v>272</v>
      </c>
      <c r="I43" s="234" t="s">
        <v>37</v>
      </c>
      <c r="J43" s="234" t="s">
        <v>38</v>
      </c>
      <c r="K43" s="234" t="s">
        <v>28</v>
      </c>
      <c r="L43" s="234" t="s">
        <v>28</v>
      </c>
      <c r="M43" s="234" t="s">
        <v>38</v>
      </c>
      <c r="N43" s="297">
        <v>0</v>
      </c>
      <c r="O43" s="234" t="s">
        <v>28</v>
      </c>
      <c r="P43" s="297">
        <v>10277125474</v>
      </c>
      <c r="Q43" s="237">
        <v>40716</v>
      </c>
      <c r="R43" s="297">
        <v>17398000000</v>
      </c>
      <c r="S43" s="237">
        <v>44230</v>
      </c>
      <c r="T43" s="298">
        <v>0</v>
      </c>
      <c r="U43" s="237" t="s">
        <v>28</v>
      </c>
      <c r="V43" s="199">
        <f t="shared" si="1"/>
        <v>0</v>
      </c>
      <c r="W43" s="234" t="s">
        <v>28</v>
      </c>
      <c r="X43" s="199">
        <f t="shared" si="2"/>
        <v>10277125474</v>
      </c>
      <c r="Y43" s="237">
        <v>40716</v>
      </c>
      <c r="Z43" s="199">
        <f t="shared" si="3"/>
        <v>17398000000</v>
      </c>
      <c r="AA43" s="237">
        <v>44230</v>
      </c>
      <c r="AB43" s="199">
        <f t="shared" si="4"/>
        <v>0</v>
      </c>
      <c r="AC43" s="237" t="s">
        <v>28</v>
      </c>
      <c r="AD43" s="235" t="s">
        <v>65</v>
      </c>
      <c r="AE43" s="238" t="s">
        <v>882</v>
      </c>
      <c r="AF43" s="239" t="s">
        <v>887</v>
      </c>
      <c r="AG43" s="240" t="s">
        <v>68</v>
      </c>
      <c r="AH43" s="241" t="s">
        <v>887</v>
      </c>
      <c r="AI43" s="21" t="s">
        <v>887</v>
      </c>
      <c r="AJ43" s="202" t="s">
        <v>1121</v>
      </c>
      <c r="AK43" s="203" t="s">
        <v>1131</v>
      </c>
      <c r="AL43" s="198" t="s">
        <v>1181</v>
      </c>
      <c r="AM43" s="198" t="s">
        <v>1182</v>
      </c>
      <c r="AN43" s="198" t="s">
        <v>1183</v>
      </c>
      <c r="AO43" s="204">
        <v>1</v>
      </c>
      <c r="AP43" s="198" t="s">
        <v>1112</v>
      </c>
      <c r="AQ43" s="198"/>
      <c r="AR43" s="198"/>
    </row>
    <row r="44" spans="1:44">
      <c r="A44" s="232">
        <v>91</v>
      </c>
      <c r="B44" s="233" t="s">
        <v>25</v>
      </c>
      <c r="C44" s="233" t="s">
        <v>26</v>
      </c>
      <c r="D44" s="234" t="s">
        <v>32</v>
      </c>
      <c r="E44" s="234" t="s">
        <v>194</v>
      </c>
      <c r="F44" s="235" t="s">
        <v>270</v>
      </c>
      <c r="G44" s="235" t="s">
        <v>271</v>
      </c>
      <c r="H44" s="236" t="s">
        <v>273</v>
      </c>
      <c r="I44" s="234" t="s">
        <v>37</v>
      </c>
      <c r="J44" s="234" t="s">
        <v>38</v>
      </c>
      <c r="K44" s="234" t="s">
        <v>28</v>
      </c>
      <c r="L44" s="234" t="s">
        <v>28</v>
      </c>
      <c r="M44" s="234" t="s">
        <v>38</v>
      </c>
      <c r="N44" s="297">
        <v>12203400000.000002</v>
      </c>
      <c r="O44" s="237">
        <v>40039</v>
      </c>
      <c r="P44" s="297">
        <v>0</v>
      </c>
      <c r="Q44" s="237" t="s">
        <v>28</v>
      </c>
      <c r="R44" s="297">
        <v>10190000000</v>
      </c>
      <c r="S44" s="237">
        <v>42853</v>
      </c>
      <c r="T44" s="298">
        <v>0</v>
      </c>
      <c r="U44" s="237" t="s">
        <v>28</v>
      </c>
      <c r="V44" s="199">
        <f t="shared" si="1"/>
        <v>12203400000.000002</v>
      </c>
      <c r="W44" s="237">
        <v>40039</v>
      </c>
      <c r="X44" s="199">
        <f t="shared" si="2"/>
        <v>0</v>
      </c>
      <c r="Y44" s="237" t="s">
        <v>28</v>
      </c>
      <c r="Z44" s="199">
        <f t="shared" si="3"/>
        <v>10190000000</v>
      </c>
      <c r="AA44" s="237">
        <v>42853</v>
      </c>
      <c r="AB44" s="199">
        <f t="shared" si="4"/>
        <v>0</v>
      </c>
      <c r="AC44" s="237" t="s">
        <v>28</v>
      </c>
      <c r="AD44" s="235" t="s">
        <v>65</v>
      </c>
      <c r="AE44" s="238" t="s">
        <v>882</v>
      </c>
      <c r="AF44" s="239" t="s">
        <v>887</v>
      </c>
      <c r="AG44" s="240" t="s">
        <v>68</v>
      </c>
      <c r="AH44" s="241" t="s">
        <v>887</v>
      </c>
      <c r="AI44" s="21" t="s">
        <v>887</v>
      </c>
      <c r="AJ44" s="202" t="s">
        <v>1121</v>
      </c>
      <c r="AK44" s="203" t="s">
        <v>1131</v>
      </c>
      <c r="AL44" s="198" t="s">
        <v>1181</v>
      </c>
      <c r="AM44" s="198" t="s">
        <v>1182</v>
      </c>
      <c r="AN44" s="198" t="s">
        <v>1183</v>
      </c>
      <c r="AO44" s="204">
        <v>1</v>
      </c>
      <c r="AP44" s="198" t="s">
        <v>1112</v>
      </c>
      <c r="AQ44" s="198"/>
      <c r="AR44" s="198"/>
    </row>
    <row r="45" spans="1:44" s="231" customFormat="1">
      <c r="A45" s="232">
        <v>92</v>
      </c>
      <c r="B45" s="243" t="s">
        <v>25</v>
      </c>
      <c r="C45" s="243" t="s">
        <v>26</v>
      </c>
      <c r="D45" s="244" t="s">
        <v>32</v>
      </c>
      <c r="E45" s="244" t="s">
        <v>194</v>
      </c>
      <c r="F45" s="245" t="s">
        <v>274</v>
      </c>
      <c r="G45" s="245" t="s">
        <v>275</v>
      </c>
      <c r="H45" s="246" t="s">
        <v>276</v>
      </c>
      <c r="I45" s="244" t="s">
        <v>37</v>
      </c>
      <c r="J45" s="244" t="s">
        <v>38</v>
      </c>
      <c r="K45" s="244" t="s">
        <v>28</v>
      </c>
      <c r="L45" s="244" t="s">
        <v>28</v>
      </c>
      <c r="M45" s="244" t="s">
        <v>38</v>
      </c>
      <c r="N45" s="301">
        <v>0</v>
      </c>
      <c r="O45" s="244" t="s">
        <v>28</v>
      </c>
      <c r="P45" s="302">
        <v>0</v>
      </c>
      <c r="Q45" s="244" t="s">
        <v>28</v>
      </c>
      <c r="R45" s="301">
        <v>6511000000</v>
      </c>
      <c r="S45" s="247">
        <v>43958</v>
      </c>
      <c r="T45" s="303">
        <v>0</v>
      </c>
      <c r="U45" s="247" t="s">
        <v>28</v>
      </c>
      <c r="V45" s="199">
        <f t="shared" si="1"/>
        <v>0</v>
      </c>
      <c r="W45" s="244" t="s">
        <v>28</v>
      </c>
      <c r="X45" s="199">
        <f t="shared" si="2"/>
        <v>0</v>
      </c>
      <c r="Y45" s="244" t="s">
        <v>28</v>
      </c>
      <c r="Z45" s="199">
        <f t="shared" si="3"/>
        <v>3255500000</v>
      </c>
      <c r="AA45" s="247">
        <v>43958</v>
      </c>
      <c r="AB45" s="199">
        <f t="shared" si="4"/>
        <v>0</v>
      </c>
      <c r="AC45" s="247" t="s">
        <v>28</v>
      </c>
      <c r="AD45" s="245" t="s">
        <v>65</v>
      </c>
      <c r="AE45" s="248" t="s">
        <v>882</v>
      </c>
      <c r="AF45" s="249" t="s">
        <v>887</v>
      </c>
      <c r="AG45" s="250" t="s">
        <v>896</v>
      </c>
      <c r="AH45" s="251" t="s">
        <v>887</v>
      </c>
      <c r="AI45" s="230" t="s">
        <v>887</v>
      </c>
      <c r="AJ45" s="202" t="s">
        <v>1184</v>
      </c>
      <c r="AK45" s="207" t="s">
        <v>1148</v>
      </c>
      <c r="AL45" s="198" t="s">
        <v>1149</v>
      </c>
      <c r="AM45" s="198" t="s">
        <v>1150</v>
      </c>
      <c r="AN45" s="198" t="s">
        <v>1151</v>
      </c>
      <c r="AO45" s="204">
        <v>0.5</v>
      </c>
      <c r="AP45" s="198" t="s">
        <v>1120</v>
      </c>
      <c r="AQ45" s="198"/>
      <c r="AR45" s="198"/>
    </row>
    <row r="46" spans="1:44">
      <c r="A46" s="232">
        <v>94</v>
      </c>
      <c r="B46" s="233" t="s">
        <v>25</v>
      </c>
      <c r="C46" s="233" t="s">
        <v>26</v>
      </c>
      <c r="D46" s="234" t="s">
        <v>32</v>
      </c>
      <c r="E46" s="234" t="s">
        <v>194</v>
      </c>
      <c r="F46" s="235" t="s">
        <v>280</v>
      </c>
      <c r="G46" s="235" t="s">
        <v>281</v>
      </c>
      <c r="H46" s="236" t="s">
        <v>282</v>
      </c>
      <c r="I46" s="234" t="s">
        <v>118</v>
      </c>
      <c r="J46" s="234" t="s">
        <v>38</v>
      </c>
      <c r="K46" s="234" t="s">
        <v>28</v>
      </c>
      <c r="L46" s="234" t="s">
        <v>28</v>
      </c>
      <c r="M46" s="234" t="s">
        <v>38</v>
      </c>
      <c r="N46" s="297">
        <v>0</v>
      </c>
      <c r="O46" s="234" t="s">
        <v>28</v>
      </c>
      <c r="P46" s="297">
        <v>5082000000</v>
      </c>
      <c r="Q46" s="237">
        <v>40666</v>
      </c>
      <c r="R46" s="297">
        <v>6595000000</v>
      </c>
      <c r="S46" s="237">
        <v>42521</v>
      </c>
      <c r="T46" s="298">
        <v>0</v>
      </c>
      <c r="U46" s="237" t="s">
        <v>28</v>
      </c>
      <c r="V46" s="199">
        <f t="shared" si="1"/>
        <v>0</v>
      </c>
      <c r="W46" s="234" t="s">
        <v>28</v>
      </c>
      <c r="X46" s="199">
        <f t="shared" si="2"/>
        <v>1524600000</v>
      </c>
      <c r="Y46" s="237">
        <v>40666</v>
      </c>
      <c r="Z46" s="199">
        <f t="shared" si="3"/>
        <v>1978500000</v>
      </c>
      <c r="AA46" s="237">
        <v>42521</v>
      </c>
      <c r="AB46" s="199">
        <f t="shared" si="4"/>
        <v>0</v>
      </c>
      <c r="AC46" s="237" t="s">
        <v>28</v>
      </c>
      <c r="AD46" s="235" t="s">
        <v>65</v>
      </c>
      <c r="AE46" s="238" t="s">
        <v>880</v>
      </c>
      <c r="AF46" s="239" t="s">
        <v>68</v>
      </c>
      <c r="AG46" s="240" t="s">
        <v>68</v>
      </c>
      <c r="AH46" s="241" t="s">
        <v>887</v>
      </c>
      <c r="AI46" s="21" t="s">
        <v>887</v>
      </c>
      <c r="AJ46" s="202" t="s">
        <v>1185</v>
      </c>
      <c r="AK46" s="203" t="s">
        <v>1186</v>
      </c>
      <c r="AL46" s="198" t="s">
        <v>1187</v>
      </c>
      <c r="AM46" s="198" t="s">
        <v>1188</v>
      </c>
      <c r="AN46" s="198" t="s">
        <v>1189</v>
      </c>
      <c r="AO46" s="204">
        <v>0.3</v>
      </c>
      <c r="AP46" s="295" t="s">
        <v>1300</v>
      </c>
      <c r="AQ46" s="198"/>
      <c r="AR46" s="198"/>
    </row>
    <row r="47" spans="1:44">
      <c r="A47" s="232">
        <v>95</v>
      </c>
      <c r="B47" s="233" t="s">
        <v>25</v>
      </c>
      <c r="C47" s="233" t="s">
        <v>26</v>
      </c>
      <c r="D47" s="234" t="s">
        <v>32</v>
      </c>
      <c r="E47" s="234" t="s">
        <v>194</v>
      </c>
      <c r="F47" s="235" t="s">
        <v>283</v>
      </c>
      <c r="G47" s="235" t="s">
        <v>284</v>
      </c>
      <c r="H47" s="236" t="s">
        <v>285</v>
      </c>
      <c r="I47" s="234" t="s">
        <v>125</v>
      </c>
      <c r="J47" s="234" t="s">
        <v>38</v>
      </c>
      <c r="K47" s="234" t="s">
        <v>28</v>
      </c>
      <c r="L47" s="234" t="s">
        <v>28</v>
      </c>
      <c r="M47" s="234" t="s">
        <v>38</v>
      </c>
      <c r="N47" s="297">
        <v>10395000000</v>
      </c>
      <c r="O47" s="237">
        <v>40177</v>
      </c>
      <c r="P47" s="299">
        <v>0</v>
      </c>
      <c r="Q47" s="234" t="s">
        <v>28</v>
      </c>
      <c r="R47" s="297">
        <v>17578000000</v>
      </c>
      <c r="S47" s="237">
        <v>42717</v>
      </c>
      <c r="T47" s="297">
        <v>21230000000</v>
      </c>
      <c r="U47" s="237">
        <v>45497</v>
      </c>
      <c r="V47" s="199">
        <f t="shared" si="1"/>
        <v>10395000000</v>
      </c>
      <c r="W47" s="237">
        <v>40177</v>
      </c>
      <c r="X47" s="199">
        <f t="shared" si="2"/>
        <v>0</v>
      </c>
      <c r="Y47" s="234" t="s">
        <v>28</v>
      </c>
      <c r="Z47" s="199">
        <f t="shared" si="3"/>
        <v>17578000000</v>
      </c>
      <c r="AA47" s="237">
        <v>42717</v>
      </c>
      <c r="AB47" s="199">
        <f t="shared" si="4"/>
        <v>21230000000</v>
      </c>
      <c r="AC47" s="237">
        <v>45497</v>
      </c>
      <c r="AD47" s="235" t="s">
        <v>65</v>
      </c>
      <c r="AE47" s="238" t="s">
        <v>880</v>
      </c>
      <c r="AF47" s="239" t="s">
        <v>68</v>
      </c>
      <c r="AG47" s="240" t="s">
        <v>68</v>
      </c>
      <c r="AH47" s="241" t="s">
        <v>887</v>
      </c>
      <c r="AI47" s="21" t="s">
        <v>887</v>
      </c>
      <c r="AJ47" s="202" t="s">
        <v>1121</v>
      </c>
      <c r="AK47" s="203" t="s">
        <v>1131</v>
      </c>
      <c r="AL47" s="198" t="s">
        <v>1190</v>
      </c>
      <c r="AM47" s="198" t="s">
        <v>1191</v>
      </c>
      <c r="AN47" s="198" t="s">
        <v>1192</v>
      </c>
      <c r="AO47" s="204">
        <v>1</v>
      </c>
      <c r="AP47" s="198" t="s">
        <v>1112</v>
      </c>
      <c r="AQ47" s="198"/>
      <c r="AR47" s="198"/>
    </row>
    <row r="48" spans="1:44">
      <c r="A48" s="232">
        <v>96</v>
      </c>
      <c r="B48" s="233" t="s">
        <v>25</v>
      </c>
      <c r="C48" s="233" t="s">
        <v>26</v>
      </c>
      <c r="D48" s="234" t="s">
        <v>32</v>
      </c>
      <c r="E48" s="234" t="s">
        <v>194</v>
      </c>
      <c r="F48" s="235" t="s">
        <v>286</v>
      </c>
      <c r="G48" s="235" t="s">
        <v>287</v>
      </c>
      <c r="H48" s="236" t="s">
        <v>288</v>
      </c>
      <c r="I48" s="234" t="s">
        <v>53</v>
      </c>
      <c r="J48" s="234" t="s">
        <v>38</v>
      </c>
      <c r="K48" s="234" t="s">
        <v>28</v>
      </c>
      <c r="L48" s="234" t="s">
        <v>28</v>
      </c>
      <c r="M48" s="234" t="s">
        <v>38</v>
      </c>
      <c r="N48" s="297">
        <v>0</v>
      </c>
      <c r="O48" s="234" t="s">
        <v>28</v>
      </c>
      <c r="P48" s="299">
        <v>0</v>
      </c>
      <c r="Q48" s="234" t="s">
        <v>28</v>
      </c>
      <c r="R48" s="299">
        <v>3322000000.0000005</v>
      </c>
      <c r="S48" s="237">
        <v>42660</v>
      </c>
      <c r="T48" s="298">
        <v>0</v>
      </c>
      <c r="U48" s="237" t="s">
        <v>28</v>
      </c>
      <c r="V48" s="199">
        <f t="shared" si="1"/>
        <v>0</v>
      </c>
      <c r="W48" s="234" t="s">
        <v>28</v>
      </c>
      <c r="X48" s="199">
        <f t="shared" si="2"/>
        <v>0</v>
      </c>
      <c r="Y48" s="234" t="s">
        <v>28</v>
      </c>
      <c r="Z48" s="199">
        <f t="shared" si="3"/>
        <v>3322000000.0000005</v>
      </c>
      <c r="AA48" s="237">
        <v>42660</v>
      </c>
      <c r="AB48" s="199">
        <f t="shared" si="4"/>
        <v>0</v>
      </c>
      <c r="AC48" s="237" t="s">
        <v>28</v>
      </c>
      <c r="AD48" s="235" t="s">
        <v>65</v>
      </c>
      <c r="AE48" s="238" t="s">
        <v>880</v>
      </c>
      <c r="AF48" s="239" t="s">
        <v>68</v>
      </c>
      <c r="AG48" s="240" t="s">
        <v>68</v>
      </c>
      <c r="AH48" s="241" t="s">
        <v>887</v>
      </c>
      <c r="AI48" s="21" t="s">
        <v>887</v>
      </c>
      <c r="AJ48" s="202" t="s">
        <v>1121</v>
      </c>
      <c r="AK48" s="203" t="s">
        <v>1154</v>
      </c>
      <c r="AL48" s="198"/>
      <c r="AM48" s="198" t="s">
        <v>1123</v>
      </c>
      <c r="AN48" s="198" t="s">
        <v>1124</v>
      </c>
      <c r="AO48" s="204">
        <v>1</v>
      </c>
      <c r="AP48" s="198" t="s">
        <v>1112</v>
      </c>
      <c r="AQ48" s="198"/>
      <c r="AR48" s="198"/>
    </row>
    <row r="49" spans="1:44">
      <c r="A49" s="232">
        <v>97</v>
      </c>
      <c r="B49" s="233" t="s">
        <v>25</v>
      </c>
      <c r="C49" s="233" t="s">
        <v>26</v>
      </c>
      <c r="D49" s="234" t="s">
        <v>32</v>
      </c>
      <c r="E49" s="234" t="s">
        <v>194</v>
      </c>
      <c r="F49" s="235" t="s">
        <v>289</v>
      </c>
      <c r="G49" s="235" t="s">
        <v>290</v>
      </c>
      <c r="H49" s="236" t="s">
        <v>291</v>
      </c>
      <c r="I49" s="234" t="s">
        <v>118</v>
      </c>
      <c r="J49" s="234" t="s">
        <v>38</v>
      </c>
      <c r="K49" s="234" t="s">
        <v>28</v>
      </c>
      <c r="L49" s="234" t="s">
        <v>28</v>
      </c>
      <c r="M49" s="234" t="s">
        <v>38</v>
      </c>
      <c r="N49" s="297">
        <v>0</v>
      </c>
      <c r="O49" s="234" t="s">
        <v>28</v>
      </c>
      <c r="P49" s="299">
        <v>0</v>
      </c>
      <c r="Q49" s="234" t="s">
        <v>28</v>
      </c>
      <c r="R49" s="299">
        <v>0</v>
      </c>
      <c r="S49" s="237" t="s">
        <v>28</v>
      </c>
      <c r="T49" s="297">
        <v>5153000000</v>
      </c>
      <c r="U49" s="237">
        <v>45539</v>
      </c>
      <c r="V49" s="199">
        <f t="shared" si="1"/>
        <v>0</v>
      </c>
      <c r="W49" s="234" t="s">
        <v>28</v>
      </c>
      <c r="X49" s="199">
        <f t="shared" si="2"/>
        <v>0</v>
      </c>
      <c r="Y49" s="234" t="s">
        <v>28</v>
      </c>
      <c r="Z49" s="199">
        <f t="shared" si="3"/>
        <v>0</v>
      </c>
      <c r="AA49" s="237" t="s">
        <v>28</v>
      </c>
      <c r="AB49" s="199">
        <f t="shared" si="4"/>
        <v>5153000000</v>
      </c>
      <c r="AC49" s="237">
        <v>45539</v>
      </c>
      <c r="AD49" s="235" t="s">
        <v>65</v>
      </c>
      <c r="AE49" s="238" t="s">
        <v>880</v>
      </c>
      <c r="AF49" s="239" t="s">
        <v>68</v>
      </c>
      <c r="AG49" s="240" t="s">
        <v>68</v>
      </c>
      <c r="AH49" s="241" t="s">
        <v>887</v>
      </c>
      <c r="AI49" s="21" t="s">
        <v>887</v>
      </c>
      <c r="AJ49" s="202" t="s">
        <v>1121</v>
      </c>
      <c r="AK49" s="203" t="s">
        <v>1154</v>
      </c>
      <c r="AL49" s="198"/>
      <c r="AM49" s="198" t="s">
        <v>1123</v>
      </c>
      <c r="AN49" s="198" t="s">
        <v>1124</v>
      </c>
      <c r="AO49" s="204">
        <v>1</v>
      </c>
      <c r="AP49" s="198" t="s">
        <v>1112</v>
      </c>
      <c r="AQ49" s="198"/>
      <c r="AR49" s="198"/>
    </row>
    <row r="50" spans="1:44" s="231" customFormat="1">
      <c r="A50" s="232">
        <v>98</v>
      </c>
      <c r="B50" s="243" t="s">
        <v>25</v>
      </c>
      <c r="C50" s="243" t="s">
        <v>26</v>
      </c>
      <c r="D50" s="244" t="s">
        <v>32</v>
      </c>
      <c r="E50" s="244" t="s">
        <v>194</v>
      </c>
      <c r="F50" s="245" t="s">
        <v>292</v>
      </c>
      <c r="G50" s="245" t="s">
        <v>293</v>
      </c>
      <c r="H50" s="246" t="s">
        <v>294</v>
      </c>
      <c r="I50" s="244" t="s">
        <v>57</v>
      </c>
      <c r="J50" s="244" t="s">
        <v>38</v>
      </c>
      <c r="K50" s="244" t="s">
        <v>28</v>
      </c>
      <c r="L50" s="244" t="s">
        <v>28</v>
      </c>
      <c r="M50" s="244" t="s">
        <v>38</v>
      </c>
      <c r="N50" s="301">
        <v>0</v>
      </c>
      <c r="O50" s="244" t="s">
        <v>28</v>
      </c>
      <c r="P50" s="302">
        <v>0</v>
      </c>
      <c r="Q50" s="244" t="s">
        <v>28</v>
      </c>
      <c r="R50" s="301">
        <v>14977000000</v>
      </c>
      <c r="S50" s="247">
        <v>42508</v>
      </c>
      <c r="T50" s="303">
        <v>0</v>
      </c>
      <c r="U50" s="247" t="s">
        <v>28</v>
      </c>
      <c r="V50" s="199">
        <f t="shared" si="1"/>
        <v>0</v>
      </c>
      <c r="W50" s="244" t="s">
        <v>28</v>
      </c>
      <c r="X50" s="199">
        <f t="shared" si="2"/>
        <v>0</v>
      </c>
      <c r="Y50" s="244" t="s">
        <v>28</v>
      </c>
      <c r="Z50" s="199">
        <f t="shared" si="3"/>
        <v>14977000000</v>
      </c>
      <c r="AA50" s="247">
        <v>42508</v>
      </c>
      <c r="AB50" s="199">
        <f t="shared" si="4"/>
        <v>0</v>
      </c>
      <c r="AC50" s="247" t="s">
        <v>28</v>
      </c>
      <c r="AD50" s="245" t="s">
        <v>295</v>
      </c>
      <c r="AE50" s="248" t="s">
        <v>879</v>
      </c>
      <c r="AF50" s="249" t="s">
        <v>68</v>
      </c>
      <c r="AG50" s="250" t="s">
        <v>895</v>
      </c>
      <c r="AH50" s="251" t="s">
        <v>887</v>
      </c>
      <c r="AI50" s="230" t="s">
        <v>887</v>
      </c>
      <c r="AJ50" s="202" t="s">
        <v>1147</v>
      </c>
      <c r="AK50" s="203" t="s">
        <v>1148</v>
      </c>
      <c r="AL50" s="198" t="s">
        <v>1149</v>
      </c>
      <c r="AM50" s="198" t="s">
        <v>1150</v>
      </c>
      <c r="AN50" s="198" t="s">
        <v>1151</v>
      </c>
      <c r="AO50" s="204">
        <v>1</v>
      </c>
      <c r="AP50" s="200" t="s">
        <v>1164</v>
      </c>
      <c r="AQ50" s="198"/>
      <c r="AR50" s="198"/>
    </row>
    <row r="51" spans="1:44" s="231" customFormat="1">
      <c r="A51" s="232">
        <v>99</v>
      </c>
      <c r="B51" s="243" t="s">
        <v>25</v>
      </c>
      <c r="C51" s="243" t="s">
        <v>26</v>
      </c>
      <c r="D51" s="244" t="s">
        <v>32</v>
      </c>
      <c r="E51" s="244" t="s">
        <v>194</v>
      </c>
      <c r="F51" s="245" t="s">
        <v>296</v>
      </c>
      <c r="G51" s="245" t="s">
        <v>297</v>
      </c>
      <c r="H51" s="246" t="s">
        <v>298</v>
      </c>
      <c r="I51" s="244" t="s">
        <v>57</v>
      </c>
      <c r="J51" s="244" t="s">
        <v>38</v>
      </c>
      <c r="K51" s="244" t="s">
        <v>28</v>
      </c>
      <c r="L51" s="244" t="s">
        <v>28</v>
      </c>
      <c r="M51" s="244" t="s">
        <v>38</v>
      </c>
      <c r="N51" s="301">
        <v>0</v>
      </c>
      <c r="O51" s="244" t="s">
        <v>28</v>
      </c>
      <c r="P51" s="302">
        <v>0</v>
      </c>
      <c r="Q51" s="244" t="s">
        <v>28</v>
      </c>
      <c r="R51" s="301">
        <v>13283000000</v>
      </c>
      <c r="S51" s="247">
        <v>42486</v>
      </c>
      <c r="T51" s="303">
        <v>0</v>
      </c>
      <c r="U51" s="247" t="s">
        <v>28</v>
      </c>
      <c r="V51" s="199">
        <f t="shared" si="1"/>
        <v>0</v>
      </c>
      <c r="W51" s="244" t="s">
        <v>28</v>
      </c>
      <c r="X51" s="199">
        <f t="shared" si="2"/>
        <v>0</v>
      </c>
      <c r="Y51" s="244" t="s">
        <v>28</v>
      </c>
      <c r="Z51" s="199">
        <f t="shared" si="3"/>
        <v>13283000000</v>
      </c>
      <c r="AA51" s="247">
        <v>42486</v>
      </c>
      <c r="AB51" s="199">
        <f t="shared" si="4"/>
        <v>0</v>
      </c>
      <c r="AC51" s="247" t="s">
        <v>28</v>
      </c>
      <c r="AD51" s="245" t="s">
        <v>295</v>
      </c>
      <c r="AE51" s="248" t="s">
        <v>879</v>
      </c>
      <c r="AF51" s="249" t="s">
        <v>68</v>
      </c>
      <c r="AG51" s="250" t="s">
        <v>895</v>
      </c>
      <c r="AH51" s="251" t="s">
        <v>887</v>
      </c>
      <c r="AI51" s="230" t="s">
        <v>887</v>
      </c>
      <c r="AJ51" s="202" t="s">
        <v>1147</v>
      </c>
      <c r="AK51" s="203" t="s">
        <v>1148</v>
      </c>
      <c r="AL51" s="198" t="s">
        <v>1149</v>
      </c>
      <c r="AM51" s="198" t="s">
        <v>1150</v>
      </c>
      <c r="AN51" s="198" t="s">
        <v>1151</v>
      </c>
      <c r="AO51" s="204">
        <v>1</v>
      </c>
      <c r="AP51" s="200" t="s">
        <v>1164</v>
      </c>
      <c r="AQ51" s="198"/>
      <c r="AR51" s="198"/>
    </row>
    <row r="52" spans="1:44">
      <c r="A52" s="232">
        <v>100</v>
      </c>
      <c r="B52" s="233" t="s">
        <v>25</v>
      </c>
      <c r="C52" s="233" t="s">
        <v>26</v>
      </c>
      <c r="D52" s="234" t="s">
        <v>32</v>
      </c>
      <c r="E52" s="234" t="s">
        <v>194</v>
      </c>
      <c r="F52" s="235" t="s">
        <v>299</v>
      </c>
      <c r="G52" s="235" t="s">
        <v>300</v>
      </c>
      <c r="H52" s="236" t="s">
        <v>301</v>
      </c>
      <c r="I52" s="234" t="s">
        <v>118</v>
      </c>
      <c r="J52" s="234" t="s">
        <v>38</v>
      </c>
      <c r="K52" s="234" t="s">
        <v>28</v>
      </c>
      <c r="L52" s="234" t="s">
        <v>28</v>
      </c>
      <c r="M52" s="234" t="s">
        <v>38</v>
      </c>
      <c r="N52" s="297">
        <v>0</v>
      </c>
      <c r="O52" s="234" t="s">
        <v>28</v>
      </c>
      <c r="P52" s="299">
        <v>0</v>
      </c>
      <c r="Q52" s="234" t="s">
        <v>28</v>
      </c>
      <c r="R52" s="297">
        <v>19910000000</v>
      </c>
      <c r="S52" s="237">
        <v>42543</v>
      </c>
      <c r="T52" s="298">
        <v>0</v>
      </c>
      <c r="U52" s="237" t="s">
        <v>28</v>
      </c>
      <c r="V52" s="199">
        <f t="shared" si="1"/>
        <v>0</v>
      </c>
      <c r="W52" s="234" t="s">
        <v>28</v>
      </c>
      <c r="X52" s="199">
        <f t="shared" si="2"/>
        <v>0</v>
      </c>
      <c r="Y52" s="234" t="s">
        <v>28</v>
      </c>
      <c r="Z52" s="199">
        <f t="shared" si="3"/>
        <v>19910000000</v>
      </c>
      <c r="AA52" s="237">
        <v>42543</v>
      </c>
      <c r="AB52" s="199">
        <f t="shared" si="4"/>
        <v>0</v>
      </c>
      <c r="AC52" s="237" t="s">
        <v>28</v>
      </c>
      <c r="AD52" s="235" t="s">
        <v>295</v>
      </c>
      <c r="AE52" s="238" t="s">
        <v>879</v>
      </c>
      <c r="AF52" s="239" t="s">
        <v>68</v>
      </c>
      <c r="AG52" s="240" t="s">
        <v>68</v>
      </c>
      <c r="AH52" s="241" t="s">
        <v>887</v>
      </c>
      <c r="AI52" s="21" t="s">
        <v>887</v>
      </c>
      <c r="AJ52" s="202" t="s">
        <v>1121</v>
      </c>
      <c r="AK52" s="203" t="s">
        <v>1154</v>
      </c>
      <c r="AL52" s="198" t="s">
        <v>1149</v>
      </c>
      <c r="AM52" s="198" t="s">
        <v>1150</v>
      </c>
      <c r="AN52" s="198" t="s">
        <v>1151</v>
      </c>
      <c r="AO52" s="204">
        <v>1</v>
      </c>
      <c r="AP52" s="198" t="s">
        <v>1112</v>
      </c>
      <c r="AQ52" s="198"/>
      <c r="AR52" s="198"/>
    </row>
    <row r="53" spans="1:44">
      <c r="A53" s="232">
        <v>101</v>
      </c>
      <c r="B53" s="233" t="s">
        <v>25</v>
      </c>
      <c r="C53" s="233" t="s">
        <v>26</v>
      </c>
      <c r="D53" s="234" t="s">
        <v>32</v>
      </c>
      <c r="E53" s="234" t="s">
        <v>194</v>
      </c>
      <c r="F53" s="235" t="s">
        <v>302</v>
      </c>
      <c r="G53" s="235" t="s">
        <v>303</v>
      </c>
      <c r="H53" s="236" t="s">
        <v>304</v>
      </c>
      <c r="I53" s="234" t="s">
        <v>43</v>
      </c>
      <c r="J53" s="234" t="s">
        <v>38</v>
      </c>
      <c r="K53" s="234" t="s">
        <v>28</v>
      </c>
      <c r="L53" s="234" t="s">
        <v>28</v>
      </c>
      <c r="M53" s="234" t="s">
        <v>38</v>
      </c>
      <c r="N53" s="297">
        <v>7848500000.000001</v>
      </c>
      <c r="O53" s="237">
        <v>39899</v>
      </c>
      <c r="P53" s="299">
        <v>0</v>
      </c>
      <c r="Q53" s="234" t="s">
        <v>28</v>
      </c>
      <c r="R53" s="297">
        <v>8635000000</v>
      </c>
      <c r="S53" s="237">
        <v>42641</v>
      </c>
      <c r="T53" s="298">
        <v>0</v>
      </c>
      <c r="U53" s="237" t="s">
        <v>28</v>
      </c>
      <c r="V53" s="199">
        <f t="shared" si="1"/>
        <v>7848500000.000001</v>
      </c>
      <c r="W53" s="237">
        <v>39899</v>
      </c>
      <c r="X53" s="199">
        <f t="shared" si="2"/>
        <v>0</v>
      </c>
      <c r="Y53" s="234" t="s">
        <v>28</v>
      </c>
      <c r="Z53" s="199">
        <f t="shared" si="3"/>
        <v>8635000000</v>
      </c>
      <c r="AA53" s="237">
        <v>42641</v>
      </c>
      <c r="AB53" s="199">
        <f t="shared" si="4"/>
        <v>0</v>
      </c>
      <c r="AC53" s="237" t="s">
        <v>28</v>
      </c>
      <c r="AD53" s="235" t="s">
        <v>295</v>
      </c>
      <c r="AE53" s="238" t="s">
        <v>879</v>
      </c>
      <c r="AF53" s="239" t="s">
        <v>68</v>
      </c>
      <c r="AG53" s="240" t="s">
        <v>68</v>
      </c>
      <c r="AH53" s="241" t="s">
        <v>887</v>
      </c>
      <c r="AI53" s="21" t="s">
        <v>887</v>
      </c>
      <c r="AJ53" s="202" t="s">
        <v>1121</v>
      </c>
      <c r="AK53" s="203" t="s">
        <v>1144</v>
      </c>
      <c r="AL53" s="198"/>
      <c r="AM53" s="198" t="s">
        <v>1123</v>
      </c>
      <c r="AN53" s="198" t="s">
        <v>1124</v>
      </c>
      <c r="AO53" s="204">
        <v>1</v>
      </c>
      <c r="AP53" s="198" t="s">
        <v>1112</v>
      </c>
      <c r="AQ53" s="198"/>
      <c r="AR53" s="198"/>
    </row>
    <row r="54" spans="1:44">
      <c r="A54" s="242">
        <v>102</v>
      </c>
      <c r="B54" s="233" t="s">
        <v>25</v>
      </c>
      <c r="C54" s="233" t="s">
        <v>26</v>
      </c>
      <c r="D54" s="234" t="s">
        <v>32</v>
      </c>
      <c r="E54" s="234" t="s">
        <v>194</v>
      </c>
      <c r="F54" s="235" t="s">
        <v>305</v>
      </c>
      <c r="G54" s="235" t="s">
        <v>306</v>
      </c>
      <c r="H54" s="236" t="s">
        <v>307</v>
      </c>
      <c r="I54" s="234" t="s">
        <v>125</v>
      </c>
      <c r="J54" s="234" t="s">
        <v>38</v>
      </c>
      <c r="K54" s="234" t="s">
        <v>28</v>
      </c>
      <c r="L54" s="234" t="s">
        <v>28</v>
      </c>
      <c r="M54" s="234" t="s">
        <v>38</v>
      </c>
      <c r="N54" s="297">
        <v>0</v>
      </c>
      <c r="O54" s="234" t="s">
        <v>28</v>
      </c>
      <c r="P54" s="297">
        <v>5596929800</v>
      </c>
      <c r="Q54" s="237">
        <v>40743</v>
      </c>
      <c r="R54" s="297">
        <v>18260000000</v>
      </c>
      <c r="S54" s="237">
        <v>42543</v>
      </c>
      <c r="T54" s="297">
        <v>24920000000</v>
      </c>
      <c r="U54" s="237">
        <v>45322</v>
      </c>
      <c r="V54" s="199">
        <f t="shared" si="1"/>
        <v>0</v>
      </c>
      <c r="W54" s="234" t="s">
        <v>28</v>
      </c>
      <c r="X54" s="199">
        <f t="shared" si="2"/>
        <v>5596929800</v>
      </c>
      <c r="Y54" s="237">
        <v>40743</v>
      </c>
      <c r="Z54" s="199">
        <f t="shared" si="3"/>
        <v>18260000000</v>
      </c>
      <c r="AA54" s="237">
        <v>42543</v>
      </c>
      <c r="AB54" s="199">
        <f t="shared" si="4"/>
        <v>24920000000</v>
      </c>
      <c r="AC54" s="237">
        <v>45322</v>
      </c>
      <c r="AD54" s="235" t="s">
        <v>295</v>
      </c>
      <c r="AE54" s="238" t="s">
        <v>879</v>
      </c>
      <c r="AF54" s="239" t="s">
        <v>68</v>
      </c>
      <c r="AG54" s="240" t="s">
        <v>68</v>
      </c>
      <c r="AH54" s="241" t="s">
        <v>887</v>
      </c>
      <c r="AI54" s="21" t="s">
        <v>887</v>
      </c>
      <c r="AJ54" s="202" t="s">
        <v>1121</v>
      </c>
      <c r="AK54" s="203" t="s">
        <v>1154</v>
      </c>
      <c r="AL54" s="198" t="s">
        <v>1149</v>
      </c>
      <c r="AM54" s="198" t="s">
        <v>1150</v>
      </c>
      <c r="AN54" s="198" t="s">
        <v>1151</v>
      </c>
      <c r="AO54" s="204">
        <v>1</v>
      </c>
      <c r="AP54" s="198" t="s">
        <v>1112</v>
      </c>
      <c r="AQ54" s="198"/>
      <c r="AR54" s="198"/>
    </row>
    <row r="55" spans="1:44" s="231" customFormat="1">
      <c r="A55" s="232">
        <v>103</v>
      </c>
      <c r="B55" s="243" t="s">
        <v>25</v>
      </c>
      <c r="C55" s="243" t="s">
        <v>26</v>
      </c>
      <c r="D55" s="244" t="s">
        <v>32</v>
      </c>
      <c r="E55" s="244" t="s">
        <v>194</v>
      </c>
      <c r="F55" s="245" t="s">
        <v>308</v>
      </c>
      <c r="G55" s="245" t="s">
        <v>309</v>
      </c>
      <c r="H55" s="246" t="s">
        <v>310</v>
      </c>
      <c r="I55" s="244" t="s">
        <v>43</v>
      </c>
      <c r="J55" s="244" t="s">
        <v>38</v>
      </c>
      <c r="K55" s="244" t="s">
        <v>28</v>
      </c>
      <c r="L55" s="244" t="s">
        <v>28</v>
      </c>
      <c r="M55" s="244" t="s">
        <v>38</v>
      </c>
      <c r="N55" s="301">
        <v>0</v>
      </c>
      <c r="O55" s="244" t="s">
        <v>28</v>
      </c>
      <c r="P55" s="302">
        <v>0</v>
      </c>
      <c r="Q55" s="244" t="s">
        <v>28</v>
      </c>
      <c r="R55" s="302">
        <v>4274184706.0000005</v>
      </c>
      <c r="S55" s="247">
        <v>42356</v>
      </c>
      <c r="T55" s="303">
        <v>7755550000.000001</v>
      </c>
      <c r="U55" s="247">
        <v>45629</v>
      </c>
      <c r="V55" s="199">
        <f t="shared" si="1"/>
        <v>0</v>
      </c>
      <c r="W55" s="244" t="s">
        <v>28</v>
      </c>
      <c r="X55" s="199">
        <f t="shared" si="2"/>
        <v>0</v>
      </c>
      <c r="Y55" s="244" t="s">
        <v>28</v>
      </c>
      <c r="Z55" s="199">
        <f t="shared" si="3"/>
        <v>4274184706.0000005</v>
      </c>
      <c r="AA55" s="247">
        <v>42356</v>
      </c>
      <c r="AB55" s="199">
        <f t="shared" si="4"/>
        <v>7755550000.000001</v>
      </c>
      <c r="AC55" s="247">
        <v>45629</v>
      </c>
      <c r="AD55" s="245" t="s">
        <v>295</v>
      </c>
      <c r="AE55" s="248" t="s">
        <v>879</v>
      </c>
      <c r="AF55" s="249" t="s">
        <v>68</v>
      </c>
      <c r="AG55" s="250" t="s">
        <v>895</v>
      </c>
      <c r="AH55" s="251" t="s">
        <v>887</v>
      </c>
      <c r="AI55" s="230" t="s">
        <v>887</v>
      </c>
      <c r="AJ55" s="202" t="s">
        <v>1147</v>
      </c>
      <c r="AK55" s="203" t="s">
        <v>1148</v>
      </c>
      <c r="AL55" s="198" t="s">
        <v>1193</v>
      </c>
      <c r="AM55" s="198" t="s">
        <v>1194</v>
      </c>
      <c r="AN55" s="198" t="s">
        <v>1195</v>
      </c>
      <c r="AO55" s="204">
        <v>1</v>
      </c>
      <c r="AP55" s="200" t="s">
        <v>1164</v>
      </c>
      <c r="AQ55" s="198"/>
      <c r="AR55" s="198"/>
    </row>
    <row r="56" spans="1:44">
      <c r="A56" s="232">
        <v>105</v>
      </c>
      <c r="B56" s="233" t="s">
        <v>25</v>
      </c>
      <c r="C56" s="233" t="s">
        <v>26</v>
      </c>
      <c r="D56" s="234" t="s">
        <v>32</v>
      </c>
      <c r="E56" s="234" t="s">
        <v>194</v>
      </c>
      <c r="F56" s="235" t="s">
        <v>313</v>
      </c>
      <c r="G56" s="235" t="s">
        <v>314</v>
      </c>
      <c r="H56" s="236" t="s">
        <v>315</v>
      </c>
      <c r="I56" s="234" t="s">
        <v>118</v>
      </c>
      <c r="J56" s="234" t="s">
        <v>38</v>
      </c>
      <c r="K56" s="234" t="s">
        <v>28</v>
      </c>
      <c r="L56" s="234" t="s">
        <v>28</v>
      </c>
      <c r="M56" s="234" t="s">
        <v>38</v>
      </c>
      <c r="N56" s="297">
        <v>0</v>
      </c>
      <c r="O56" s="234" t="s">
        <v>28</v>
      </c>
      <c r="P56" s="299">
        <v>0</v>
      </c>
      <c r="Q56" s="234" t="s">
        <v>28</v>
      </c>
      <c r="R56" s="299">
        <v>3454000000.0000005</v>
      </c>
      <c r="S56" s="237">
        <v>42571</v>
      </c>
      <c r="T56" s="298">
        <v>2949959999.8000002</v>
      </c>
      <c r="U56" s="237">
        <v>45537</v>
      </c>
      <c r="V56" s="199">
        <f t="shared" si="1"/>
        <v>0</v>
      </c>
      <c r="W56" s="234" t="s">
        <v>28</v>
      </c>
      <c r="X56" s="199">
        <f t="shared" si="2"/>
        <v>0</v>
      </c>
      <c r="Y56" s="234" t="s">
        <v>28</v>
      </c>
      <c r="Z56" s="199">
        <f t="shared" si="3"/>
        <v>3454000000.0000005</v>
      </c>
      <c r="AA56" s="237">
        <v>42571</v>
      </c>
      <c r="AB56" s="199">
        <f t="shared" si="4"/>
        <v>2949959999.8000002</v>
      </c>
      <c r="AC56" s="237">
        <v>45537</v>
      </c>
      <c r="AD56" s="235" t="s">
        <v>295</v>
      </c>
      <c r="AE56" s="238" t="s">
        <v>879</v>
      </c>
      <c r="AF56" s="239" t="s">
        <v>68</v>
      </c>
      <c r="AG56" s="240" t="s">
        <v>68</v>
      </c>
      <c r="AH56" s="241" t="s">
        <v>887</v>
      </c>
      <c r="AI56" s="21" t="s">
        <v>887</v>
      </c>
      <c r="AJ56" s="202" t="s">
        <v>1121</v>
      </c>
      <c r="AK56" s="203" t="s">
        <v>1144</v>
      </c>
      <c r="AL56" s="198"/>
      <c r="AM56" s="198" t="s">
        <v>1123</v>
      </c>
      <c r="AN56" s="198" t="s">
        <v>1124</v>
      </c>
      <c r="AO56" s="204">
        <v>1</v>
      </c>
      <c r="AP56" s="198" t="s">
        <v>1112</v>
      </c>
      <c r="AQ56" s="198"/>
      <c r="AR56" s="198"/>
    </row>
    <row r="57" spans="1:44">
      <c r="A57" s="232">
        <v>106</v>
      </c>
      <c r="B57" s="233" t="s">
        <v>25</v>
      </c>
      <c r="C57" s="233" t="s">
        <v>26</v>
      </c>
      <c r="D57" s="234" t="s">
        <v>32</v>
      </c>
      <c r="E57" s="234" t="s">
        <v>194</v>
      </c>
      <c r="F57" s="235" t="s">
        <v>316</v>
      </c>
      <c r="G57" s="235" t="s">
        <v>317</v>
      </c>
      <c r="H57" s="236" t="s">
        <v>318</v>
      </c>
      <c r="I57" s="234" t="s">
        <v>118</v>
      </c>
      <c r="J57" s="234" t="s">
        <v>38</v>
      </c>
      <c r="K57" s="234" t="s">
        <v>28</v>
      </c>
      <c r="L57" s="234" t="s">
        <v>28</v>
      </c>
      <c r="M57" s="234" t="s">
        <v>38</v>
      </c>
      <c r="N57" s="297">
        <v>0</v>
      </c>
      <c r="O57" s="234" t="s">
        <v>28</v>
      </c>
      <c r="P57" s="299">
        <v>0</v>
      </c>
      <c r="Q57" s="234" t="s">
        <v>28</v>
      </c>
      <c r="R57" s="297">
        <v>7747000000</v>
      </c>
      <c r="S57" s="237">
        <v>43703</v>
      </c>
      <c r="T57" s="298">
        <v>0</v>
      </c>
      <c r="U57" s="237" t="s">
        <v>28</v>
      </c>
      <c r="V57" s="199">
        <f t="shared" si="1"/>
        <v>0</v>
      </c>
      <c r="W57" s="234" t="s">
        <v>28</v>
      </c>
      <c r="X57" s="199">
        <f t="shared" si="2"/>
        <v>0</v>
      </c>
      <c r="Y57" s="234" t="s">
        <v>28</v>
      </c>
      <c r="Z57" s="199">
        <f t="shared" si="3"/>
        <v>7747000000</v>
      </c>
      <c r="AA57" s="237">
        <v>43703</v>
      </c>
      <c r="AB57" s="199">
        <f t="shared" si="4"/>
        <v>0</v>
      </c>
      <c r="AC57" s="237" t="s">
        <v>28</v>
      </c>
      <c r="AD57" s="235" t="s">
        <v>295</v>
      </c>
      <c r="AE57" s="238" t="s">
        <v>879</v>
      </c>
      <c r="AF57" s="239" t="s">
        <v>68</v>
      </c>
      <c r="AG57" s="240" t="s">
        <v>68</v>
      </c>
      <c r="AH57" s="241" t="s">
        <v>887</v>
      </c>
      <c r="AI57" s="21" t="s">
        <v>887</v>
      </c>
      <c r="AJ57" s="202" t="s">
        <v>1196</v>
      </c>
      <c r="AK57" s="203" t="s">
        <v>1197</v>
      </c>
      <c r="AL57" s="198" t="s">
        <v>1198</v>
      </c>
      <c r="AM57" s="198" t="s">
        <v>1199</v>
      </c>
      <c r="AN57" s="198" t="s">
        <v>1200</v>
      </c>
      <c r="AO57" s="204">
        <v>1</v>
      </c>
      <c r="AP57" s="200" t="s">
        <v>1201</v>
      </c>
      <c r="AQ57" s="198"/>
      <c r="AR57" s="198"/>
    </row>
    <row r="58" spans="1:44">
      <c r="A58" s="232">
        <v>107</v>
      </c>
      <c r="B58" s="233" t="s">
        <v>25</v>
      </c>
      <c r="C58" s="233" t="s">
        <v>26</v>
      </c>
      <c r="D58" s="234" t="s">
        <v>32</v>
      </c>
      <c r="E58" s="234" t="s">
        <v>194</v>
      </c>
      <c r="F58" s="235" t="s">
        <v>319</v>
      </c>
      <c r="G58" s="235" t="s">
        <v>320</v>
      </c>
      <c r="H58" s="236" t="s">
        <v>321</v>
      </c>
      <c r="I58" s="234" t="s">
        <v>53</v>
      </c>
      <c r="J58" s="234" t="s">
        <v>38</v>
      </c>
      <c r="K58" s="234" t="s">
        <v>28</v>
      </c>
      <c r="L58" s="234" t="s">
        <v>28</v>
      </c>
      <c r="M58" s="234" t="s">
        <v>38</v>
      </c>
      <c r="N58" s="297">
        <v>0</v>
      </c>
      <c r="O58" s="234" t="s">
        <v>28</v>
      </c>
      <c r="P58" s="299">
        <v>193188050.00000003</v>
      </c>
      <c r="Q58" s="300">
        <v>42661</v>
      </c>
      <c r="R58" s="299">
        <v>154000000</v>
      </c>
      <c r="S58" s="237">
        <v>44243</v>
      </c>
      <c r="T58" s="298">
        <v>0</v>
      </c>
      <c r="U58" s="237" t="s">
        <v>28</v>
      </c>
      <c r="V58" s="199">
        <f t="shared" si="1"/>
        <v>0</v>
      </c>
      <c r="W58" s="234" t="s">
        <v>28</v>
      </c>
      <c r="X58" s="199">
        <f t="shared" si="2"/>
        <v>193188050.00000003</v>
      </c>
      <c r="Y58" s="300">
        <v>42661</v>
      </c>
      <c r="Z58" s="199">
        <f t="shared" si="3"/>
        <v>154000000</v>
      </c>
      <c r="AA58" s="237">
        <v>44243</v>
      </c>
      <c r="AB58" s="199">
        <f t="shared" si="4"/>
        <v>0</v>
      </c>
      <c r="AC58" s="237" t="s">
        <v>28</v>
      </c>
      <c r="AD58" s="235" t="s">
        <v>295</v>
      </c>
      <c r="AE58" s="238" t="s">
        <v>879</v>
      </c>
      <c r="AF58" s="239" t="s">
        <v>68</v>
      </c>
      <c r="AG58" s="240" t="s">
        <v>68</v>
      </c>
      <c r="AH58" s="241" t="s">
        <v>887</v>
      </c>
      <c r="AI58" s="21" t="s">
        <v>887</v>
      </c>
      <c r="AJ58" s="202" t="s">
        <v>1121</v>
      </c>
      <c r="AK58" s="203" t="s">
        <v>1178</v>
      </c>
      <c r="AL58" s="198"/>
      <c r="AM58" s="198" t="s">
        <v>1123</v>
      </c>
      <c r="AN58" s="198" t="s">
        <v>1124</v>
      </c>
      <c r="AO58" s="204">
        <v>1</v>
      </c>
      <c r="AP58" s="198" t="s">
        <v>1112</v>
      </c>
      <c r="AQ58" s="198"/>
      <c r="AR58" s="198"/>
    </row>
    <row r="59" spans="1:44">
      <c r="A59" s="232">
        <v>108</v>
      </c>
      <c r="B59" s="233" t="s">
        <v>25</v>
      </c>
      <c r="C59" s="233" t="s">
        <v>26</v>
      </c>
      <c r="D59" s="234" t="s">
        <v>32</v>
      </c>
      <c r="E59" s="234" t="s">
        <v>194</v>
      </c>
      <c r="F59" s="235" t="s">
        <v>322</v>
      </c>
      <c r="G59" s="235" t="s">
        <v>323</v>
      </c>
      <c r="H59" s="236" t="s">
        <v>324</v>
      </c>
      <c r="I59" s="234" t="s">
        <v>125</v>
      </c>
      <c r="J59" s="234" t="s">
        <v>38</v>
      </c>
      <c r="K59" s="234" t="s">
        <v>28</v>
      </c>
      <c r="L59" s="234" t="s">
        <v>28</v>
      </c>
      <c r="M59" s="234" t="s">
        <v>38</v>
      </c>
      <c r="N59" s="297">
        <v>0</v>
      </c>
      <c r="O59" s="234" t="s">
        <v>28</v>
      </c>
      <c r="P59" s="297">
        <v>5487900000</v>
      </c>
      <c r="Q59" s="237">
        <v>40791</v>
      </c>
      <c r="R59" s="297">
        <v>31636000000</v>
      </c>
      <c r="S59" s="237">
        <v>43383</v>
      </c>
      <c r="T59" s="298">
        <v>0</v>
      </c>
      <c r="U59" s="237" t="s">
        <v>28</v>
      </c>
      <c r="V59" s="199">
        <f t="shared" si="1"/>
        <v>0</v>
      </c>
      <c r="W59" s="234" t="s">
        <v>28</v>
      </c>
      <c r="X59" s="199">
        <f t="shared" si="2"/>
        <v>5487900000</v>
      </c>
      <c r="Y59" s="237">
        <v>40791</v>
      </c>
      <c r="Z59" s="199">
        <f t="shared" si="3"/>
        <v>31636000000</v>
      </c>
      <c r="AA59" s="237">
        <v>43383</v>
      </c>
      <c r="AB59" s="199">
        <f t="shared" si="4"/>
        <v>0</v>
      </c>
      <c r="AC59" s="237" t="s">
        <v>28</v>
      </c>
      <c r="AD59" s="235" t="s">
        <v>65</v>
      </c>
      <c r="AE59" s="238" t="s">
        <v>880</v>
      </c>
      <c r="AF59" s="239" t="s">
        <v>68</v>
      </c>
      <c r="AG59" s="240" t="s">
        <v>68</v>
      </c>
      <c r="AH59" s="241" t="s">
        <v>887</v>
      </c>
      <c r="AI59" s="21" t="s">
        <v>887</v>
      </c>
      <c r="AJ59" s="206" t="s">
        <v>1115</v>
      </c>
      <c r="AK59" s="207" t="s">
        <v>1116</v>
      </c>
      <c r="AL59" s="198" t="s">
        <v>1202</v>
      </c>
      <c r="AM59" s="198" t="s">
        <v>1203</v>
      </c>
      <c r="AN59" s="198" t="s">
        <v>1204</v>
      </c>
      <c r="AO59" s="204">
        <v>1</v>
      </c>
      <c r="AP59" s="198" t="s">
        <v>1120</v>
      </c>
      <c r="AQ59" s="198"/>
      <c r="AR59" s="198"/>
    </row>
    <row r="60" spans="1:44">
      <c r="A60" s="232">
        <v>109</v>
      </c>
      <c r="B60" s="233" t="s">
        <v>25</v>
      </c>
      <c r="C60" s="233" t="s">
        <v>26</v>
      </c>
      <c r="D60" s="234" t="s">
        <v>32</v>
      </c>
      <c r="E60" s="234" t="s">
        <v>194</v>
      </c>
      <c r="F60" s="235" t="s">
        <v>325</v>
      </c>
      <c r="G60" s="235" t="s">
        <v>326</v>
      </c>
      <c r="H60" s="236" t="s">
        <v>327</v>
      </c>
      <c r="I60" s="234" t="s">
        <v>53</v>
      </c>
      <c r="J60" s="234" t="s">
        <v>38</v>
      </c>
      <c r="K60" s="234" t="s">
        <v>28</v>
      </c>
      <c r="L60" s="234" t="s">
        <v>28</v>
      </c>
      <c r="M60" s="234" t="s">
        <v>38</v>
      </c>
      <c r="N60" s="297">
        <v>0</v>
      </c>
      <c r="O60" s="237" t="s">
        <v>28</v>
      </c>
      <c r="P60" s="299">
        <v>0</v>
      </c>
      <c r="Q60" s="234" t="s">
        <v>28</v>
      </c>
      <c r="R60" s="299">
        <v>1670000000.9000001</v>
      </c>
      <c r="S60" s="237">
        <v>43958</v>
      </c>
      <c r="T60" s="298">
        <v>0</v>
      </c>
      <c r="U60" s="237" t="s">
        <v>28</v>
      </c>
      <c r="V60" s="199">
        <f t="shared" si="1"/>
        <v>0</v>
      </c>
      <c r="W60" s="237" t="s">
        <v>28</v>
      </c>
      <c r="X60" s="199">
        <f t="shared" si="2"/>
        <v>0</v>
      </c>
      <c r="Y60" s="234" t="s">
        <v>28</v>
      </c>
      <c r="Z60" s="199">
        <f t="shared" si="3"/>
        <v>1670000000.9000001</v>
      </c>
      <c r="AA60" s="237">
        <v>43958</v>
      </c>
      <c r="AB60" s="199">
        <f t="shared" si="4"/>
        <v>0</v>
      </c>
      <c r="AC60" s="237" t="s">
        <v>28</v>
      </c>
      <c r="AD60" s="235" t="s">
        <v>65</v>
      </c>
      <c r="AE60" s="238" t="s">
        <v>880</v>
      </c>
      <c r="AF60" s="239" t="s">
        <v>68</v>
      </c>
      <c r="AG60" s="240" t="s">
        <v>68</v>
      </c>
      <c r="AH60" s="241" t="s">
        <v>887</v>
      </c>
      <c r="AI60" s="21" t="s">
        <v>887</v>
      </c>
      <c r="AJ60" s="202" t="s">
        <v>1180</v>
      </c>
      <c r="AK60" s="203" t="s">
        <v>1144</v>
      </c>
      <c r="AL60" s="198"/>
      <c r="AM60" s="198" t="s">
        <v>1123</v>
      </c>
      <c r="AN60" s="198" t="s">
        <v>1124</v>
      </c>
      <c r="AO60" s="204">
        <v>1</v>
      </c>
      <c r="AP60" s="198" t="s">
        <v>1152</v>
      </c>
      <c r="AQ60" s="198"/>
      <c r="AR60" s="198"/>
    </row>
    <row r="61" spans="1:44">
      <c r="A61" s="232">
        <v>110</v>
      </c>
      <c r="B61" s="233" t="s">
        <v>25</v>
      </c>
      <c r="C61" s="233" t="s">
        <v>26</v>
      </c>
      <c r="D61" s="234" t="s">
        <v>32</v>
      </c>
      <c r="E61" s="234" t="s">
        <v>194</v>
      </c>
      <c r="F61" s="235" t="s">
        <v>328</v>
      </c>
      <c r="G61" s="235" t="s">
        <v>329</v>
      </c>
      <c r="H61" s="236" t="s">
        <v>330</v>
      </c>
      <c r="I61" s="234" t="s">
        <v>57</v>
      </c>
      <c r="J61" s="234" t="s">
        <v>38</v>
      </c>
      <c r="K61" s="234" t="s">
        <v>28</v>
      </c>
      <c r="L61" s="234" t="s">
        <v>28</v>
      </c>
      <c r="M61" s="234" t="s">
        <v>38</v>
      </c>
      <c r="N61" s="297">
        <v>57468400000.000008</v>
      </c>
      <c r="O61" s="237">
        <v>40011</v>
      </c>
      <c r="P61" s="297">
        <v>37228000000</v>
      </c>
      <c r="Q61" s="237">
        <v>40962</v>
      </c>
      <c r="R61" s="297">
        <v>54373000000</v>
      </c>
      <c r="S61" s="237">
        <v>42738</v>
      </c>
      <c r="T61" s="298">
        <v>0</v>
      </c>
      <c r="U61" s="237" t="s">
        <v>28</v>
      </c>
      <c r="V61" s="199">
        <f t="shared" si="1"/>
        <v>57468400000.000008</v>
      </c>
      <c r="W61" s="237">
        <v>40011</v>
      </c>
      <c r="X61" s="199">
        <f t="shared" si="2"/>
        <v>37228000000</v>
      </c>
      <c r="Y61" s="237">
        <v>40962</v>
      </c>
      <c r="Z61" s="199">
        <f t="shared" si="3"/>
        <v>54373000000</v>
      </c>
      <c r="AA61" s="237">
        <v>42738</v>
      </c>
      <c r="AB61" s="199">
        <f t="shared" si="4"/>
        <v>0</v>
      </c>
      <c r="AC61" s="237" t="s">
        <v>28</v>
      </c>
      <c r="AD61" s="235" t="s">
        <v>65</v>
      </c>
      <c r="AE61" s="238" t="s">
        <v>880</v>
      </c>
      <c r="AF61" s="239" t="s">
        <v>68</v>
      </c>
      <c r="AG61" s="240" t="s">
        <v>68</v>
      </c>
      <c r="AH61" s="241" t="s">
        <v>887</v>
      </c>
      <c r="AI61" s="21" t="s">
        <v>887</v>
      </c>
      <c r="AJ61" s="202" t="s">
        <v>1147</v>
      </c>
      <c r="AK61" s="203" t="s">
        <v>1205</v>
      </c>
      <c r="AL61" s="198"/>
      <c r="AM61" s="198"/>
      <c r="AN61" s="198"/>
      <c r="AO61" s="204">
        <v>1</v>
      </c>
      <c r="AP61" s="198" t="s">
        <v>1152</v>
      </c>
      <c r="AQ61" s="198"/>
      <c r="AR61" s="198"/>
    </row>
    <row r="62" spans="1:44">
      <c r="A62" s="232">
        <v>111</v>
      </c>
      <c r="B62" s="233" t="s">
        <v>25</v>
      </c>
      <c r="C62" s="233" t="s">
        <v>26</v>
      </c>
      <c r="D62" s="234" t="s">
        <v>32</v>
      </c>
      <c r="E62" s="234" t="s">
        <v>194</v>
      </c>
      <c r="F62" s="235" t="s">
        <v>331</v>
      </c>
      <c r="G62" s="235" t="s">
        <v>332</v>
      </c>
      <c r="H62" s="236" t="s">
        <v>333</v>
      </c>
      <c r="I62" s="234" t="s">
        <v>53</v>
      </c>
      <c r="J62" s="234" t="s">
        <v>38</v>
      </c>
      <c r="K62" s="234" t="s">
        <v>28</v>
      </c>
      <c r="L62" s="234" t="s">
        <v>28</v>
      </c>
      <c r="M62" s="234" t="s">
        <v>38</v>
      </c>
      <c r="N62" s="297">
        <v>0</v>
      </c>
      <c r="O62" s="234" t="s">
        <v>28</v>
      </c>
      <c r="P62" s="299">
        <v>0</v>
      </c>
      <c r="Q62" s="234" t="s">
        <v>28</v>
      </c>
      <c r="R62" s="299">
        <v>2750000000</v>
      </c>
      <c r="S62" s="237">
        <v>42521</v>
      </c>
      <c r="T62" s="298">
        <v>0</v>
      </c>
      <c r="U62" s="237" t="s">
        <v>28</v>
      </c>
      <c r="V62" s="199">
        <f t="shared" si="1"/>
        <v>0</v>
      </c>
      <c r="W62" s="234" t="s">
        <v>28</v>
      </c>
      <c r="X62" s="199">
        <f t="shared" si="2"/>
        <v>0</v>
      </c>
      <c r="Y62" s="234" t="s">
        <v>28</v>
      </c>
      <c r="Z62" s="199">
        <f t="shared" si="3"/>
        <v>2750000000</v>
      </c>
      <c r="AA62" s="237">
        <v>42521</v>
      </c>
      <c r="AB62" s="199">
        <f t="shared" si="4"/>
        <v>0</v>
      </c>
      <c r="AC62" s="237" t="s">
        <v>28</v>
      </c>
      <c r="AD62" s="235" t="s">
        <v>65</v>
      </c>
      <c r="AE62" s="238" t="s">
        <v>880</v>
      </c>
      <c r="AF62" s="239" t="s">
        <v>68</v>
      </c>
      <c r="AG62" s="240" t="s">
        <v>68</v>
      </c>
      <c r="AH62" s="241" t="s">
        <v>887</v>
      </c>
      <c r="AI62" s="21" t="s">
        <v>887</v>
      </c>
      <c r="AJ62" s="202" t="s">
        <v>1121</v>
      </c>
      <c r="AK62" s="203" t="s">
        <v>1178</v>
      </c>
      <c r="AL62" s="198" t="s">
        <v>1193</v>
      </c>
      <c r="AM62" s="198" t="s">
        <v>1194</v>
      </c>
      <c r="AN62" s="198" t="s">
        <v>1195</v>
      </c>
      <c r="AO62" s="204">
        <v>1</v>
      </c>
      <c r="AP62" s="198" t="s">
        <v>1112</v>
      </c>
      <c r="AQ62" s="198"/>
      <c r="AR62" s="198"/>
    </row>
    <row r="63" spans="1:44">
      <c r="A63" s="232">
        <v>112</v>
      </c>
      <c r="B63" s="233" t="s">
        <v>25</v>
      </c>
      <c r="C63" s="233" t="s">
        <v>26</v>
      </c>
      <c r="D63" s="234" t="s">
        <v>32</v>
      </c>
      <c r="E63" s="234" t="s">
        <v>194</v>
      </c>
      <c r="F63" s="235" t="s">
        <v>334</v>
      </c>
      <c r="G63" s="235" t="s">
        <v>335</v>
      </c>
      <c r="H63" s="236" t="s">
        <v>336</v>
      </c>
      <c r="I63" s="234" t="s">
        <v>53</v>
      </c>
      <c r="J63" s="234" t="s">
        <v>38</v>
      </c>
      <c r="K63" s="234" t="s">
        <v>28</v>
      </c>
      <c r="L63" s="234" t="s">
        <v>28</v>
      </c>
      <c r="M63" s="234" t="s">
        <v>38</v>
      </c>
      <c r="N63" s="297">
        <v>0</v>
      </c>
      <c r="O63" s="234" t="s">
        <v>28</v>
      </c>
      <c r="P63" s="299">
        <v>0</v>
      </c>
      <c r="Q63" s="234" t="s">
        <v>28</v>
      </c>
      <c r="R63" s="299">
        <v>2822483672.8000002</v>
      </c>
      <c r="S63" s="237">
        <v>43238</v>
      </c>
      <c r="T63" s="298">
        <v>0</v>
      </c>
      <c r="U63" s="237" t="s">
        <v>28</v>
      </c>
      <c r="V63" s="199">
        <f t="shared" si="1"/>
        <v>0</v>
      </c>
      <c r="W63" s="234" t="s">
        <v>28</v>
      </c>
      <c r="X63" s="199">
        <f t="shared" si="2"/>
        <v>0</v>
      </c>
      <c r="Y63" s="234" t="s">
        <v>28</v>
      </c>
      <c r="Z63" s="199">
        <f t="shared" si="3"/>
        <v>2822483672.8000002</v>
      </c>
      <c r="AA63" s="237">
        <v>43238</v>
      </c>
      <c r="AB63" s="199">
        <f t="shared" si="4"/>
        <v>0</v>
      </c>
      <c r="AC63" s="237" t="s">
        <v>28</v>
      </c>
      <c r="AD63" s="235" t="s">
        <v>65</v>
      </c>
      <c r="AE63" s="238" t="s">
        <v>880</v>
      </c>
      <c r="AF63" s="239" t="s">
        <v>887</v>
      </c>
      <c r="AG63" s="240" t="s">
        <v>68</v>
      </c>
      <c r="AH63" s="241" t="s">
        <v>887</v>
      </c>
      <c r="AI63" s="21" t="s">
        <v>887</v>
      </c>
      <c r="AJ63" s="202" t="s">
        <v>1121</v>
      </c>
      <c r="AK63" s="203" t="s">
        <v>1144</v>
      </c>
      <c r="AL63" s="198"/>
      <c r="AM63" s="198" t="s">
        <v>1123</v>
      </c>
      <c r="AN63" s="198" t="s">
        <v>1124</v>
      </c>
      <c r="AO63" s="204">
        <v>1</v>
      </c>
      <c r="AP63" s="198" t="s">
        <v>1112</v>
      </c>
      <c r="AQ63" s="198"/>
      <c r="AR63" s="198"/>
    </row>
    <row r="64" spans="1:44">
      <c r="A64" s="232">
        <v>113</v>
      </c>
      <c r="B64" s="233" t="s">
        <v>25</v>
      </c>
      <c r="C64" s="233" t="s">
        <v>26</v>
      </c>
      <c r="D64" s="234" t="s">
        <v>32</v>
      </c>
      <c r="E64" s="234" t="s">
        <v>194</v>
      </c>
      <c r="F64" s="235" t="s">
        <v>337</v>
      </c>
      <c r="G64" s="235" t="s">
        <v>338</v>
      </c>
      <c r="H64" s="236" t="s">
        <v>339</v>
      </c>
      <c r="I64" s="234" t="s">
        <v>53</v>
      </c>
      <c r="J64" s="234" t="s">
        <v>38</v>
      </c>
      <c r="K64" s="234" t="s">
        <v>28</v>
      </c>
      <c r="L64" s="234" t="s">
        <v>28</v>
      </c>
      <c r="M64" s="234" t="s">
        <v>38</v>
      </c>
      <c r="N64" s="297">
        <v>7909000000</v>
      </c>
      <c r="O64" s="237">
        <v>43588</v>
      </c>
      <c r="P64" s="299">
        <v>0</v>
      </c>
      <c r="Q64" s="234" t="s">
        <v>28</v>
      </c>
      <c r="R64" s="299">
        <v>0</v>
      </c>
      <c r="S64" s="237" t="s">
        <v>28</v>
      </c>
      <c r="T64" s="298">
        <v>0</v>
      </c>
      <c r="U64" s="237" t="s">
        <v>28</v>
      </c>
      <c r="V64" s="199">
        <f t="shared" si="1"/>
        <v>7909000000</v>
      </c>
      <c r="W64" s="237">
        <v>43588</v>
      </c>
      <c r="X64" s="199">
        <f t="shared" si="2"/>
        <v>0</v>
      </c>
      <c r="Y64" s="234" t="s">
        <v>28</v>
      </c>
      <c r="Z64" s="199">
        <f t="shared" si="3"/>
        <v>0</v>
      </c>
      <c r="AA64" s="237" t="s">
        <v>28</v>
      </c>
      <c r="AB64" s="199">
        <f t="shared" si="4"/>
        <v>0</v>
      </c>
      <c r="AC64" s="237" t="s">
        <v>28</v>
      </c>
      <c r="AD64" s="235" t="s">
        <v>65</v>
      </c>
      <c r="AE64" s="238" t="s">
        <v>880</v>
      </c>
      <c r="AF64" s="239" t="s">
        <v>887</v>
      </c>
      <c r="AG64" s="240" t="s">
        <v>68</v>
      </c>
      <c r="AH64" s="241" t="s">
        <v>887</v>
      </c>
      <c r="AI64" s="21" t="s">
        <v>887</v>
      </c>
      <c r="AJ64" s="206" t="s">
        <v>1115</v>
      </c>
      <c r="AK64" s="207" t="s">
        <v>1116</v>
      </c>
      <c r="AL64" s="198" t="s">
        <v>1206</v>
      </c>
      <c r="AM64" s="198" t="s">
        <v>1207</v>
      </c>
      <c r="AN64" s="198" t="s">
        <v>1208</v>
      </c>
      <c r="AO64" s="204">
        <v>1</v>
      </c>
      <c r="AP64" s="198" t="s">
        <v>1120</v>
      </c>
      <c r="AQ64" s="198"/>
      <c r="AR64" s="198"/>
    </row>
    <row r="65" spans="1:44">
      <c r="A65" s="232">
        <v>114</v>
      </c>
      <c r="B65" s="233" t="s">
        <v>25</v>
      </c>
      <c r="C65" s="233" t="s">
        <v>26</v>
      </c>
      <c r="D65" s="234" t="s">
        <v>32</v>
      </c>
      <c r="E65" s="234" t="s">
        <v>194</v>
      </c>
      <c r="F65" s="235" t="s">
        <v>340</v>
      </c>
      <c r="G65" s="235" t="s">
        <v>341</v>
      </c>
      <c r="H65" s="236" t="s">
        <v>342</v>
      </c>
      <c r="I65" s="234" t="s">
        <v>43</v>
      </c>
      <c r="J65" s="234" t="s">
        <v>38</v>
      </c>
      <c r="K65" s="234" t="s">
        <v>28</v>
      </c>
      <c r="L65" s="234" t="s">
        <v>28</v>
      </c>
      <c r="M65" s="234" t="s">
        <v>38</v>
      </c>
      <c r="N65" s="297">
        <v>0</v>
      </c>
      <c r="O65" s="234" t="s">
        <v>28</v>
      </c>
      <c r="P65" s="299">
        <v>0</v>
      </c>
      <c r="Q65" s="234" t="s">
        <v>28</v>
      </c>
      <c r="R65" s="299">
        <v>2111214600.0000002</v>
      </c>
      <c r="S65" s="237">
        <v>42738</v>
      </c>
      <c r="T65" s="298">
        <v>2538431500</v>
      </c>
      <c r="U65" s="237">
        <v>45447</v>
      </c>
      <c r="V65" s="199">
        <f t="shared" si="1"/>
        <v>0</v>
      </c>
      <c r="W65" s="234" t="s">
        <v>28</v>
      </c>
      <c r="X65" s="199">
        <f t="shared" si="2"/>
        <v>0</v>
      </c>
      <c r="Y65" s="234" t="s">
        <v>28</v>
      </c>
      <c r="Z65" s="199">
        <f t="shared" si="3"/>
        <v>2111214600.0000002</v>
      </c>
      <c r="AA65" s="237">
        <v>42738</v>
      </c>
      <c r="AB65" s="199">
        <f t="shared" si="4"/>
        <v>2538431500</v>
      </c>
      <c r="AC65" s="237">
        <v>45447</v>
      </c>
      <c r="AD65" s="235" t="s">
        <v>65</v>
      </c>
      <c r="AE65" s="238" t="s">
        <v>880</v>
      </c>
      <c r="AF65" s="239" t="s">
        <v>887</v>
      </c>
      <c r="AG65" s="240" t="s">
        <v>68</v>
      </c>
      <c r="AH65" s="241" t="s">
        <v>887</v>
      </c>
      <c r="AI65" s="21" t="s">
        <v>887</v>
      </c>
      <c r="AJ65" s="202" t="s">
        <v>1159</v>
      </c>
      <c r="AK65" s="203" t="s">
        <v>1160</v>
      </c>
      <c r="AL65" s="198" t="s">
        <v>1209</v>
      </c>
      <c r="AM65" s="198" t="s">
        <v>1210</v>
      </c>
      <c r="AN65" s="198" t="s">
        <v>1211</v>
      </c>
      <c r="AO65" s="204">
        <v>1</v>
      </c>
      <c r="AP65" s="200" t="s">
        <v>1164</v>
      </c>
      <c r="AQ65" s="198"/>
      <c r="AR65" s="198"/>
    </row>
    <row r="66" spans="1:44">
      <c r="A66" s="232">
        <v>119</v>
      </c>
      <c r="B66" s="233" t="s">
        <v>25</v>
      </c>
      <c r="C66" s="233" t="s">
        <v>26</v>
      </c>
      <c r="D66" s="234" t="s">
        <v>32</v>
      </c>
      <c r="E66" s="234" t="s">
        <v>194</v>
      </c>
      <c r="F66" s="235" t="s">
        <v>352</v>
      </c>
      <c r="G66" s="235" t="s">
        <v>353</v>
      </c>
      <c r="H66" s="236" t="s">
        <v>354</v>
      </c>
      <c r="I66" s="234" t="s">
        <v>37</v>
      </c>
      <c r="J66" s="234" t="s">
        <v>38</v>
      </c>
      <c r="K66" s="234" t="s">
        <v>28</v>
      </c>
      <c r="L66" s="234" t="s">
        <v>28</v>
      </c>
      <c r="M66" s="234" t="s">
        <v>38</v>
      </c>
      <c r="N66" s="297">
        <v>0</v>
      </c>
      <c r="O66" s="234" t="s">
        <v>28</v>
      </c>
      <c r="P66" s="299">
        <v>0</v>
      </c>
      <c r="Q66" s="234" t="s">
        <v>28</v>
      </c>
      <c r="R66" s="299">
        <v>0</v>
      </c>
      <c r="S66" s="237" t="s">
        <v>28</v>
      </c>
      <c r="T66" s="297">
        <v>11814000000</v>
      </c>
      <c r="U66" s="237">
        <v>45545</v>
      </c>
      <c r="V66" s="199">
        <f t="shared" si="1"/>
        <v>0</v>
      </c>
      <c r="W66" s="234" t="s">
        <v>28</v>
      </c>
      <c r="X66" s="199">
        <f t="shared" si="2"/>
        <v>0</v>
      </c>
      <c r="Y66" s="234" t="s">
        <v>28</v>
      </c>
      <c r="Z66" s="199">
        <f t="shared" si="3"/>
        <v>0</v>
      </c>
      <c r="AA66" s="237" t="s">
        <v>28</v>
      </c>
      <c r="AB66" s="199">
        <f t="shared" si="4"/>
        <v>11814000000</v>
      </c>
      <c r="AC66" s="237">
        <v>45545</v>
      </c>
      <c r="AD66" s="235" t="s">
        <v>205</v>
      </c>
      <c r="AE66" s="238" t="s">
        <v>884</v>
      </c>
      <c r="AF66" s="239" t="s">
        <v>887</v>
      </c>
      <c r="AG66" s="240" t="s">
        <v>68</v>
      </c>
      <c r="AH66" s="241" t="s">
        <v>887</v>
      </c>
      <c r="AI66" s="21" t="s">
        <v>887</v>
      </c>
      <c r="AJ66" s="202" t="s">
        <v>1121</v>
      </c>
      <c r="AK66" s="203" t="s">
        <v>1154</v>
      </c>
      <c r="AL66" s="198" t="s">
        <v>1212</v>
      </c>
      <c r="AM66" s="198" t="s">
        <v>1213</v>
      </c>
      <c r="AN66" s="198" t="s">
        <v>1214</v>
      </c>
      <c r="AO66" s="204">
        <v>1</v>
      </c>
      <c r="AP66" s="198" t="s">
        <v>1112</v>
      </c>
      <c r="AQ66" s="198"/>
      <c r="AR66" s="198"/>
    </row>
    <row r="67" spans="1:44">
      <c r="A67" s="232">
        <v>120</v>
      </c>
      <c r="B67" s="233" t="s">
        <v>25</v>
      </c>
      <c r="C67" s="233" t="s">
        <v>26</v>
      </c>
      <c r="D67" s="234" t="s">
        <v>32</v>
      </c>
      <c r="E67" s="234" t="s">
        <v>194</v>
      </c>
      <c r="F67" s="235" t="s">
        <v>355</v>
      </c>
      <c r="G67" s="235" t="s">
        <v>356</v>
      </c>
      <c r="H67" s="236" t="s">
        <v>357</v>
      </c>
      <c r="I67" s="234" t="s">
        <v>53</v>
      </c>
      <c r="J67" s="234" t="s">
        <v>38</v>
      </c>
      <c r="K67" s="234" t="s">
        <v>28</v>
      </c>
      <c r="L67" s="234" t="s">
        <v>28</v>
      </c>
      <c r="M67" s="234" t="s">
        <v>38</v>
      </c>
      <c r="N67" s="297">
        <v>0</v>
      </c>
      <c r="O67" s="234" t="s">
        <v>28</v>
      </c>
      <c r="P67" s="299">
        <v>0</v>
      </c>
      <c r="Q67" s="234" t="s">
        <v>28</v>
      </c>
      <c r="R67" s="297">
        <v>5411000000</v>
      </c>
      <c r="S67" s="237">
        <v>45154</v>
      </c>
      <c r="T67" s="298">
        <v>0</v>
      </c>
      <c r="U67" s="237" t="s">
        <v>28</v>
      </c>
      <c r="V67" s="199">
        <f t="shared" ref="V67:V130" si="5">N67*$AO67</f>
        <v>0</v>
      </c>
      <c r="W67" s="234" t="s">
        <v>28</v>
      </c>
      <c r="X67" s="199">
        <f t="shared" ref="X67:X130" si="6">P67*$AO67</f>
        <v>0</v>
      </c>
      <c r="Y67" s="234" t="s">
        <v>28</v>
      </c>
      <c r="Z67" s="199">
        <f t="shared" ref="Z67:Z130" si="7">R67*$AO67</f>
        <v>5411000000</v>
      </c>
      <c r="AA67" s="237">
        <v>45154</v>
      </c>
      <c r="AB67" s="199">
        <f t="shared" ref="AB67:AB130" si="8">T67*$AO67</f>
        <v>0</v>
      </c>
      <c r="AC67" s="237" t="s">
        <v>28</v>
      </c>
      <c r="AD67" s="235" t="s">
        <v>65</v>
      </c>
      <c r="AE67" s="238" t="s">
        <v>880</v>
      </c>
      <c r="AF67" s="239" t="s">
        <v>887</v>
      </c>
      <c r="AG67" s="240" t="s">
        <v>68</v>
      </c>
      <c r="AH67" s="241" t="s">
        <v>887</v>
      </c>
      <c r="AI67" s="21" t="s">
        <v>887</v>
      </c>
      <c r="AJ67" s="202" t="s">
        <v>1180</v>
      </c>
      <c r="AK67" s="203" t="s">
        <v>1144</v>
      </c>
      <c r="AL67" s="198"/>
      <c r="AM67" s="198" t="s">
        <v>1123</v>
      </c>
      <c r="AN67" s="198" t="s">
        <v>1124</v>
      </c>
      <c r="AO67" s="204">
        <v>1</v>
      </c>
      <c r="AP67" s="198" t="s">
        <v>1152</v>
      </c>
      <c r="AQ67" s="198"/>
      <c r="AR67" s="198"/>
    </row>
    <row r="68" spans="1:44" s="231" customFormat="1">
      <c r="A68" s="232">
        <v>121</v>
      </c>
      <c r="B68" s="243" t="s">
        <v>25</v>
      </c>
      <c r="C68" s="243" t="s">
        <v>26</v>
      </c>
      <c r="D68" s="244" t="s">
        <v>32</v>
      </c>
      <c r="E68" s="244" t="s">
        <v>194</v>
      </c>
      <c r="F68" s="245" t="s">
        <v>358</v>
      </c>
      <c r="G68" s="245" t="s">
        <v>359</v>
      </c>
      <c r="H68" s="246" t="s">
        <v>360</v>
      </c>
      <c r="I68" s="244" t="s">
        <v>37</v>
      </c>
      <c r="J68" s="244" t="s">
        <v>38</v>
      </c>
      <c r="K68" s="244" t="s">
        <v>28</v>
      </c>
      <c r="L68" s="244" t="s">
        <v>28</v>
      </c>
      <c r="M68" s="244" t="s">
        <v>38</v>
      </c>
      <c r="N68" s="301">
        <v>0</v>
      </c>
      <c r="O68" s="244" t="s">
        <v>28</v>
      </c>
      <c r="P68" s="302">
        <v>0</v>
      </c>
      <c r="Q68" s="244" t="s">
        <v>28</v>
      </c>
      <c r="R68" s="302">
        <v>0</v>
      </c>
      <c r="S68" s="247" t="s">
        <v>28</v>
      </c>
      <c r="T68" s="301">
        <v>8072000000</v>
      </c>
      <c r="U68" s="247">
        <v>45440</v>
      </c>
      <c r="V68" s="199">
        <f t="shared" si="5"/>
        <v>0</v>
      </c>
      <c r="W68" s="244" t="s">
        <v>28</v>
      </c>
      <c r="X68" s="199">
        <f t="shared" si="6"/>
        <v>0</v>
      </c>
      <c r="Y68" s="244" t="s">
        <v>28</v>
      </c>
      <c r="Z68" s="199">
        <f t="shared" si="7"/>
        <v>0</v>
      </c>
      <c r="AA68" s="247" t="s">
        <v>28</v>
      </c>
      <c r="AB68" s="199">
        <f t="shared" si="8"/>
        <v>2825200000</v>
      </c>
      <c r="AC68" s="247">
        <v>45440</v>
      </c>
      <c r="AD68" s="245" t="s">
        <v>65</v>
      </c>
      <c r="AE68" s="248" t="s">
        <v>880</v>
      </c>
      <c r="AF68" s="249" t="s">
        <v>887</v>
      </c>
      <c r="AG68" s="250" t="s">
        <v>897</v>
      </c>
      <c r="AH68" s="251" t="s">
        <v>887</v>
      </c>
      <c r="AI68" s="230" t="s">
        <v>887</v>
      </c>
      <c r="AJ68" s="202" t="s">
        <v>1147</v>
      </c>
      <c r="AK68" s="203" t="s">
        <v>1148</v>
      </c>
      <c r="AL68" s="198" t="s">
        <v>1149</v>
      </c>
      <c r="AM68" s="198" t="s">
        <v>1150</v>
      </c>
      <c r="AN68" s="198" t="s">
        <v>1151</v>
      </c>
      <c r="AO68" s="204">
        <v>0.35</v>
      </c>
      <c r="AP68" s="198" t="s">
        <v>1152</v>
      </c>
      <c r="AQ68" s="198"/>
      <c r="AR68" s="198"/>
    </row>
    <row r="69" spans="1:44">
      <c r="A69" s="232">
        <v>122</v>
      </c>
      <c r="B69" s="233" t="s">
        <v>25</v>
      </c>
      <c r="C69" s="233" t="s">
        <v>26</v>
      </c>
      <c r="D69" s="234" t="s">
        <v>32</v>
      </c>
      <c r="E69" s="234" t="s">
        <v>194</v>
      </c>
      <c r="F69" s="235" t="s">
        <v>361</v>
      </c>
      <c r="G69" s="235" t="s">
        <v>362</v>
      </c>
      <c r="H69" s="236" t="s">
        <v>363</v>
      </c>
      <c r="I69" s="234" t="s">
        <v>37</v>
      </c>
      <c r="J69" s="234" t="s">
        <v>38</v>
      </c>
      <c r="K69" s="234" t="s">
        <v>28</v>
      </c>
      <c r="L69" s="234" t="s">
        <v>28</v>
      </c>
      <c r="M69" s="234" t="s">
        <v>38</v>
      </c>
      <c r="N69" s="297">
        <v>0</v>
      </c>
      <c r="O69" s="234" t="s">
        <v>28</v>
      </c>
      <c r="P69" s="299">
        <v>0</v>
      </c>
      <c r="Q69" s="234" t="s">
        <v>28</v>
      </c>
      <c r="R69" s="299">
        <v>3685000000.0000005</v>
      </c>
      <c r="S69" s="237">
        <v>42481</v>
      </c>
      <c r="T69" s="298">
        <v>0</v>
      </c>
      <c r="U69" s="237" t="s">
        <v>28</v>
      </c>
      <c r="V69" s="199">
        <f t="shared" si="5"/>
        <v>0</v>
      </c>
      <c r="W69" s="234" t="s">
        <v>28</v>
      </c>
      <c r="X69" s="199">
        <f t="shared" si="6"/>
        <v>0</v>
      </c>
      <c r="Y69" s="234" t="s">
        <v>28</v>
      </c>
      <c r="Z69" s="199">
        <f t="shared" si="7"/>
        <v>3685000000.0000005</v>
      </c>
      <c r="AA69" s="237">
        <v>42481</v>
      </c>
      <c r="AB69" s="199">
        <f t="shared" si="8"/>
        <v>0</v>
      </c>
      <c r="AC69" s="237" t="s">
        <v>28</v>
      </c>
      <c r="AD69" s="235" t="s">
        <v>65</v>
      </c>
      <c r="AE69" s="238" t="s">
        <v>880</v>
      </c>
      <c r="AF69" s="239" t="s">
        <v>887</v>
      </c>
      <c r="AG69" s="240" t="s">
        <v>68</v>
      </c>
      <c r="AH69" s="241" t="s">
        <v>887</v>
      </c>
      <c r="AI69" s="21" t="s">
        <v>887</v>
      </c>
      <c r="AJ69" s="202" t="s">
        <v>1180</v>
      </c>
      <c r="AK69" s="203" t="s">
        <v>1131</v>
      </c>
      <c r="AL69" s="198" t="s">
        <v>1136</v>
      </c>
      <c r="AM69" s="198" t="s">
        <v>1137</v>
      </c>
      <c r="AN69" s="198" t="s">
        <v>1138</v>
      </c>
      <c r="AO69" s="204">
        <v>1</v>
      </c>
      <c r="AP69" s="198" t="s">
        <v>1152</v>
      </c>
      <c r="AQ69" s="198"/>
      <c r="AR69" s="198"/>
    </row>
    <row r="70" spans="1:44" s="231" customFormat="1">
      <c r="A70" s="232">
        <v>123</v>
      </c>
      <c r="B70" s="243" t="s">
        <v>25</v>
      </c>
      <c r="C70" s="243" t="s">
        <v>26</v>
      </c>
      <c r="D70" s="244" t="s">
        <v>32</v>
      </c>
      <c r="E70" s="244" t="s">
        <v>194</v>
      </c>
      <c r="F70" s="245" t="s">
        <v>364</v>
      </c>
      <c r="G70" s="245" t="s">
        <v>365</v>
      </c>
      <c r="H70" s="246" t="s">
        <v>366</v>
      </c>
      <c r="I70" s="244" t="s">
        <v>37</v>
      </c>
      <c r="J70" s="244" t="s">
        <v>38</v>
      </c>
      <c r="K70" s="244" t="s">
        <v>28</v>
      </c>
      <c r="L70" s="244" t="s">
        <v>28</v>
      </c>
      <c r="M70" s="244" t="s">
        <v>38</v>
      </c>
      <c r="N70" s="301">
        <v>0</v>
      </c>
      <c r="O70" s="244" t="s">
        <v>28</v>
      </c>
      <c r="P70" s="302">
        <v>0</v>
      </c>
      <c r="Q70" s="244" t="s">
        <v>28</v>
      </c>
      <c r="R70" s="301">
        <v>5545000000</v>
      </c>
      <c r="S70" s="247">
        <v>42279</v>
      </c>
      <c r="T70" s="301">
        <v>7307000000</v>
      </c>
      <c r="U70" s="247">
        <v>45462</v>
      </c>
      <c r="V70" s="199">
        <f t="shared" si="5"/>
        <v>0</v>
      </c>
      <c r="W70" s="244" t="s">
        <v>28</v>
      </c>
      <c r="X70" s="199">
        <f t="shared" si="6"/>
        <v>0</v>
      </c>
      <c r="Y70" s="244" t="s">
        <v>28</v>
      </c>
      <c r="Z70" s="199">
        <f t="shared" si="7"/>
        <v>5545000000</v>
      </c>
      <c r="AA70" s="247">
        <v>42279</v>
      </c>
      <c r="AB70" s="199">
        <f t="shared" si="8"/>
        <v>7307000000</v>
      </c>
      <c r="AC70" s="247">
        <v>45462</v>
      </c>
      <c r="AD70" s="245" t="s">
        <v>65</v>
      </c>
      <c r="AE70" s="248" t="s">
        <v>880</v>
      </c>
      <c r="AF70" s="249" t="s">
        <v>887</v>
      </c>
      <c r="AG70" s="250" t="s">
        <v>895</v>
      </c>
      <c r="AH70" s="251" t="s">
        <v>887</v>
      </c>
      <c r="AI70" s="230" t="s">
        <v>887</v>
      </c>
      <c r="AJ70" s="202" t="s">
        <v>1147</v>
      </c>
      <c r="AK70" s="203" t="s">
        <v>1148</v>
      </c>
      <c r="AL70" s="198" t="s">
        <v>1149</v>
      </c>
      <c r="AM70" s="198" t="s">
        <v>1150</v>
      </c>
      <c r="AN70" s="198" t="s">
        <v>1151</v>
      </c>
      <c r="AO70" s="204">
        <v>1</v>
      </c>
      <c r="AP70" s="295" t="s">
        <v>1215</v>
      </c>
      <c r="AQ70" s="198"/>
      <c r="AR70" s="198"/>
    </row>
    <row r="71" spans="1:44" s="231" customFormat="1">
      <c r="A71" s="232">
        <v>124</v>
      </c>
      <c r="B71" s="243" t="s">
        <v>25</v>
      </c>
      <c r="C71" s="243" t="s">
        <v>26</v>
      </c>
      <c r="D71" s="244" t="s">
        <v>32</v>
      </c>
      <c r="E71" s="244" t="s">
        <v>194</v>
      </c>
      <c r="F71" s="245" t="s">
        <v>367</v>
      </c>
      <c r="G71" s="245" t="s">
        <v>368</v>
      </c>
      <c r="H71" s="246" t="s">
        <v>369</v>
      </c>
      <c r="I71" s="244" t="s">
        <v>37</v>
      </c>
      <c r="J71" s="244" t="s">
        <v>38</v>
      </c>
      <c r="K71" s="244" t="s">
        <v>28</v>
      </c>
      <c r="L71" s="244" t="s">
        <v>28</v>
      </c>
      <c r="M71" s="244" t="s">
        <v>38</v>
      </c>
      <c r="N71" s="301">
        <v>0</v>
      </c>
      <c r="O71" s="244" t="s">
        <v>28</v>
      </c>
      <c r="P71" s="302">
        <v>0</v>
      </c>
      <c r="Q71" s="244" t="s">
        <v>28</v>
      </c>
      <c r="R71" s="302">
        <v>2479999992.8000002</v>
      </c>
      <c r="S71" s="247">
        <v>42716</v>
      </c>
      <c r="T71" s="303">
        <v>3251523999.9000001</v>
      </c>
      <c r="U71" s="247">
        <v>45450</v>
      </c>
      <c r="V71" s="199">
        <f t="shared" si="5"/>
        <v>0</v>
      </c>
      <c r="W71" s="244" t="s">
        <v>28</v>
      </c>
      <c r="X71" s="199">
        <f t="shared" si="6"/>
        <v>0</v>
      </c>
      <c r="Y71" s="244" t="s">
        <v>28</v>
      </c>
      <c r="Z71" s="199">
        <f t="shared" si="7"/>
        <v>2479999992.8000002</v>
      </c>
      <c r="AA71" s="247">
        <v>42716</v>
      </c>
      <c r="AB71" s="199">
        <f t="shared" si="8"/>
        <v>3251523999.9000001</v>
      </c>
      <c r="AC71" s="247">
        <v>45450</v>
      </c>
      <c r="AD71" s="245" t="s">
        <v>65</v>
      </c>
      <c r="AE71" s="248" t="s">
        <v>880</v>
      </c>
      <c r="AF71" s="249" t="s">
        <v>887</v>
      </c>
      <c r="AG71" s="250" t="s">
        <v>895</v>
      </c>
      <c r="AH71" s="251" t="s">
        <v>887</v>
      </c>
      <c r="AI71" s="230" t="s">
        <v>887</v>
      </c>
      <c r="AJ71" s="202" t="s">
        <v>1147</v>
      </c>
      <c r="AK71" s="203" t="s">
        <v>1148</v>
      </c>
      <c r="AL71" s="198" t="s">
        <v>1149</v>
      </c>
      <c r="AM71" s="198" t="s">
        <v>1150</v>
      </c>
      <c r="AN71" s="198" t="s">
        <v>1151</v>
      </c>
      <c r="AO71" s="204">
        <v>1</v>
      </c>
      <c r="AP71" s="198" t="s">
        <v>1152</v>
      </c>
      <c r="AQ71" s="198"/>
      <c r="AR71" s="198"/>
    </row>
    <row r="72" spans="1:44">
      <c r="A72" s="232">
        <v>125</v>
      </c>
      <c r="B72" s="233" t="s">
        <v>25</v>
      </c>
      <c r="C72" s="233" t="s">
        <v>26</v>
      </c>
      <c r="D72" s="234" t="s">
        <v>32</v>
      </c>
      <c r="E72" s="234" t="s">
        <v>194</v>
      </c>
      <c r="F72" s="235" t="s">
        <v>370</v>
      </c>
      <c r="G72" s="235" t="s">
        <v>371</v>
      </c>
      <c r="H72" s="236" t="s">
        <v>372</v>
      </c>
      <c r="I72" s="234" t="s">
        <v>37</v>
      </c>
      <c r="J72" s="234" t="s">
        <v>38</v>
      </c>
      <c r="K72" s="234" t="s">
        <v>28</v>
      </c>
      <c r="L72" s="234" t="s">
        <v>28</v>
      </c>
      <c r="M72" s="234" t="s">
        <v>38</v>
      </c>
      <c r="N72" s="297">
        <v>6588752170.000001</v>
      </c>
      <c r="O72" s="237">
        <v>40274</v>
      </c>
      <c r="P72" s="299">
        <v>0</v>
      </c>
      <c r="Q72" s="234" t="s">
        <v>28</v>
      </c>
      <c r="R72" s="297">
        <v>11300000000</v>
      </c>
      <c r="S72" s="237">
        <v>42702</v>
      </c>
      <c r="T72" s="298">
        <v>0</v>
      </c>
      <c r="U72" s="237" t="s">
        <v>28</v>
      </c>
      <c r="V72" s="199">
        <f t="shared" si="5"/>
        <v>6588752170.000001</v>
      </c>
      <c r="W72" s="237">
        <v>40274</v>
      </c>
      <c r="X72" s="199">
        <f t="shared" si="6"/>
        <v>0</v>
      </c>
      <c r="Y72" s="234" t="s">
        <v>28</v>
      </c>
      <c r="Z72" s="199">
        <f t="shared" si="7"/>
        <v>11300000000</v>
      </c>
      <c r="AA72" s="237">
        <v>42702</v>
      </c>
      <c r="AB72" s="199">
        <f t="shared" si="8"/>
        <v>0</v>
      </c>
      <c r="AC72" s="237" t="s">
        <v>28</v>
      </c>
      <c r="AD72" s="235" t="s">
        <v>65</v>
      </c>
      <c r="AE72" s="238" t="s">
        <v>880</v>
      </c>
      <c r="AF72" s="239" t="s">
        <v>887</v>
      </c>
      <c r="AG72" s="240" t="s">
        <v>68</v>
      </c>
      <c r="AH72" s="241" t="s">
        <v>887</v>
      </c>
      <c r="AI72" s="21" t="s">
        <v>887</v>
      </c>
      <c r="AJ72" s="202" t="s">
        <v>1159</v>
      </c>
      <c r="AK72" s="203" t="s">
        <v>1216</v>
      </c>
      <c r="AL72" s="198"/>
      <c r="AM72" s="198" t="s">
        <v>1123</v>
      </c>
      <c r="AN72" s="198" t="s">
        <v>1124</v>
      </c>
      <c r="AO72" s="204">
        <v>1</v>
      </c>
      <c r="AP72" s="200" t="s">
        <v>1164</v>
      </c>
      <c r="AQ72" s="198"/>
      <c r="AR72" s="198"/>
    </row>
    <row r="73" spans="1:44">
      <c r="A73" s="232">
        <v>126</v>
      </c>
      <c r="B73" s="233" t="s">
        <v>25</v>
      </c>
      <c r="C73" s="233" t="s">
        <v>26</v>
      </c>
      <c r="D73" s="234" t="s">
        <v>32</v>
      </c>
      <c r="E73" s="234" t="s">
        <v>194</v>
      </c>
      <c r="F73" s="235" t="s">
        <v>373</v>
      </c>
      <c r="G73" s="235" t="s">
        <v>374</v>
      </c>
      <c r="H73" s="236" t="s">
        <v>375</v>
      </c>
      <c r="I73" s="234" t="s">
        <v>125</v>
      </c>
      <c r="J73" s="234" t="s">
        <v>38</v>
      </c>
      <c r="K73" s="234" t="s">
        <v>28</v>
      </c>
      <c r="L73" s="234" t="s">
        <v>28</v>
      </c>
      <c r="M73" s="234" t="s">
        <v>38</v>
      </c>
      <c r="N73" s="297">
        <v>0</v>
      </c>
      <c r="O73" s="234" t="s">
        <v>28</v>
      </c>
      <c r="P73" s="299">
        <v>0</v>
      </c>
      <c r="Q73" s="234" t="s">
        <v>28</v>
      </c>
      <c r="R73" s="299">
        <v>0</v>
      </c>
      <c r="S73" s="237" t="s">
        <v>28</v>
      </c>
      <c r="T73" s="297">
        <v>6223000000</v>
      </c>
      <c r="U73" s="237">
        <v>45497</v>
      </c>
      <c r="V73" s="199">
        <f t="shared" si="5"/>
        <v>0</v>
      </c>
      <c r="W73" s="234" t="s">
        <v>28</v>
      </c>
      <c r="X73" s="199">
        <f t="shared" si="6"/>
        <v>0</v>
      </c>
      <c r="Y73" s="234" t="s">
        <v>28</v>
      </c>
      <c r="Z73" s="199">
        <f t="shared" si="7"/>
        <v>0</v>
      </c>
      <c r="AA73" s="237" t="s">
        <v>28</v>
      </c>
      <c r="AB73" s="199">
        <f t="shared" si="8"/>
        <v>6223000000</v>
      </c>
      <c r="AC73" s="237">
        <v>45497</v>
      </c>
      <c r="AD73" s="235" t="s">
        <v>65</v>
      </c>
      <c r="AE73" s="238" t="s">
        <v>880</v>
      </c>
      <c r="AF73" s="239" t="s">
        <v>887</v>
      </c>
      <c r="AG73" s="240" t="s">
        <v>68</v>
      </c>
      <c r="AH73" s="241" t="s">
        <v>887</v>
      </c>
      <c r="AI73" s="21" t="s">
        <v>887</v>
      </c>
      <c r="AJ73" s="202" t="s">
        <v>1121</v>
      </c>
      <c r="AK73" s="203" t="s">
        <v>1144</v>
      </c>
      <c r="AL73" s="198"/>
      <c r="AM73" s="198" t="s">
        <v>1123</v>
      </c>
      <c r="AN73" s="198" t="s">
        <v>1124</v>
      </c>
      <c r="AO73" s="204">
        <v>1</v>
      </c>
      <c r="AP73" s="198" t="s">
        <v>1112</v>
      </c>
      <c r="AQ73" s="198"/>
      <c r="AR73" s="198"/>
    </row>
    <row r="74" spans="1:44">
      <c r="A74" s="232">
        <v>127</v>
      </c>
      <c r="B74" s="233" t="s">
        <v>25</v>
      </c>
      <c r="C74" s="233" t="s">
        <v>26</v>
      </c>
      <c r="D74" s="234" t="s">
        <v>32</v>
      </c>
      <c r="E74" s="234" t="s">
        <v>194</v>
      </c>
      <c r="F74" s="235" t="s">
        <v>376</v>
      </c>
      <c r="G74" s="235" t="s">
        <v>377</v>
      </c>
      <c r="H74" s="236" t="s">
        <v>378</v>
      </c>
      <c r="I74" s="234" t="s">
        <v>125</v>
      </c>
      <c r="J74" s="234" t="s">
        <v>38</v>
      </c>
      <c r="K74" s="234" t="s">
        <v>28</v>
      </c>
      <c r="L74" s="234" t="s">
        <v>28</v>
      </c>
      <c r="M74" s="234" t="s">
        <v>38</v>
      </c>
      <c r="N74" s="297">
        <v>0</v>
      </c>
      <c r="O74" s="234" t="s">
        <v>28</v>
      </c>
      <c r="P74" s="299">
        <v>0</v>
      </c>
      <c r="Q74" s="234" t="s">
        <v>28</v>
      </c>
      <c r="R74" s="299">
        <v>0</v>
      </c>
      <c r="S74" s="237" t="s">
        <v>28</v>
      </c>
      <c r="T74" s="298">
        <v>4752000000</v>
      </c>
      <c r="U74" s="237">
        <v>45362</v>
      </c>
      <c r="V74" s="199">
        <f t="shared" si="5"/>
        <v>0</v>
      </c>
      <c r="W74" s="234" t="s">
        <v>28</v>
      </c>
      <c r="X74" s="199">
        <f t="shared" si="6"/>
        <v>0</v>
      </c>
      <c r="Y74" s="234" t="s">
        <v>28</v>
      </c>
      <c r="Z74" s="199">
        <f t="shared" si="7"/>
        <v>0</v>
      </c>
      <c r="AA74" s="237" t="s">
        <v>28</v>
      </c>
      <c r="AB74" s="199">
        <f t="shared" si="8"/>
        <v>4752000000</v>
      </c>
      <c r="AC74" s="237">
        <v>45362</v>
      </c>
      <c r="AD74" s="235" t="s">
        <v>65</v>
      </c>
      <c r="AE74" s="238" t="s">
        <v>880</v>
      </c>
      <c r="AF74" s="239" t="s">
        <v>887</v>
      </c>
      <c r="AG74" s="240" t="s">
        <v>68</v>
      </c>
      <c r="AH74" s="241" t="s">
        <v>887</v>
      </c>
      <c r="AI74" s="21" t="s">
        <v>887</v>
      </c>
      <c r="AJ74" s="202" t="s">
        <v>1121</v>
      </c>
      <c r="AK74" s="203" t="s">
        <v>1144</v>
      </c>
      <c r="AL74" s="198"/>
      <c r="AM74" s="198" t="s">
        <v>1123</v>
      </c>
      <c r="AN74" s="198" t="s">
        <v>1124</v>
      </c>
      <c r="AO74" s="204">
        <v>1</v>
      </c>
      <c r="AP74" s="198" t="s">
        <v>1112</v>
      </c>
      <c r="AQ74" s="198"/>
      <c r="AR74" s="198"/>
    </row>
    <row r="75" spans="1:44">
      <c r="A75" s="232">
        <v>128</v>
      </c>
      <c r="B75" s="233" t="s">
        <v>25</v>
      </c>
      <c r="C75" s="233" t="s">
        <v>26</v>
      </c>
      <c r="D75" s="234" t="s">
        <v>32</v>
      </c>
      <c r="E75" s="234" t="s">
        <v>194</v>
      </c>
      <c r="F75" s="235" t="s">
        <v>379</v>
      </c>
      <c r="G75" s="235" t="s">
        <v>380</v>
      </c>
      <c r="H75" s="236" t="s">
        <v>381</v>
      </c>
      <c r="I75" s="234" t="s">
        <v>125</v>
      </c>
      <c r="J75" s="234" t="s">
        <v>38</v>
      </c>
      <c r="K75" s="234" t="s">
        <v>28</v>
      </c>
      <c r="L75" s="234" t="s">
        <v>28</v>
      </c>
      <c r="M75" s="234" t="s">
        <v>38</v>
      </c>
      <c r="N75" s="297">
        <v>0</v>
      </c>
      <c r="O75" s="234" t="s">
        <v>28</v>
      </c>
      <c r="P75" s="299">
        <v>0</v>
      </c>
      <c r="Q75" s="234" t="s">
        <v>28</v>
      </c>
      <c r="R75" s="299">
        <v>2985000000.4000001</v>
      </c>
      <c r="S75" s="237">
        <v>43223</v>
      </c>
      <c r="T75" s="298">
        <v>3974000000.3000002</v>
      </c>
      <c r="U75" s="237">
        <v>45282</v>
      </c>
      <c r="V75" s="199">
        <f t="shared" si="5"/>
        <v>0</v>
      </c>
      <c r="W75" s="234" t="s">
        <v>28</v>
      </c>
      <c r="X75" s="199">
        <f t="shared" si="6"/>
        <v>0</v>
      </c>
      <c r="Y75" s="234" t="s">
        <v>28</v>
      </c>
      <c r="Z75" s="199">
        <f t="shared" si="7"/>
        <v>2985000000.4000001</v>
      </c>
      <c r="AA75" s="237">
        <v>43223</v>
      </c>
      <c r="AB75" s="199">
        <f t="shared" si="8"/>
        <v>3974000000.3000002</v>
      </c>
      <c r="AC75" s="237">
        <v>45282</v>
      </c>
      <c r="AD75" s="235" t="s">
        <v>65</v>
      </c>
      <c r="AE75" s="238" t="s">
        <v>880</v>
      </c>
      <c r="AF75" s="239" t="s">
        <v>887</v>
      </c>
      <c r="AG75" s="240" t="s">
        <v>68</v>
      </c>
      <c r="AH75" s="241" t="s">
        <v>887</v>
      </c>
      <c r="AI75" s="21" t="s">
        <v>887</v>
      </c>
      <c r="AJ75" s="202" t="s">
        <v>1121</v>
      </c>
      <c r="AK75" s="203" t="s">
        <v>1144</v>
      </c>
      <c r="AL75" s="198"/>
      <c r="AM75" s="198" t="s">
        <v>1123</v>
      </c>
      <c r="AN75" s="198" t="s">
        <v>1124</v>
      </c>
      <c r="AO75" s="204">
        <v>1</v>
      </c>
      <c r="AP75" s="198" t="s">
        <v>1112</v>
      </c>
      <c r="AQ75" s="198"/>
      <c r="AR75" s="198"/>
    </row>
    <row r="76" spans="1:44">
      <c r="A76" s="232">
        <v>129</v>
      </c>
      <c r="B76" s="233" t="s">
        <v>25</v>
      </c>
      <c r="C76" s="233" t="s">
        <v>26</v>
      </c>
      <c r="D76" s="234" t="s">
        <v>32</v>
      </c>
      <c r="E76" s="234" t="s">
        <v>194</v>
      </c>
      <c r="F76" s="235" t="s">
        <v>382</v>
      </c>
      <c r="G76" s="235" t="s">
        <v>383</v>
      </c>
      <c r="H76" s="236" t="s">
        <v>384</v>
      </c>
      <c r="I76" s="234" t="s">
        <v>118</v>
      </c>
      <c r="J76" s="234" t="s">
        <v>38</v>
      </c>
      <c r="K76" s="234" t="s">
        <v>28</v>
      </c>
      <c r="L76" s="234" t="s">
        <v>28</v>
      </c>
      <c r="M76" s="234" t="s">
        <v>38</v>
      </c>
      <c r="N76" s="297">
        <v>0</v>
      </c>
      <c r="O76" s="234" t="s">
        <v>28</v>
      </c>
      <c r="P76" s="299">
        <v>3503133315</v>
      </c>
      <c r="Q76" s="300">
        <v>41368</v>
      </c>
      <c r="R76" s="299">
        <v>0</v>
      </c>
      <c r="S76" s="237" t="s">
        <v>28</v>
      </c>
      <c r="T76" s="298">
        <v>0</v>
      </c>
      <c r="U76" s="237" t="s">
        <v>28</v>
      </c>
      <c r="V76" s="199">
        <f t="shared" si="5"/>
        <v>0</v>
      </c>
      <c r="W76" s="234" t="s">
        <v>28</v>
      </c>
      <c r="X76" s="199">
        <f t="shared" si="6"/>
        <v>3503133315</v>
      </c>
      <c r="Y76" s="300">
        <v>41368</v>
      </c>
      <c r="Z76" s="199">
        <f t="shared" si="7"/>
        <v>0</v>
      </c>
      <c r="AA76" s="237" t="s">
        <v>28</v>
      </c>
      <c r="AB76" s="199">
        <f t="shared" si="8"/>
        <v>0</v>
      </c>
      <c r="AC76" s="237" t="s">
        <v>28</v>
      </c>
      <c r="AD76" s="235" t="s">
        <v>65</v>
      </c>
      <c r="AE76" s="238" t="s">
        <v>880</v>
      </c>
      <c r="AF76" s="239" t="s">
        <v>887</v>
      </c>
      <c r="AG76" s="240" t="s">
        <v>68</v>
      </c>
      <c r="AH76" s="241" t="s">
        <v>887</v>
      </c>
      <c r="AI76" s="21" t="s">
        <v>887</v>
      </c>
      <c r="AJ76" s="202" t="s">
        <v>1121</v>
      </c>
      <c r="AK76" s="203" t="s">
        <v>1154</v>
      </c>
      <c r="AL76" s="198" t="s">
        <v>1149</v>
      </c>
      <c r="AM76" s="198" t="s">
        <v>1150</v>
      </c>
      <c r="AN76" s="198" t="s">
        <v>1151</v>
      </c>
      <c r="AO76" s="204">
        <v>1</v>
      </c>
      <c r="AP76" s="198" t="s">
        <v>1112</v>
      </c>
      <c r="AQ76" s="198"/>
      <c r="AR76" s="198"/>
    </row>
    <row r="77" spans="1:44">
      <c r="A77" s="232">
        <v>130</v>
      </c>
      <c r="B77" s="233" t="s">
        <v>25</v>
      </c>
      <c r="C77" s="233" t="s">
        <v>26</v>
      </c>
      <c r="D77" s="234" t="s">
        <v>32</v>
      </c>
      <c r="E77" s="234" t="s">
        <v>194</v>
      </c>
      <c r="F77" s="235" t="s">
        <v>385</v>
      </c>
      <c r="G77" s="235" t="s">
        <v>386</v>
      </c>
      <c r="H77" s="236" t="s">
        <v>387</v>
      </c>
      <c r="I77" s="234" t="s">
        <v>125</v>
      </c>
      <c r="J77" s="234" t="s">
        <v>38</v>
      </c>
      <c r="K77" s="234" t="s">
        <v>28</v>
      </c>
      <c r="L77" s="234" t="s">
        <v>28</v>
      </c>
      <c r="M77" s="234" t="s">
        <v>38</v>
      </c>
      <c r="N77" s="297">
        <v>0</v>
      </c>
      <c r="O77" s="234" t="s">
        <v>28</v>
      </c>
      <c r="P77" s="299">
        <v>0</v>
      </c>
      <c r="Q77" s="234" t="s">
        <v>28</v>
      </c>
      <c r="R77" s="299">
        <v>289300000</v>
      </c>
      <c r="S77" s="237">
        <v>42345</v>
      </c>
      <c r="T77" s="298">
        <v>426360000.00000006</v>
      </c>
      <c r="U77" s="237">
        <v>45405</v>
      </c>
      <c r="V77" s="199">
        <f t="shared" si="5"/>
        <v>0</v>
      </c>
      <c r="W77" s="234" t="s">
        <v>28</v>
      </c>
      <c r="X77" s="199">
        <f t="shared" si="6"/>
        <v>0</v>
      </c>
      <c r="Y77" s="234" t="s">
        <v>28</v>
      </c>
      <c r="Z77" s="199">
        <f t="shared" si="7"/>
        <v>289300000</v>
      </c>
      <c r="AA77" s="237">
        <v>42345</v>
      </c>
      <c r="AB77" s="199">
        <f t="shared" si="8"/>
        <v>426360000.00000006</v>
      </c>
      <c r="AC77" s="237">
        <v>45405</v>
      </c>
      <c r="AD77" s="235" t="s">
        <v>65</v>
      </c>
      <c r="AE77" s="238" t="s">
        <v>880</v>
      </c>
      <c r="AF77" s="239" t="s">
        <v>887</v>
      </c>
      <c r="AG77" s="240" t="s">
        <v>68</v>
      </c>
      <c r="AH77" s="241" t="s">
        <v>887</v>
      </c>
      <c r="AI77" s="21" t="s">
        <v>887</v>
      </c>
      <c r="AJ77" s="202" t="s">
        <v>1159</v>
      </c>
      <c r="AK77" s="203" t="s">
        <v>1216</v>
      </c>
      <c r="AL77" s="198" t="s">
        <v>1217</v>
      </c>
      <c r="AM77" s="198" t="s">
        <v>1218</v>
      </c>
      <c r="AN77" s="198" t="s">
        <v>1219</v>
      </c>
      <c r="AO77" s="204">
        <v>1</v>
      </c>
      <c r="AP77" s="200" t="s">
        <v>1164</v>
      </c>
      <c r="AQ77" s="198"/>
      <c r="AR77" s="198"/>
    </row>
    <row r="78" spans="1:44">
      <c r="A78" s="232">
        <v>131</v>
      </c>
      <c r="B78" s="233" t="s">
        <v>25</v>
      </c>
      <c r="C78" s="233" t="s">
        <v>26</v>
      </c>
      <c r="D78" s="234" t="s">
        <v>32</v>
      </c>
      <c r="E78" s="234" t="s">
        <v>194</v>
      </c>
      <c r="F78" s="235" t="s">
        <v>388</v>
      </c>
      <c r="G78" s="235" t="s">
        <v>389</v>
      </c>
      <c r="H78" s="236" t="s">
        <v>390</v>
      </c>
      <c r="I78" s="234" t="s">
        <v>118</v>
      </c>
      <c r="J78" s="234" t="s">
        <v>38</v>
      </c>
      <c r="K78" s="234" t="s">
        <v>28</v>
      </c>
      <c r="L78" s="234" t="s">
        <v>28</v>
      </c>
      <c r="M78" s="234" t="s">
        <v>38</v>
      </c>
      <c r="N78" s="297">
        <v>0</v>
      </c>
      <c r="O78" s="234" t="s">
        <v>28</v>
      </c>
      <c r="P78" s="299">
        <v>2214375600</v>
      </c>
      <c r="Q78" s="300">
        <v>41235</v>
      </c>
      <c r="R78" s="299">
        <v>0</v>
      </c>
      <c r="S78" s="237" t="s">
        <v>28</v>
      </c>
      <c r="T78" s="298">
        <v>0</v>
      </c>
      <c r="U78" s="237" t="s">
        <v>28</v>
      </c>
      <c r="V78" s="199">
        <f t="shared" si="5"/>
        <v>0</v>
      </c>
      <c r="W78" s="234" t="s">
        <v>28</v>
      </c>
      <c r="X78" s="199">
        <f t="shared" si="6"/>
        <v>2214375600</v>
      </c>
      <c r="Y78" s="300">
        <v>41235</v>
      </c>
      <c r="Z78" s="199">
        <f t="shared" si="7"/>
        <v>0</v>
      </c>
      <c r="AA78" s="237" t="s">
        <v>28</v>
      </c>
      <c r="AB78" s="199">
        <f t="shared" si="8"/>
        <v>0</v>
      </c>
      <c r="AC78" s="237" t="s">
        <v>28</v>
      </c>
      <c r="AD78" s="235" t="s">
        <v>65</v>
      </c>
      <c r="AE78" s="238" t="s">
        <v>880</v>
      </c>
      <c r="AF78" s="239" t="s">
        <v>887</v>
      </c>
      <c r="AG78" s="240" t="s">
        <v>68</v>
      </c>
      <c r="AH78" s="241" t="s">
        <v>887</v>
      </c>
      <c r="AI78" s="21" t="s">
        <v>887</v>
      </c>
      <c r="AJ78" s="202" t="s">
        <v>1121</v>
      </c>
      <c r="AK78" s="203" t="s">
        <v>1144</v>
      </c>
      <c r="AL78" s="198"/>
      <c r="AM78" s="198" t="s">
        <v>1123</v>
      </c>
      <c r="AN78" s="198" t="s">
        <v>1124</v>
      </c>
      <c r="AO78" s="204">
        <v>1</v>
      </c>
      <c r="AP78" s="198" t="s">
        <v>1112</v>
      </c>
      <c r="AQ78" s="198"/>
      <c r="AR78" s="198"/>
    </row>
    <row r="79" spans="1:44">
      <c r="A79" s="232">
        <v>133</v>
      </c>
      <c r="B79" s="233" t="s">
        <v>25</v>
      </c>
      <c r="C79" s="233" t="s">
        <v>26</v>
      </c>
      <c r="D79" s="234" t="s">
        <v>32</v>
      </c>
      <c r="E79" s="234" t="s">
        <v>194</v>
      </c>
      <c r="F79" s="235" t="s">
        <v>394</v>
      </c>
      <c r="G79" s="235" t="s">
        <v>395</v>
      </c>
      <c r="H79" s="236" t="s">
        <v>396</v>
      </c>
      <c r="I79" s="234" t="s">
        <v>37</v>
      </c>
      <c r="J79" s="234" t="s">
        <v>38</v>
      </c>
      <c r="K79" s="234" t="s">
        <v>28</v>
      </c>
      <c r="L79" s="234" t="s">
        <v>28</v>
      </c>
      <c r="M79" s="234" t="s">
        <v>38</v>
      </c>
      <c r="N79" s="297">
        <v>0</v>
      </c>
      <c r="O79" s="234" t="s">
        <v>28</v>
      </c>
      <c r="P79" s="299">
        <v>0</v>
      </c>
      <c r="Q79" s="234" t="s">
        <v>28</v>
      </c>
      <c r="R79" s="299">
        <v>1270935600</v>
      </c>
      <c r="S79" s="237">
        <v>42794</v>
      </c>
      <c r="T79" s="298">
        <v>1407846000</v>
      </c>
      <c r="U79" s="237">
        <v>45615</v>
      </c>
      <c r="V79" s="199">
        <f t="shared" si="5"/>
        <v>0</v>
      </c>
      <c r="W79" s="234" t="s">
        <v>28</v>
      </c>
      <c r="X79" s="199">
        <f t="shared" si="6"/>
        <v>0</v>
      </c>
      <c r="Y79" s="234" t="s">
        <v>28</v>
      </c>
      <c r="Z79" s="199">
        <f t="shared" si="7"/>
        <v>1270935600</v>
      </c>
      <c r="AA79" s="237">
        <v>42794</v>
      </c>
      <c r="AB79" s="199">
        <f t="shared" si="8"/>
        <v>1407846000</v>
      </c>
      <c r="AC79" s="237">
        <v>45615</v>
      </c>
      <c r="AD79" s="235" t="s">
        <v>65</v>
      </c>
      <c r="AE79" s="238" t="s">
        <v>880</v>
      </c>
      <c r="AF79" s="239" t="s">
        <v>887</v>
      </c>
      <c r="AG79" s="240" t="s">
        <v>68</v>
      </c>
      <c r="AH79" s="241" t="s">
        <v>887</v>
      </c>
      <c r="AI79" s="21" t="s">
        <v>887</v>
      </c>
      <c r="AJ79" s="202" t="s">
        <v>1180</v>
      </c>
      <c r="AK79" s="203" t="s">
        <v>1131</v>
      </c>
      <c r="AL79" s="198" t="s">
        <v>1190</v>
      </c>
      <c r="AM79" s="198" t="s">
        <v>1191</v>
      </c>
      <c r="AN79" s="198" t="s">
        <v>1192</v>
      </c>
      <c r="AO79" s="204">
        <v>1</v>
      </c>
      <c r="AP79" s="198" t="s">
        <v>1152</v>
      </c>
      <c r="AQ79" s="198"/>
      <c r="AR79" s="198"/>
    </row>
    <row r="80" spans="1:44">
      <c r="A80" s="232">
        <v>135</v>
      </c>
      <c r="B80" s="233" t="s">
        <v>25</v>
      </c>
      <c r="C80" s="233" t="s">
        <v>26</v>
      </c>
      <c r="D80" s="234" t="s">
        <v>32</v>
      </c>
      <c r="E80" s="234" t="s">
        <v>194</v>
      </c>
      <c r="F80" s="235" t="s">
        <v>400</v>
      </c>
      <c r="G80" s="235" t="s">
        <v>401</v>
      </c>
      <c r="H80" s="236" t="s">
        <v>402</v>
      </c>
      <c r="I80" s="234" t="s">
        <v>118</v>
      </c>
      <c r="J80" s="234" t="s">
        <v>38</v>
      </c>
      <c r="K80" s="234" t="s">
        <v>28</v>
      </c>
      <c r="L80" s="234" t="s">
        <v>28</v>
      </c>
      <c r="M80" s="234" t="s">
        <v>38</v>
      </c>
      <c r="N80" s="297">
        <v>0</v>
      </c>
      <c r="O80" s="234" t="s">
        <v>28</v>
      </c>
      <c r="P80" s="299">
        <v>0</v>
      </c>
      <c r="Q80" s="234" t="s">
        <v>28</v>
      </c>
      <c r="R80" s="299">
        <v>968000000.00000012</v>
      </c>
      <c r="S80" s="237">
        <v>42387</v>
      </c>
      <c r="T80" s="298">
        <v>2063930000.0000002</v>
      </c>
      <c r="U80" s="237">
        <v>45447</v>
      </c>
      <c r="V80" s="199">
        <f t="shared" si="5"/>
        <v>0</v>
      </c>
      <c r="W80" s="234" t="s">
        <v>28</v>
      </c>
      <c r="X80" s="199">
        <f t="shared" si="6"/>
        <v>0</v>
      </c>
      <c r="Y80" s="234" t="s">
        <v>28</v>
      </c>
      <c r="Z80" s="199">
        <f t="shared" si="7"/>
        <v>968000000.00000012</v>
      </c>
      <c r="AA80" s="237">
        <v>42387</v>
      </c>
      <c r="AB80" s="199">
        <f t="shared" si="8"/>
        <v>2063930000.0000002</v>
      </c>
      <c r="AC80" s="237">
        <v>45447</v>
      </c>
      <c r="AD80" s="235" t="s">
        <v>65</v>
      </c>
      <c r="AE80" s="238" t="s">
        <v>880</v>
      </c>
      <c r="AF80" s="239" t="s">
        <v>887</v>
      </c>
      <c r="AG80" s="240" t="s">
        <v>68</v>
      </c>
      <c r="AH80" s="241" t="s">
        <v>887</v>
      </c>
      <c r="AI80" s="21" t="s">
        <v>887</v>
      </c>
      <c r="AJ80" s="202" t="s">
        <v>1159</v>
      </c>
      <c r="AK80" s="203" t="s">
        <v>1216</v>
      </c>
      <c r="AL80" s="198" t="s">
        <v>1217</v>
      </c>
      <c r="AM80" s="198" t="s">
        <v>1218</v>
      </c>
      <c r="AN80" s="198" t="s">
        <v>1219</v>
      </c>
      <c r="AO80" s="204">
        <v>1</v>
      </c>
      <c r="AP80" s="200" t="s">
        <v>1164</v>
      </c>
      <c r="AQ80" s="198"/>
      <c r="AR80" s="198"/>
    </row>
    <row r="81" spans="1:44">
      <c r="A81" s="232">
        <v>136</v>
      </c>
      <c r="B81" s="233" t="s">
        <v>25</v>
      </c>
      <c r="C81" s="233" t="s">
        <v>26</v>
      </c>
      <c r="D81" s="234" t="s">
        <v>32</v>
      </c>
      <c r="E81" s="234" t="s">
        <v>194</v>
      </c>
      <c r="F81" s="235" t="s">
        <v>403</v>
      </c>
      <c r="G81" s="235" t="s">
        <v>404</v>
      </c>
      <c r="H81" s="236" t="s">
        <v>405</v>
      </c>
      <c r="I81" s="234" t="s">
        <v>53</v>
      </c>
      <c r="J81" s="234" t="s">
        <v>38</v>
      </c>
      <c r="K81" s="234" t="s">
        <v>28</v>
      </c>
      <c r="L81" s="234" t="s">
        <v>28</v>
      </c>
      <c r="M81" s="234" t="s">
        <v>38</v>
      </c>
      <c r="N81" s="297">
        <v>0</v>
      </c>
      <c r="O81" s="234" t="s">
        <v>28</v>
      </c>
      <c r="P81" s="299">
        <v>0</v>
      </c>
      <c r="Q81" s="234" t="s">
        <v>28</v>
      </c>
      <c r="R81" s="299">
        <v>1038000000.4000001</v>
      </c>
      <c r="S81" s="237">
        <v>44266</v>
      </c>
      <c r="T81" s="298">
        <v>0</v>
      </c>
      <c r="U81" s="237" t="s">
        <v>28</v>
      </c>
      <c r="V81" s="199">
        <f t="shared" si="5"/>
        <v>0</v>
      </c>
      <c r="W81" s="234" t="s">
        <v>28</v>
      </c>
      <c r="X81" s="199">
        <f t="shared" si="6"/>
        <v>0</v>
      </c>
      <c r="Y81" s="234" t="s">
        <v>28</v>
      </c>
      <c r="Z81" s="199">
        <f t="shared" si="7"/>
        <v>1038000000.4000001</v>
      </c>
      <c r="AA81" s="237">
        <v>44266</v>
      </c>
      <c r="AB81" s="199">
        <f t="shared" si="8"/>
        <v>0</v>
      </c>
      <c r="AC81" s="237" t="s">
        <v>28</v>
      </c>
      <c r="AD81" s="235" t="s">
        <v>65</v>
      </c>
      <c r="AE81" s="238" t="s">
        <v>880</v>
      </c>
      <c r="AF81" s="239" t="s">
        <v>887</v>
      </c>
      <c r="AG81" s="240" t="s">
        <v>68</v>
      </c>
      <c r="AH81" s="241" t="s">
        <v>887</v>
      </c>
      <c r="AI81" s="21" t="s">
        <v>887</v>
      </c>
      <c r="AJ81" s="202" t="s">
        <v>1121</v>
      </c>
      <c r="AK81" s="203" t="s">
        <v>1144</v>
      </c>
      <c r="AL81" s="198"/>
      <c r="AM81" s="198" t="s">
        <v>1123</v>
      </c>
      <c r="AN81" s="198" t="s">
        <v>1124</v>
      </c>
      <c r="AO81" s="204">
        <v>1</v>
      </c>
      <c r="AP81" s="198" t="s">
        <v>1112</v>
      </c>
      <c r="AQ81" s="198"/>
      <c r="AR81" s="198"/>
    </row>
    <row r="82" spans="1:44">
      <c r="A82" s="232">
        <v>137</v>
      </c>
      <c r="B82" s="233" t="s">
        <v>25</v>
      </c>
      <c r="C82" s="233" t="s">
        <v>26</v>
      </c>
      <c r="D82" s="234" t="s">
        <v>32</v>
      </c>
      <c r="E82" s="234" t="s">
        <v>194</v>
      </c>
      <c r="F82" s="235" t="s">
        <v>406</v>
      </c>
      <c r="G82" s="235" t="s">
        <v>407</v>
      </c>
      <c r="H82" s="236" t="s">
        <v>408</v>
      </c>
      <c r="I82" s="234" t="s">
        <v>57</v>
      </c>
      <c r="J82" s="234" t="s">
        <v>38</v>
      </c>
      <c r="K82" s="234" t="s">
        <v>28</v>
      </c>
      <c r="L82" s="234" t="s">
        <v>28</v>
      </c>
      <c r="M82" s="234" t="s">
        <v>38</v>
      </c>
      <c r="N82" s="297">
        <v>0</v>
      </c>
      <c r="O82" s="234" t="s">
        <v>28</v>
      </c>
      <c r="P82" s="299">
        <v>0</v>
      </c>
      <c r="Q82" s="234" t="s">
        <v>28</v>
      </c>
      <c r="R82" s="299">
        <v>1082000000.4000001</v>
      </c>
      <c r="S82" s="237">
        <v>42845</v>
      </c>
      <c r="T82" s="298">
        <v>1544400000.0000002</v>
      </c>
      <c r="U82" s="237">
        <v>45358</v>
      </c>
      <c r="V82" s="199">
        <f t="shared" si="5"/>
        <v>0</v>
      </c>
      <c r="W82" s="234" t="s">
        <v>28</v>
      </c>
      <c r="X82" s="199">
        <f t="shared" si="6"/>
        <v>0</v>
      </c>
      <c r="Y82" s="234" t="s">
        <v>28</v>
      </c>
      <c r="Z82" s="199">
        <f t="shared" si="7"/>
        <v>1082000000.4000001</v>
      </c>
      <c r="AA82" s="237">
        <v>42845</v>
      </c>
      <c r="AB82" s="199">
        <f t="shared" si="8"/>
        <v>1544400000.0000002</v>
      </c>
      <c r="AC82" s="237">
        <v>45358</v>
      </c>
      <c r="AD82" s="235" t="s">
        <v>65</v>
      </c>
      <c r="AE82" s="238" t="s">
        <v>880</v>
      </c>
      <c r="AF82" s="239" t="s">
        <v>887</v>
      </c>
      <c r="AG82" s="240" t="s">
        <v>68</v>
      </c>
      <c r="AH82" s="241" t="s">
        <v>887</v>
      </c>
      <c r="AI82" s="21" t="s">
        <v>887</v>
      </c>
      <c r="AJ82" s="202" t="s">
        <v>1121</v>
      </c>
      <c r="AK82" s="203" t="s">
        <v>1122</v>
      </c>
      <c r="AL82" s="198"/>
      <c r="AM82" s="198" t="s">
        <v>1123</v>
      </c>
      <c r="AN82" s="198" t="s">
        <v>1124</v>
      </c>
      <c r="AO82" s="204">
        <v>1</v>
      </c>
      <c r="AP82" s="198" t="s">
        <v>1112</v>
      </c>
      <c r="AQ82" s="198"/>
      <c r="AR82" s="198"/>
    </row>
    <row r="83" spans="1:44">
      <c r="A83" s="232">
        <v>138</v>
      </c>
      <c r="B83" s="233" t="s">
        <v>25</v>
      </c>
      <c r="C83" s="233" t="s">
        <v>26</v>
      </c>
      <c r="D83" s="234" t="s">
        <v>32</v>
      </c>
      <c r="E83" s="234" t="s">
        <v>194</v>
      </c>
      <c r="F83" s="235" t="s">
        <v>409</v>
      </c>
      <c r="G83" s="235" t="s">
        <v>410</v>
      </c>
      <c r="H83" s="236" t="s">
        <v>411</v>
      </c>
      <c r="I83" s="234" t="s">
        <v>57</v>
      </c>
      <c r="J83" s="234" t="s">
        <v>38</v>
      </c>
      <c r="K83" s="234" t="s">
        <v>28</v>
      </c>
      <c r="L83" s="234" t="s">
        <v>28</v>
      </c>
      <c r="M83" s="234" t="s">
        <v>38</v>
      </c>
      <c r="N83" s="297">
        <v>0</v>
      </c>
      <c r="O83" s="234" t="s">
        <v>28</v>
      </c>
      <c r="P83" s="299">
        <v>0</v>
      </c>
      <c r="Q83" s="234" t="s">
        <v>28</v>
      </c>
      <c r="R83" s="299">
        <v>2123000000.0000002</v>
      </c>
      <c r="S83" s="237">
        <v>42448</v>
      </c>
      <c r="T83" s="304" t="s">
        <v>412</v>
      </c>
      <c r="U83" s="252">
        <v>42448</v>
      </c>
      <c r="V83" s="199">
        <f t="shared" si="5"/>
        <v>0</v>
      </c>
      <c r="W83" s="234" t="s">
        <v>28</v>
      </c>
      <c r="X83" s="199">
        <f t="shared" si="6"/>
        <v>0</v>
      </c>
      <c r="Y83" s="234" t="s">
        <v>28</v>
      </c>
      <c r="Z83" s="199">
        <f t="shared" si="7"/>
        <v>2123000000.0000002</v>
      </c>
      <c r="AA83" s="237">
        <v>42448</v>
      </c>
      <c r="AB83" s="199" t="e">
        <f t="shared" si="8"/>
        <v>#VALUE!</v>
      </c>
      <c r="AC83" s="252">
        <v>42448</v>
      </c>
      <c r="AD83" s="235" t="s">
        <v>65</v>
      </c>
      <c r="AE83" s="238" t="s">
        <v>880</v>
      </c>
      <c r="AF83" s="239" t="s">
        <v>887</v>
      </c>
      <c r="AG83" s="240" t="s">
        <v>68</v>
      </c>
      <c r="AH83" s="241" t="s">
        <v>887</v>
      </c>
      <c r="AI83" s="21" t="s">
        <v>887</v>
      </c>
      <c r="AJ83" s="202" t="s">
        <v>1159</v>
      </c>
      <c r="AK83" s="203" t="s">
        <v>1160</v>
      </c>
      <c r="AL83" s="198" t="s">
        <v>1161</v>
      </c>
      <c r="AM83" s="198" t="s">
        <v>1162</v>
      </c>
      <c r="AN83" s="198" t="s">
        <v>1163</v>
      </c>
      <c r="AO83" s="204">
        <v>1</v>
      </c>
      <c r="AP83" s="200" t="s">
        <v>1164</v>
      </c>
      <c r="AQ83" s="198"/>
      <c r="AR83" s="198"/>
    </row>
    <row r="84" spans="1:44">
      <c r="A84" s="232">
        <v>139</v>
      </c>
      <c r="B84" s="233" t="s">
        <v>25</v>
      </c>
      <c r="C84" s="233" t="s">
        <v>26</v>
      </c>
      <c r="D84" s="234" t="s">
        <v>32</v>
      </c>
      <c r="E84" s="234" t="s">
        <v>194</v>
      </c>
      <c r="F84" s="235" t="s">
        <v>413</v>
      </c>
      <c r="G84" s="235" t="s">
        <v>414</v>
      </c>
      <c r="H84" s="236" t="s">
        <v>415</v>
      </c>
      <c r="I84" s="234" t="s">
        <v>191</v>
      </c>
      <c r="J84" s="234" t="s">
        <v>38</v>
      </c>
      <c r="K84" s="234" t="s">
        <v>28</v>
      </c>
      <c r="L84" s="234" t="s">
        <v>28</v>
      </c>
      <c r="M84" s="234" t="s">
        <v>38</v>
      </c>
      <c r="N84" s="297">
        <v>0</v>
      </c>
      <c r="O84" s="234" t="s">
        <v>28</v>
      </c>
      <c r="P84" s="297">
        <v>8180267429</v>
      </c>
      <c r="Q84" s="237">
        <v>40667</v>
      </c>
      <c r="R84" s="297">
        <v>19107000000</v>
      </c>
      <c r="S84" s="237">
        <v>43159</v>
      </c>
      <c r="T84" s="297">
        <v>32134000000</v>
      </c>
      <c r="U84" s="237">
        <v>45513</v>
      </c>
      <c r="V84" s="199">
        <f t="shared" si="5"/>
        <v>0</v>
      </c>
      <c r="W84" s="234" t="s">
        <v>28</v>
      </c>
      <c r="X84" s="199">
        <f t="shared" si="6"/>
        <v>0</v>
      </c>
      <c r="Y84" s="237">
        <v>40667</v>
      </c>
      <c r="Z84" s="199">
        <f t="shared" si="7"/>
        <v>0</v>
      </c>
      <c r="AA84" s="237">
        <v>43159</v>
      </c>
      <c r="AB84" s="199">
        <f t="shared" si="8"/>
        <v>0</v>
      </c>
      <c r="AC84" s="237">
        <v>45513</v>
      </c>
      <c r="AD84" s="235" t="s">
        <v>65</v>
      </c>
      <c r="AE84" s="238" t="s">
        <v>880</v>
      </c>
      <c r="AF84" s="239" t="s">
        <v>887</v>
      </c>
      <c r="AG84" s="240" t="s">
        <v>68</v>
      </c>
      <c r="AH84" s="241" t="s">
        <v>887</v>
      </c>
      <c r="AI84" s="21" t="s">
        <v>887</v>
      </c>
      <c r="AJ84" s="202" t="s">
        <v>1185</v>
      </c>
      <c r="AK84" s="203" t="s">
        <v>1220</v>
      </c>
      <c r="AL84" s="198" t="s">
        <v>1221</v>
      </c>
      <c r="AM84" s="198" t="s">
        <v>1222</v>
      </c>
      <c r="AN84" s="198" t="s">
        <v>1223</v>
      </c>
      <c r="AO84" s="204">
        <v>0</v>
      </c>
      <c r="AP84" s="295" t="s">
        <v>1301</v>
      </c>
      <c r="AQ84" s="198"/>
      <c r="AR84" s="198"/>
    </row>
    <row r="85" spans="1:44">
      <c r="A85" s="232">
        <v>140</v>
      </c>
      <c r="B85" s="233" t="s">
        <v>25</v>
      </c>
      <c r="C85" s="233" t="s">
        <v>26</v>
      </c>
      <c r="D85" s="234" t="s">
        <v>32</v>
      </c>
      <c r="E85" s="234" t="s">
        <v>194</v>
      </c>
      <c r="F85" s="235" t="s">
        <v>416</v>
      </c>
      <c r="G85" s="235" t="s">
        <v>417</v>
      </c>
      <c r="H85" s="236" t="s">
        <v>418</v>
      </c>
      <c r="I85" s="234" t="s">
        <v>125</v>
      </c>
      <c r="J85" s="234" t="s">
        <v>38</v>
      </c>
      <c r="K85" s="234" t="s">
        <v>28</v>
      </c>
      <c r="L85" s="234" t="s">
        <v>28</v>
      </c>
      <c r="M85" s="234" t="s">
        <v>38</v>
      </c>
      <c r="N85" s="297">
        <v>0</v>
      </c>
      <c r="O85" s="234" t="s">
        <v>28</v>
      </c>
      <c r="P85" s="299">
        <v>598000000.4000001</v>
      </c>
      <c r="Q85" s="300">
        <v>42074</v>
      </c>
      <c r="R85" s="299">
        <v>198880264.00000003</v>
      </c>
      <c r="S85" s="237">
        <v>43621</v>
      </c>
      <c r="T85" s="298">
        <v>0</v>
      </c>
      <c r="U85" s="237" t="s">
        <v>28</v>
      </c>
      <c r="V85" s="199">
        <f t="shared" si="5"/>
        <v>0</v>
      </c>
      <c r="W85" s="234" t="s">
        <v>28</v>
      </c>
      <c r="X85" s="199">
        <f t="shared" si="6"/>
        <v>59800000.040000014</v>
      </c>
      <c r="Y85" s="300">
        <v>42074</v>
      </c>
      <c r="Z85" s="199">
        <f t="shared" si="7"/>
        <v>19888026.400000002</v>
      </c>
      <c r="AA85" s="237">
        <v>43621</v>
      </c>
      <c r="AB85" s="199">
        <f t="shared" si="8"/>
        <v>0</v>
      </c>
      <c r="AC85" s="237" t="s">
        <v>28</v>
      </c>
      <c r="AD85" s="235" t="s">
        <v>65</v>
      </c>
      <c r="AE85" s="238" t="s">
        <v>880</v>
      </c>
      <c r="AF85" s="239" t="s">
        <v>887</v>
      </c>
      <c r="AG85" s="240" t="s">
        <v>68</v>
      </c>
      <c r="AH85" s="241" t="s">
        <v>887</v>
      </c>
      <c r="AI85" s="21" t="s">
        <v>887</v>
      </c>
      <c r="AJ85" s="202" t="s">
        <v>1185</v>
      </c>
      <c r="AK85" s="203" t="s">
        <v>1220</v>
      </c>
      <c r="AL85" s="198" t="s">
        <v>1224</v>
      </c>
      <c r="AM85" s="198" t="s">
        <v>1225</v>
      </c>
      <c r="AN85" s="198" t="s">
        <v>1226</v>
      </c>
      <c r="AO85" s="204">
        <v>0.1</v>
      </c>
      <c r="AP85" s="295" t="s">
        <v>1302</v>
      </c>
      <c r="AQ85" s="198"/>
      <c r="AR85" s="198"/>
    </row>
    <row r="86" spans="1:44">
      <c r="A86" s="232">
        <v>141</v>
      </c>
      <c r="B86" s="233" t="s">
        <v>25</v>
      </c>
      <c r="C86" s="233" t="s">
        <v>26</v>
      </c>
      <c r="D86" s="234" t="s">
        <v>32</v>
      </c>
      <c r="E86" s="234" t="s">
        <v>194</v>
      </c>
      <c r="F86" s="235" t="s">
        <v>419</v>
      </c>
      <c r="G86" s="235" t="s">
        <v>420</v>
      </c>
      <c r="H86" s="236" t="s">
        <v>421</v>
      </c>
      <c r="I86" s="234" t="s">
        <v>125</v>
      </c>
      <c r="J86" s="234" t="s">
        <v>38</v>
      </c>
      <c r="K86" s="234" t="s">
        <v>28</v>
      </c>
      <c r="L86" s="234" t="s">
        <v>28</v>
      </c>
      <c r="M86" s="234" t="s">
        <v>38</v>
      </c>
      <c r="N86" s="297">
        <v>0</v>
      </c>
      <c r="O86" s="234" t="s">
        <v>28</v>
      </c>
      <c r="P86" s="299">
        <v>0</v>
      </c>
      <c r="Q86" s="234" t="s">
        <v>28</v>
      </c>
      <c r="R86" s="299">
        <v>434830000.00000006</v>
      </c>
      <c r="S86" s="237">
        <v>42544</v>
      </c>
      <c r="T86" s="298">
        <v>0</v>
      </c>
      <c r="U86" s="237" t="s">
        <v>28</v>
      </c>
      <c r="V86" s="199">
        <f t="shared" si="5"/>
        <v>0</v>
      </c>
      <c r="W86" s="234" t="s">
        <v>28</v>
      </c>
      <c r="X86" s="199">
        <f t="shared" si="6"/>
        <v>0</v>
      </c>
      <c r="Y86" s="234" t="s">
        <v>28</v>
      </c>
      <c r="Z86" s="199">
        <f t="shared" si="7"/>
        <v>434830000.00000006</v>
      </c>
      <c r="AA86" s="237">
        <v>42544</v>
      </c>
      <c r="AB86" s="199">
        <f t="shared" si="8"/>
        <v>0</v>
      </c>
      <c r="AC86" s="237" t="s">
        <v>28</v>
      </c>
      <c r="AD86" s="235" t="s">
        <v>65</v>
      </c>
      <c r="AE86" s="238" t="s">
        <v>880</v>
      </c>
      <c r="AF86" s="239" t="s">
        <v>887</v>
      </c>
      <c r="AG86" s="240" t="s">
        <v>68</v>
      </c>
      <c r="AH86" s="241" t="s">
        <v>887</v>
      </c>
      <c r="AI86" s="21" t="s">
        <v>887</v>
      </c>
      <c r="AJ86" s="202" t="s">
        <v>1180</v>
      </c>
      <c r="AK86" s="203" t="s">
        <v>1144</v>
      </c>
      <c r="AL86" s="198"/>
      <c r="AM86" s="198" t="s">
        <v>1123</v>
      </c>
      <c r="AN86" s="198" t="s">
        <v>1124</v>
      </c>
      <c r="AO86" s="204">
        <v>1</v>
      </c>
      <c r="AP86" s="198" t="s">
        <v>1114</v>
      </c>
      <c r="AQ86" s="198"/>
      <c r="AR86" s="198"/>
    </row>
    <row r="87" spans="1:44">
      <c r="A87" s="232">
        <v>142</v>
      </c>
      <c r="B87" s="233" t="s">
        <v>25</v>
      </c>
      <c r="C87" s="233" t="s">
        <v>26</v>
      </c>
      <c r="D87" s="234" t="s">
        <v>32</v>
      </c>
      <c r="E87" s="234" t="s">
        <v>194</v>
      </c>
      <c r="F87" s="235" t="s">
        <v>422</v>
      </c>
      <c r="G87" s="235" t="s">
        <v>423</v>
      </c>
      <c r="H87" s="236" t="s">
        <v>424</v>
      </c>
      <c r="I87" s="234" t="s">
        <v>43</v>
      </c>
      <c r="J87" s="234" t="s">
        <v>38</v>
      </c>
      <c r="K87" s="234" t="s">
        <v>28</v>
      </c>
      <c r="L87" s="234" t="s">
        <v>28</v>
      </c>
      <c r="M87" s="234" t="s">
        <v>38</v>
      </c>
      <c r="N87" s="297">
        <v>0</v>
      </c>
      <c r="O87" s="234" t="s">
        <v>28</v>
      </c>
      <c r="P87" s="299">
        <v>0</v>
      </c>
      <c r="Q87" s="234" t="s">
        <v>28</v>
      </c>
      <c r="R87" s="299">
        <v>1368400000</v>
      </c>
      <c r="S87" s="237">
        <v>42381</v>
      </c>
      <c r="T87" s="298">
        <v>0</v>
      </c>
      <c r="U87" s="237" t="s">
        <v>28</v>
      </c>
      <c r="V87" s="199">
        <f t="shared" si="5"/>
        <v>0</v>
      </c>
      <c r="W87" s="234" t="s">
        <v>28</v>
      </c>
      <c r="X87" s="199">
        <f t="shared" si="6"/>
        <v>0</v>
      </c>
      <c r="Y87" s="234" t="s">
        <v>28</v>
      </c>
      <c r="Z87" s="199">
        <f t="shared" si="7"/>
        <v>1368400000</v>
      </c>
      <c r="AA87" s="237">
        <v>42381</v>
      </c>
      <c r="AB87" s="199">
        <f t="shared" si="8"/>
        <v>0</v>
      </c>
      <c r="AC87" s="237" t="s">
        <v>28</v>
      </c>
      <c r="AD87" s="235" t="s">
        <v>65</v>
      </c>
      <c r="AE87" s="238" t="s">
        <v>880</v>
      </c>
      <c r="AF87" s="239" t="s">
        <v>887</v>
      </c>
      <c r="AG87" s="240" t="s">
        <v>68</v>
      </c>
      <c r="AH87" s="241" t="s">
        <v>887</v>
      </c>
      <c r="AI87" s="21" t="s">
        <v>887</v>
      </c>
      <c r="AJ87" s="202" t="s">
        <v>1121</v>
      </c>
      <c r="AK87" s="203" t="s">
        <v>1144</v>
      </c>
      <c r="AL87" s="198"/>
      <c r="AM87" s="198" t="s">
        <v>1123</v>
      </c>
      <c r="AN87" s="198" t="s">
        <v>1124</v>
      </c>
      <c r="AO87" s="204">
        <v>1</v>
      </c>
      <c r="AP87" s="198" t="s">
        <v>1112</v>
      </c>
      <c r="AQ87" s="198"/>
      <c r="AR87" s="198"/>
    </row>
    <row r="88" spans="1:44" s="231" customFormat="1">
      <c r="A88" s="232">
        <v>143</v>
      </c>
      <c r="B88" s="243" t="s">
        <v>25</v>
      </c>
      <c r="C88" s="243" t="s">
        <v>26</v>
      </c>
      <c r="D88" s="244" t="s">
        <v>32</v>
      </c>
      <c r="E88" s="244" t="s">
        <v>194</v>
      </c>
      <c r="F88" s="245" t="s">
        <v>425</v>
      </c>
      <c r="G88" s="245" t="s">
        <v>426</v>
      </c>
      <c r="H88" s="246" t="s">
        <v>427</v>
      </c>
      <c r="I88" s="244" t="s">
        <v>37</v>
      </c>
      <c r="J88" s="244" t="s">
        <v>38</v>
      </c>
      <c r="K88" s="244" t="s">
        <v>28</v>
      </c>
      <c r="L88" s="244" t="s">
        <v>28</v>
      </c>
      <c r="M88" s="244" t="s">
        <v>38</v>
      </c>
      <c r="N88" s="301">
        <v>0</v>
      </c>
      <c r="O88" s="244" t="s">
        <v>28</v>
      </c>
      <c r="P88" s="302">
        <v>0</v>
      </c>
      <c r="Q88" s="244" t="s">
        <v>28</v>
      </c>
      <c r="R88" s="302">
        <v>3465013200.0000005</v>
      </c>
      <c r="S88" s="247">
        <v>43293</v>
      </c>
      <c r="T88" s="303">
        <v>0</v>
      </c>
      <c r="U88" s="247" t="s">
        <v>28</v>
      </c>
      <c r="V88" s="199">
        <f t="shared" si="5"/>
        <v>0</v>
      </c>
      <c r="W88" s="244" t="s">
        <v>28</v>
      </c>
      <c r="X88" s="199">
        <f t="shared" si="6"/>
        <v>0</v>
      </c>
      <c r="Y88" s="244" t="s">
        <v>28</v>
      </c>
      <c r="Z88" s="199">
        <f t="shared" si="7"/>
        <v>3465013200.0000005</v>
      </c>
      <c r="AA88" s="247">
        <v>43293</v>
      </c>
      <c r="AB88" s="199">
        <f t="shared" si="8"/>
        <v>0</v>
      </c>
      <c r="AC88" s="247" t="s">
        <v>28</v>
      </c>
      <c r="AD88" s="245" t="s">
        <v>65</v>
      </c>
      <c r="AE88" s="248" t="s">
        <v>882</v>
      </c>
      <c r="AF88" s="249" t="s">
        <v>887</v>
      </c>
      <c r="AG88" s="250" t="s">
        <v>895</v>
      </c>
      <c r="AH88" s="251" t="s">
        <v>887</v>
      </c>
      <c r="AI88" s="230" t="s">
        <v>887</v>
      </c>
      <c r="AJ88" s="202" t="s">
        <v>1147</v>
      </c>
      <c r="AK88" s="203" t="s">
        <v>1148</v>
      </c>
      <c r="AL88" s="198" t="s">
        <v>1149</v>
      </c>
      <c r="AM88" s="198" t="s">
        <v>1150</v>
      </c>
      <c r="AN88" s="198" t="s">
        <v>1151</v>
      </c>
      <c r="AO88" s="204">
        <v>1</v>
      </c>
      <c r="AP88" s="198" t="s">
        <v>1152</v>
      </c>
      <c r="AQ88" s="198"/>
      <c r="AR88" s="198"/>
    </row>
    <row r="89" spans="1:44" s="231" customFormat="1">
      <c r="A89" s="205">
        <v>144</v>
      </c>
      <c r="B89" s="7" t="s">
        <v>25</v>
      </c>
      <c r="C89" s="7" t="s">
        <v>26</v>
      </c>
      <c r="D89" s="253" t="s">
        <v>32</v>
      </c>
      <c r="E89" s="253" t="s">
        <v>428</v>
      </c>
      <c r="F89" s="254" t="s">
        <v>429</v>
      </c>
      <c r="G89" s="254" t="s">
        <v>430</v>
      </c>
      <c r="H89" s="255" t="s">
        <v>431</v>
      </c>
      <c r="I89" s="253" t="s">
        <v>37</v>
      </c>
      <c r="J89" s="253" t="s">
        <v>38</v>
      </c>
      <c r="K89" s="253" t="s">
        <v>28</v>
      </c>
      <c r="L89" s="253" t="s">
        <v>28</v>
      </c>
      <c r="M89" s="253" t="s">
        <v>432</v>
      </c>
      <c r="N89" s="305">
        <v>33885500000.000004</v>
      </c>
      <c r="O89" s="256">
        <v>39759</v>
      </c>
      <c r="P89" s="305">
        <v>30458539430</v>
      </c>
      <c r="Q89" s="256">
        <v>40750</v>
      </c>
      <c r="R89" s="305">
        <v>31476000000</v>
      </c>
      <c r="S89" s="256">
        <v>42460</v>
      </c>
      <c r="T89" s="306">
        <v>0</v>
      </c>
      <c r="U89" s="256" t="s">
        <v>28</v>
      </c>
      <c r="V89" s="199">
        <f t="shared" si="5"/>
        <v>27108400000.000004</v>
      </c>
      <c r="W89" s="256">
        <v>39759</v>
      </c>
      <c r="X89" s="199">
        <f t="shared" si="6"/>
        <v>24366831544</v>
      </c>
      <c r="Y89" s="256">
        <v>40750</v>
      </c>
      <c r="Z89" s="199">
        <f t="shared" si="7"/>
        <v>25180800000</v>
      </c>
      <c r="AA89" s="256">
        <v>42460</v>
      </c>
      <c r="AB89" s="199">
        <f t="shared" si="8"/>
        <v>0</v>
      </c>
      <c r="AC89" s="256" t="s">
        <v>28</v>
      </c>
      <c r="AD89" s="254" t="s">
        <v>79</v>
      </c>
      <c r="AE89" s="16" t="s">
        <v>882</v>
      </c>
      <c r="AF89" s="230" t="s">
        <v>887</v>
      </c>
      <c r="AG89" s="65" t="s">
        <v>894</v>
      </c>
      <c r="AH89" s="257" t="s">
        <v>887</v>
      </c>
      <c r="AI89" s="230" t="s">
        <v>887</v>
      </c>
      <c r="AJ89" s="202" t="s">
        <v>1147</v>
      </c>
      <c r="AK89" s="207" t="s">
        <v>1148</v>
      </c>
      <c r="AL89" s="198" t="s">
        <v>1149</v>
      </c>
      <c r="AM89" s="198" t="s">
        <v>1150</v>
      </c>
      <c r="AN89" s="198" t="s">
        <v>1151</v>
      </c>
      <c r="AO89" s="204">
        <v>0.8</v>
      </c>
      <c r="AP89" s="198" t="s">
        <v>1120</v>
      </c>
      <c r="AQ89" s="198"/>
      <c r="AR89" s="198"/>
    </row>
    <row r="90" spans="1:44">
      <c r="A90" s="205">
        <v>145</v>
      </c>
      <c r="B90" s="8" t="s">
        <v>25</v>
      </c>
      <c r="C90" s="8" t="s">
        <v>26</v>
      </c>
      <c r="D90" s="12" t="s">
        <v>32</v>
      </c>
      <c r="E90" s="12" t="s">
        <v>428</v>
      </c>
      <c r="F90" s="34" t="s">
        <v>433</v>
      </c>
      <c r="G90" s="34" t="s">
        <v>434</v>
      </c>
      <c r="H90" s="36" t="s">
        <v>435</v>
      </c>
      <c r="I90" s="12" t="s">
        <v>125</v>
      </c>
      <c r="J90" s="12" t="s">
        <v>38</v>
      </c>
      <c r="K90" s="12" t="s">
        <v>28</v>
      </c>
      <c r="L90" s="12" t="s">
        <v>28</v>
      </c>
      <c r="M90" s="12" t="s">
        <v>38</v>
      </c>
      <c r="N90" s="9">
        <v>22876700000</v>
      </c>
      <c r="O90" s="10">
        <v>39770</v>
      </c>
      <c r="P90" s="9">
        <v>19129122804</v>
      </c>
      <c r="Q90" s="10">
        <v>40780</v>
      </c>
      <c r="R90" s="9">
        <v>16489000000</v>
      </c>
      <c r="S90" s="10">
        <v>42416</v>
      </c>
      <c r="T90" s="37">
        <v>0</v>
      </c>
      <c r="U90" s="10" t="s">
        <v>28</v>
      </c>
      <c r="V90" s="199">
        <f t="shared" si="5"/>
        <v>22876700000</v>
      </c>
      <c r="W90" s="10">
        <v>39770</v>
      </c>
      <c r="X90" s="199">
        <f t="shared" si="6"/>
        <v>19129122804</v>
      </c>
      <c r="Y90" s="10">
        <v>40780</v>
      </c>
      <c r="Z90" s="199">
        <f t="shared" si="7"/>
        <v>16489000000</v>
      </c>
      <c r="AA90" s="10">
        <v>42416</v>
      </c>
      <c r="AB90" s="199">
        <f t="shared" si="8"/>
        <v>0</v>
      </c>
      <c r="AC90" s="10" t="s">
        <v>28</v>
      </c>
      <c r="AD90" s="34" t="s">
        <v>79</v>
      </c>
      <c r="AE90" s="64" t="s">
        <v>883</v>
      </c>
      <c r="AF90" s="21" t="s">
        <v>887</v>
      </c>
      <c r="AG90" s="67" t="s">
        <v>68</v>
      </c>
      <c r="AH90" s="33" t="s">
        <v>887</v>
      </c>
      <c r="AI90" s="21" t="s">
        <v>887</v>
      </c>
      <c r="AJ90" s="202" t="s">
        <v>1121</v>
      </c>
      <c r="AK90" s="203" t="s">
        <v>1144</v>
      </c>
      <c r="AL90" s="198"/>
      <c r="AM90" s="198" t="s">
        <v>1123</v>
      </c>
      <c r="AN90" s="198" t="s">
        <v>1124</v>
      </c>
      <c r="AO90" s="204">
        <v>1</v>
      </c>
      <c r="AP90" s="198" t="s">
        <v>1112</v>
      </c>
      <c r="AQ90" s="198"/>
      <c r="AR90" s="198"/>
    </row>
    <row r="91" spans="1:44">
      <c r="A91" s="205">
        <v>146</v>
      </c>
      <c r="B91" s="8" t="s">
        <v>25</v>
      </c>
      <c r="C91" s="8" t="s">
        <v>26</v>
      </c>
      <c r="D91" s="12" t="s">
        <v>32</v>
      </c>
      <c r="E91" s="12" t="s">
        <v>428</v>
      </c>
      <c r="F91" s="34" t="s">
        <v>436</v>
      </c>
      <c r="G91" s="34" t="s">
        <v>437</v>
      </c>
      <c r="H91" s="36" t="s">
        <v>438</v>
      </c>
      <c r="I91" s="12" t="s">
        <v>125</v>
      </c>
      <c r="J91" s="12" t="s">
        <v>38</v>
      </c>
      <c r="K91" s="12" t="s">
        <v>28</v>
      </c>
      <c r="L91" s="12" t="s">
        <v>28</v>
      </c>
      <c r="M91" s="12" t="s">
        <v>432</v>
      </c>
      <c r="N91" s="9">
        <v>15193200000.000002</v>
      </c>
      <c r="O91" s="10">
        <v>39772</v>
      </c>
      <c r="P91" s="9">
        <v>7634000000</v>
      </c>
      <c r="Q91" s="10">
        <v>40730</v>
      </c>
      <c r="R91" s="9">
        <v>8795000000</v>
      </c>
      <c r="S91" s="10">
        <v>42460</v>
      </c>
      <c r="T91" s="9">
        <v>9238000000</v>
      </c>
      <c r="U91" s="10">
        <v>45448</v>
      </c>
      <c r="V91" s="199">
        <f t="shared" si="5"/>
        <v>15193200000.000002</v>
      </c>
      <c r="W91" s="10">
        <v>39772</v>
      </c>
      <c r="X91" s="199">
        <f t="shared" si="6"/>
        <v>7634000000</v>
      </c>
      <c r="Y91" s="10">
        <v>40730</v>
      </c>
      <c r="Z91" s="199">
        <f t="shared" si="7"/>
        <v>8795000000</v>
      </c>
      <c r="AA91" s="10">
        <v>42460</v>
      </c>
      <c r="AB91" s="199">
        <f t="shared" si="8"/>
        <v>9238000000</v>
      </c>
      <c r="AC91" s="10">
        <v>45448</v>
      </c>
      <c r="AD91" s="34" t="s">
        <v>79</v>
      </c>
      <c r="AE91" s="64" t="s">
        <v>883</v>
      </c>
      <c r="AF91" s="21" t="s">
        <v>887</v>
      </c>
      <c r="AG91" s="67" t="s">
        <v>68</v>
      </c>
      <c r="AH91" s="33" t="s">
        <v>887</v>
      </c>
      <c r="AI91" s="21" t="s">
        <v>887</v>
      </c>
      <c r="AJ91" s="202" t="s">
        <v>1121</v>
      </c>
      <c r="AK91" s="203" t="s">
        <v>1144</v>
      </c>
      <c r="AL91" s="198"/>
      <c r="AM91" s="198" t="s">
        <v>1123</v>
      </c>
      <c r="AN91" s="198" t="s">
        <v>1124</v>
      </c>
      <c r="AO91" s="204">
        <v>1</v>
      </c>
      <c r="AP91" s="198" t="s">
        <v>1112</v>
      </c>
      <c r="AQ91" s="198"/>
      <c r="AR91" s="198"/>
    </row>
    <row r="92" spans="1:44">
      <c r="A92" s="205">
        <v>147</v>
      </c>
      <c r="B92" s="8" t="s">
        <v>25</v>
      </c>
      <c r="C92" s="8" t="s">
        <v>26</v>
      </c>
      <c r="D92" s="12" t="s">
        <v>32</v>
      </c>
      <c r="E92" s="12" t="s">
        <v>428</v>
      </c>
      <c r="F92" s="34" t="s">
        <v>439</v>
      </c>
      <c r="G92" s="34" t="s">
        <v>440</v>
      </c>
      <c r="H92" s="36" t="s">
        <v>441</v>
      </c>
      <c r="I92" s="12" t="s">
        <v>125</v>
      </c>
      <c r="J92" s="12" t="s">
        <v>38</v>
      </c>
      <c r="K92" s="12" t="s">
        <v>28</v>
      </c>
      <c r="L92" s="12" t="s">
        <v>28</v>
      </c>
      <c r="M92" s="12" t="s">
        <v>38</v>
      </c>
      <c r="N92" s="9">
        <v>0</v>
      </c>
      <c r="O92" s="12" t="s">
        <v>28</v>
      </c>
      <c r="P92" s="9">
        <v>6347000000</v>
      </c>
      <c r="Q92" s="10">
        <v>40781</v>
      </c>
      <c r="R92" s="35">
        <v>4619762510</v>
      </c>
      <c r="S92" s="10">
        <v>42543</v>
      </c>
      <c r="T92" s="9">
        <v>5499000000</v>
      </c>
      <c r="U92" s="10">
        <v>45448</v>
      </c>
      <c r="V92" s="199">
        <f t="shared" si="5"/>
        <v>0</v>
      </c>
      <c r="W92" s="12" t="s">
        <v>28</v>
      </c>
      <c r="X92" s="199">
        <f t="shared" si="6"/>
        <v>6347000000</v>
      </c>
      <c r="Y92" s="10">
        <v>40781</v>
      </c>
      <c r="Z92" s="199">
        <f t="shared" si="7"/>
        <v>4619762510</v>
      </c>
      <c r="AA92" s="10">
        <v>42543</v>
      </c>
      <c r="AB92" s="199">
        <f t="shared" si="8"/>
        <v>5499000000</v>
      </c>
      <c r="AC92" s="10">
        <v>45448</v>
      </c>
      <c r="AD92" s="34" t="s">
        <v>79</v>
      </c>
      <c r="AE92" s="64" t="s">
        <v>883</v>
      </c>
      <c r="AF92" s="21" t="s">
        <v>887</v>
      </c>
      <c r="AG92" s="67" t="s">
        <v>68</v>
      </c>
      <c r="AH92" s="33" t="s">
        <v>887</v>
      </c>
      <c r="AI92" s="21" t="s">
        <v>887</v>
      </c>
      <c r="AJ92" s="202" t="s">
        <v>1121</v>
      </c>
      <c r="AK92" s="203" t="s">
        <v>1144</v>
      </c>
      <c r="AL92" s="198"/>
      <c r="AM92" s="198" t="s">
        <v>1123</v>
      </c>
      <c r="AN92" s="198" t="s">
        <v>1124</v>
      </c>
      <c r="AO92" s="204">
        <v>1</v>
      </c>
      <c r="AP92" s="198" t="s">
        <v>1112</v>
      </c>
      <c r="AQ92" s="198"/>
      <c r="AR92" s="198"/>
    </row>
    <row r="93" spans="1:44">
      <c r="A93" s="205">
        <v>148</v>
      </c>
      <c r="B93" s="8" t="s">
        <v>25</v>
      </c>
      <c r="C93" s="8" t="s">
        <v>26</v>
      </c>
      <c r="D93" s="12" t="s">
        <v>32</v>
      </c>
      <c r="E93" s="12" t="s">
        <v>428</v>
      </c>
      <c r="F93" s="34" t="s">
        <v>442</v>
      </c>
      <c r="G93" s="34" t="s">
        <v>437</v>
      </c>
      <c r="H93" s="36" t="s">
        <v>443</v>
      </c>
      <c r="I93" s="12" t="s">
        <v>28</v>
      </c>
      <c r="J93" s="12" t="s">
        <v>28</v>
      </c>
      <c r="K93" s="12" t="s">
        <v>28</v>
      </c>
      <c r="L93" s="12" t="s">
        <v>28</v>
      </c>
      <c r="M93" s="12" t="s">
        <v>28</v>
      </c>
      <c r="N93" s="9">
        <v>0</v>
      </c>
      <c r="O93" s="12" t="s">
        <v>28</v>
      </c>
      <c r="P93" s="9">
        <v>7740000000</v>
      </c>
      <c r="Q93" s="10">
        <v>41808</v>
      </c>
      <c r="R93" s="35">
        <v>0</v>
      </c>
      <c r="S93" s="10" t="s">
        <v>28</v>
      </c>
      <c r="T93" s="37">
        <v>0</v>
      </c>
      <c r="U93" s="10" t="s">
        <v>28</v>
      </c>
      <c r="V93" s="199">
        <f t="shared" si="5"/>
        <v>0</v>
      </c>
      <c r="W93" s="12" t="s">
        <v>28</v>
      </c>
      <c r="X93" s="199">
        <f t="shared" si="6"/>
        <v>7740000000</v>
      </c>
      <c r="Y93" s="10">
        <v>41808</v>
      </c>
      <c r="Z93" s="199">
        <f t="shared" si="7"/>
        <v>0</v>
      </c>
      <c r="AA93" s="10" t="s">
        <v>28</v>
      </c>
      <c r="AB93" s="199">
        <f t="shared" si="8"/>
        <v>0</v>
      </c>
      <c r="AC93" s="10" t="s">
        <v>28</v>
      </c>
      <c r="AD93" s="34" t="s">
        <v>79</v>
      </c>
      <c r="AE93" s="64" t="s">
        <v>883</v>
      </c>
      <c r="AF93" s="21" t="s">
        <v>887</v>
      </c>
      <c r="AG93" s="67" t="s">
        <v>68</v>
      </c>
      <c r="AH93" s="33" t="s">
        <v>887</v>
      </c>
      <c r="AI93" s="21" t="s">
        <v>887</v>
      </c>
      <c r="AJ93" s="202" t="s">
        <v>1121</v>
      </c>
      <c r="AK93" s="203" t="s">
        <v>1144</v>
      </c>
      <c r="AL93" s="198"/>
      <c r="AM93" s="198" t="s">
        <v>1123</v>
      </c>
      <c r="AN93" s="198" t="s">
        <v>1124</v>
      </c>
      <c r="AO93" s="204">
        <v>1</v>
      </c>
      <c r="AP93" s="198" t="s">
        <v>1112</v>
      </c>
      <c r="AQ93" s="198"/>
      <c r="AR93" s="198"/>
    </row>
    <row r="94" spans="1:44" s="231" customFormat="1">
      <c r="A94" s="205">
        <v>149</v>
      </c>
      <c r="B94" s="7" t="s">
        <v>25</v>
      </c>
      <c r="C94" s="7" t="s">
        <v>26</v>
      </c>
      <c r="D94" s="253" t="s">
        <v>32</v>
      </c>
      <c r="E94" s="253" t="s">
        <v>428</v>
      </c>
      <c r="F94" s="254" t="s">
        <v>444</v>
      </c>
      <c r="G94" s="254" t="s">
        <v>445</v>
      </c>
      <c r="H94" s="255" t="s">
        <v>446</v>
      </c>
      <c r="I94" s="253" t="s">
        <v>37</v>
      </c>
      <c r="J94" s="253" t="s">
        <v>38</v>
      </c>
      <c r="K94" s="253" t="s">
        <v>28</v>
      </c>
      <c r="L94" s="253" t="s">
        <v>28</v>
      </c>
      <c r="M94" s="253" t="s">
        <v>432</v>
      </c>
      <c r="N94" s="305">
        <v>0</v>
      </c>
      <c r="O94" s="253" t="s">
        <v>28</v>
      </c>
      <c r="P94" s="307">
        <v>0</v>
      </c>
      <c r="Q94" s="253" t="s">
        <v>28</v>
      </c>
      <c r="R94" s="305">
        <v>7425000000</v>
      </c>
      <c r="S94" s="256">
        <v>42900</v>
      </c>
      <c r="T94" s="306">
        <v>0</v>
      </c>
      <c r="U94" s="256" t="s">
        <v>28</v>
      </c>
      <c r="V94" s="199">
        <f t="shared" si="5"/>
        <v>0</v>
      </c>
      <c r="W94" s="253" t="s">
        <v>28</v>
      </c>
      <c r="X94" s="199">
        <f t="shared" si="6"/>
        <v>0</v>
      </c>
      <c r="Y94" s="253" t="s">
        <v>28</v>
      </c>
      <c r="Z94" s="199">
        <f t="shared" si="7"/>
        <v>3712500000</v>
      </c>
      <c r="AA94" s="256">
        <v>42900</v>
      </c>
      <c r="AB94" s="199">
        <f t="shared" si="8"/>
        <v>0</v>
      </c>
      <c r="AC94" s="256" t="s">
        <v>28</v>
      </c>
      <c r="AD94" s="254" t="s">
        <v>29</v>
      </c>
      <c r="AE94" s="16" t="s">
        <v>882</v>
      </c>
      <c r="AF94" s="230" t="s">
        <v>887</v>
      </c>
      <c r="AG94" s="65" t="s">
        <v>896</v>
      </c>
      <c r="AH94" s="257" t="s">
        <v>887</v>
      </c>
      <c r="AI94" s="230" t="s">
        <v>887</v>
      </c>
      <c r="AJ94" s="202" t="s">
        <v>1147</v>
      </c>
      <c r="AK94" s="207" t="s">
        <v>1148</v>
      </c>
      <c r="AL94" s="198" t="s">
        <v>1149</v>
      </c>
      <c r="AM94" s="198" t="s">
        <v>1150</v>
      </c>
      <c r="AN94" s="198" t="s">
        <v>1151</v>
      </c>
      <c r="AO94" s="204">
        <v>0.5</v>
      </c>
      <c r="AP94" s="198" t="s">
        <v>1120</v>
      </c>
      <c r="AQ94" s="198"/>
      <c r="AR94" s="198"/>
    </row>
    <row r="95" spans="1:44" s="231" customFormat="1">
      <c r="A95" s="205">
        <v>150</v>
      </c>
      <c r="B95" s="7" t="s">
        <v>25</v>
      </c>
      <c r="C95" s="7" t="s">
        <v>26</v>
      </c>
      <c r="D95" s="253" t="s">
        <v>32</v>
      </c>
      <c r="E95" s="253" t="s">
        <v>428</v>
      </c>
      <c r="F95" s="254" t="s">
        <v>447</v>
      </c>
      <c r="G95" s="254" t="s">
        <v>448</v>
      </c>
      <c r="H95" s="255" t="s">
        <v>449</v>
      </c>
      <c r="I95" s="253" t="s">
        <v>450</v>
      </c>
      <c r="J95" s="253" t="s">
        <v>38</v>
      </c>
      <c r="K95" s="253" t="s">
        <v>28</v>
      </c>
      <c r="L95" s="253" t="s">
        <v>28</v>
      </c>
      <c r="M95" s="253" t="s">
        <v>38</v>
      </c>
      <c r="N95" s="305">
        <v>0</v>
      </c>
      <c r="O95" s="253" t="s">
        <v>28</v>
      </c>
      <c r="P95" s="305">
        <v>8159000000</v>
      </c>
      <c r="Q95" s="256">
        <v>41239</v>
      </c>
      <c r="R95" s="305">
        <v>14536000000</v>
      </c>
      <c r="S95" s="256">
        <v>42489</v>
      </c>
      <c r="T95" s="306">
        <v>0</v>
      </c>
      <c r="U95" s="256" t="s">
        <v>28</v>
      </c>
      <c r="V95" s="199">
        <f t="shared" si="5"/>
        <v>0</v>
      </c>
      <c r="W95" s="253" t="s">
        <v>28</v>
      </c>
      <c r="X95" s="199">
        <f t="shared" si="6"/>
        <v>4079500000</v>
      </c>
      <c r="Y95" s="256">
        <v>41239</v>
      </c>
      <c r="Z95" s="199">
        <f t="shared" si="7"/>
        <v>7268000000</v>
      </c>
      <c r="AA95" s="256">
        <v>42489</v>
      </c>
      <c r="AB95" s="199">
        <f t="shared" si="8"/>
        <v>0</v>
      </c>
      <c r="AC95" s="256" t="s">
        <v>28</v>
      </c>
      <c r="AD95" s="254" t="s">
        <v>29</v>
      </c>
      <c r="AE95" s="16" t="s">
        <v>882</v>
      </c>
      <c r="AF95" s="230" t="s">
        <v>887</v>
      </c>
      <c r="AG95" s="65" t="s">
        <v>896</v>
      </c>
      <c r="AH95" s="257" t="s">
        <v>887</v>
      </c>
      <c r="AI95" s="230" t="s">
        <v>887</v>
      </c>
      <c r="AJ95" s="202" t="s">
        <v>1147</v>
      </c>
      <c r="AK95" s="207" t="s">
        <v>1148</v>
      </c>
      <c r="AL95" s="198" t="s">
        <v>1149</v>
      </c>
      <c r="AM95" s="198" t="s">
        <v>1150</v>
      </c>
      <c r="AN95" s="198" t="s">
        <v>1151</v>
      </c>
      <c r="AO95" s="204">
        <v>0.5</v>
      </c>
      <c r="AP95" s="198" t="s">
        <v>1120</v>
      </c>
      <c r="AQ95" s="198"/>
      <c r="AR95" s="198"/>
    </row>
    <row r="96" spans="1:44">
      <c r="A96" s="205">
        <v>151</v>
      </c>
      <c r="B96" s="8" t="s">
        <v>25</v>
      </c>
      <c r="C96" s="8" t="s">
        <v>26</v>
      </c>
      <c r="D96" s="12" t="s">
        <v>32</v>
      </c>
      <c r="E96" s="12" t="s">
        <v>428</v>
      </c>
      <c r="F96" s="34" t="s">
        <v>451</v>
      </c>
      <c r="G96" s="34" t="s">
        <v>452</v>
      </c>
      <c r="H96" s="36" t="s">
        <v>453</v>
      </c>
      <c r="I96" s="12" t="s">
        <v>125</v>
      </c>
      <c r="J96" s="12" t="s">
        <v>38</v>
      </c>
      <c r="K96" s="12" t="s">
        <v>28</v>
      </c>
      <c r="L96" s="12" t="s">
        <v>28</v>
      </c>
      <c r="M96" s="12" t="s">
        <v>38</v>
      </c>
      <c r="N96" s="9">
        <v>0</v>
      </c>
      <c r="O96" s="12" t="s">
        <v>28</v>
      </c>
      <c r="P96" s="35">
        <v>0</v>
      </c>
      <c r="Q96" s="12" t="s">
        <v>28</v>
      </c>
      <c r="R96" s="9">
        <v>5753000000</v>
      </c>
      <c r="S96" s="10">
        <v>42713</v>
      </c>
      <c r="T96" s="37">
        <v>0</v>
      </c>
      <c r="U96" s="10" t="s">
        <v>28</v>
      </c>
      <c r="V96" s="199">
        <f t="shared" si="5"/>
        <v>0</v>
      </c>
      <c r="W96" s="12" t="s">
        <v>28</v>
      </c>
      <c r="X96" s="199">
        <f t="shared" si="6"/>
        <v>0</v>
      </c>
      <c r="Y96" s="12" t="s">
        <v>28</v>
      </c>
      <c r="Z96" s="199">
        <f t="shared" si="7"/>
        <v>5753000000</v>
      </c>
      <c r="AA96" s="10">
        <v>42713</v>
      </c>
      <c r="AB96" s="199">
        <f t="shared" si="8"/>
        <v>0</v>
      </c>
      <c r="AC96" s="10" t="s">
        <v>28</v>
      </c>
      <c r="AD96" s="34" t="s">
        <v>29</v>
      </c>
      <c r="AE96" s="15" t="s">
        <v>880</v>
      </c>
      <c r="AF96" s="21" t="s">
        <v>887</v>
      </c>
      <c r="AG96" s="67" t="s">
        <v>68</v>
      </c>
      <c r="AH96" s="33" t="s">
        <v>887</v>
      </c>
      <c r="AI96" s="21" t="s">
        <v>887</v>
      </c>
      <c r="AJ96" s="202" t="s">
        <v>1121</v>
      </c>
      <c r="AK96" s="203" t="s">
        <v>1144</v>
      </c>
      <c r="AL96" s="198"/>
      <c r="AM96" s="198" t="s">
        <v>1123</v>
      </c>
      <c r="AN96" s="198" t="s">
        <v>1124</v>
      </c>
      <c r="AO96" s="204">
        <v>1</v>
      </c>
      <c r="AP96" s="198" t="s">
        <v>1112</v>
      </c>
      <c r="AQ96" s="198"/>
      <c r="AR96" s="198"/>
    </row>
    <row r="97" spans="1:44" s="231" customFormat="1">
      <c r="A97" s="205">
        <v>152</v>
      </c>
      <c r="B97" s="7" t="s">
        <v>25</v>
      </c>
      <c r="C97" s="7" t="s">
        <v>26</v>
      </c>
      <c r="D97" s="253" t="s">
        <v>32</v>
      </c>
      <c r="E97" s="253" t="s">
        <v>428</v>
      </c>
      <c r="F97" s="254" t="s">
        <v>454</v>
      </c>
      <c r="G97" s="254" t="s">
        <v>455</v>
      </c>
      <c r="H97" s="255" t="s">
        <v>456</v>
      </c>
      <c r="I97" s="253" t="s">
        <v>37</v>
      </c>
      <c r="J97" s="253" t="s">
        <v>38</v>
      </c>
      <c r="K97" s="253" t="s">
        <v>28</v>
      </c>
      <c r="L97" s="253" t="s">
        <v>28</v>
      </c>
      <c r="M97" s="253" t="s">
        <v>38</v>
      </c>
      <c r="N97" s="305">
        <v>0</v>
      </c>
      <c r="O97" s="253" t="s">
        <v>28</v>
      </c>
      <c r="P97" s="307">
        <v>0</v>
      </c>
      <c r="Q97" s="253" t="s">
        <v>28</v>
      </c>
      <c r="R97" s="307">
        <v>3250500000.0000005</v>
      </c>
      <c r="S97" s="256">
        <v>42704</v>
      </c>
      <c r="T97" s="306">
        <v>4961000000</v>
      </c>
      <c r="U97" s="256">
        <v>45615</v>
      </c>
      <c r="V97" s="199">
        <f t="shared" si="5"/>
        <v>0</v>
      </c>
      <c r="W97" s="253" t="s">
        <v>28</v>
      </c>
      <c r="X97" s="199">
        <f t="shared" si="6"/>
        <v>0</v>
      </c>
      <c r="Y97" s="253" t="s">
        <v>28</v>
      </c>
      <c r="Z97" s="199">
        <f t="shared" si="7"/>
        <v>1625250000.0000002</v>
      </c>
      <c r="AA97" s="256">
        <v>42704</v>
      </c>
      <c r="AB97" s="199">
        <f t="shared" si="8"/>
        <v>2480500000</v>
      </c>
      <c r="AC97" s="256">
        <v>45615</v>
      </c>
      <c r="AD97" s="254" t="s">
        <v>29</v>
      </c>
      <c r="AE97" s="16" t="s">
        <v>882</v>
      </c>
      <c r="AF97" s="230" t="s">
        <v>887</v>
      </c>
      <c r="AG97" s="65" t="s">
        <v>896</v>
      </c>
      <c r="AH97" s="257" t="s">
        <v>887</v>
      </c>
      <c r="AI97" s="230" t="s">
        <v>887</v>
      </c>
      <c r="AJ97" s="202" t="s">
        <v>1180</v>
      </c>
      <c r="AK97" s="203" t="s">
        <v>1148</v>
      </c>
      <c r="AL97" s="198" t="s">
        <v>1149</v>
      </c>
      <c r="AM97" s="198" t="s">
        <v>1150</v>
      </c>
      <c r="AN97" s="198" t="s">
        <v>1151</v>
      </c>
      <c r="AO97" s="204">
        <v>0.5</v>
      </c>
      <c r="AP97" s="198" t="s">
        <v>1152</v>
      </c>
      <c r="AQ97" s="198"/>
      <c r="AR97" s="198"/>
    </row>
    <row r="98" spans="1:44">
      <c r="A98" s="205">
        <v>153</v>
      </c>
      <c r="B98" s="8" t="s">
        <v>25</v>
      </c>
      <c r="C98" s="8" t="s">
        <v>26</v>
      </c>
      <c r="D98" s="12" t="s">
        <v>32</v>
      </c>
      <c r="E98" s="12" t="s">
        <v>428</v>
      </c>
      <c r="F98" s="34" t="s">
        <v>457</v>
      </c>
      <c r="G98" s="34" t="s">
        <v>458</v>
      </c>
      <c r="H98" s="36" t="s">
        <v>459</v>
      </c>
      <c r="I98" s="12" t="s">
        <v>57</v>
      </c>
      <c r="J98" s="12" t="s">
        <v>38</v>
      </c>
      <c r="K98" s="12" t="s">
        <v>28</v>
      </c>
      <c r="L98" s="12" t="s">
        <v>28</v>
      </c>
      <c r="M98" s="12" t="s">
        <v>38</v>
      </c>
      <c r="N98" s="9">
        <v>0</v>
      </c>
      <c r="O98" s="12" t="s">
        <v>28</v>
      </c>
      <c r="P98" s="35">
        <v>0</v>
      </c>
      <c r="Q98" s="12" t="s">
        <v>28</v>
      </c>
      <c r="R98" s="35">
        <v>3443000000.0000005</v>
      </c>
      <c r="S98" s="10">
        <v>42731</v>
      </c>
      <c r="T98" s="9">
        <v>5374000000</v>
      </c>
      <c r="U98" s="10">
        <v>45474</v>
      </c>
      <c r="V98" s="199">
        <f t="shared" si="5"/>
        <v>0</v>
      </c>
      <c r="W98" s="12" t="s">
        <v>28</v>
      </c>
      <c r="X98" s="199">
        <f t="shared" si="6"/>
        <v>0</v>
      </c>
      <c r="Y98" s="12" t="s">
        <v>28</v>
      </c>
      <c r="Z98" s="199">
        <f t="shared" si="7"/>
        <v>3443000000.0000005</v>
      </c>
      <c r="AA98" s="10">
        <v>42731</v>
      </c>
      <c r="AB98" s="199">
        <f t="shared" si="8"/>
        <v>5374000000</v>
      </c>
      <c r="AC98" s="10">
        <v>45474</v>
      </c>
      <c r="AD98" s="34" t="s">
        <v>29</v>
      </c>
      <c r="AE98" s="15" t="s">
        <v>880</v>
      </c>
      <c r="AF98" s="21" t="s">
        <v>887</v>
      </c>
      <c r="AG98" s="67" t="s">
        <v>68</v>
      </c>
      <c r="AH98" s="33" t="s">
        <v>887</v>
      </c>
      <c r="AI98" s="21" t="s">
        <v>887</v>
      </c>
      <c r="AJ98" s="202" t="s">
        <v>1121</v>
      </c>
      <c r="AK98" s="203" t="s">
        <v>1144</v>
      </c>
      <c r="AL98" s="198"/>
      <c r="AM98" s="198" t="s">
        <v>1123</v>
      </c>
      <c r="AN98" s="198" t="s">
        <v>1124</v>
      </c>
      <c r="AO98" s="204">
        <v>1</v>
      </c>
      <c r="AP98" s="198" t="s">
        <v>1112</v>
      </c>
      <c r="AQ98" s="198"/>
      <c r="AR98" s="198"/>
    </row>
    <row r="99" spans="1:44">
      <c r="A99" s="205">
        <v>154</v>
      </c>
      <c r="B99" s="8" t="s">
        <v>25</v>
      </c>
      <c r="C99" s="8" t="s">
        <v>26</v>
      </c>
      <c r="D99" s="12" t="s">
        <v>32</v>
      </c>
      <c r="E99" s="12" t="s">
        <v>428</v>
      </c>
      <c r="F99" s="34" t="s">
        <v>460</v>
      </c>
      <c r="G99" s="34" t="s">
        <v>461</v>
      </c>
      <c r="H99" s="36" t="s">
        <v>462</v>
      </c>
      <c r="I99" s="12" t="s">
        <v>57</v>
      </c>
      <c r="J99" s="12" t="s">
        <v>38</v>
      </c>
      <c r="K99" s="12" t="s">
        <v>28</v>
      </c>
      <c r="L99" s="12" t="s">
        <v>28</v>
      </c>
      <c r="M99" s="12" t="s">
        <v>38</v>
      </c>
      <c r="N99" s="9">
        <v>0</v>
      </c>
      <c r="O99" s="12" t="s">
        <v>28</v>
      </c>
      <c r="P99" s="35">
        <v>0</v>
      </c>
      <c r="Q99" s="12" t="s">
        <v>28</v>
      </c>
      <c r="R99" s="9">
        <v>7085000000</v>
      </c>
      <c r="S99" s="10">
        <v>42538</v>
      </c>
      <c r="T99" s="37">
        <v>0</v>
      </c>
      <c r="U99" s="10" t="s">
        <v>28</v>
      </c>
      <c r="V99" s="199">
        <f t="shared" si="5"/>
        <v>0</v>
      </c>
      <c r="W99" s="12" t="s">
        <v>28</v>
      </c>
      <c r="X99" s="199">
        <f t="shared" si="6"/>
        <v>0</v>
      </c>
      <c r="Y99" s="12" t="s">
        <v>28</v>
      </c>
      <c r="Z99" s="199">
        <f t="shared" si="7"/>
        <v>7085000000</v>
      </c>
      <c r="AA99" s="10">
        <v>42538</v>
      </c>
      <c r="AB99" s="199">
        <f t="shared" si="8"/>
        <v>0</v>
      </c>
      <c r="AC99" s="10" t="s">
        <v>28</v>
      </c>
      <c r="AD99" s="34" t="s">
        <v>29</v>
      </c>
      <c r="AE99" s="15" t="s">
        <v>880</v>
      </c>
      <c r="AF99" s="21" t="s">
        <v>887</v>
      </c>
      <c r="AG99" s="67" t="s">
        <v>68</v>
      </c>
      <c r="AH99" s="33" t="s">
        <v>887</v>
      </c>
      <c r="AI99" s="21" t="s">
        <v>887</v>
      </c>
      <c r="AJ99" s="202" t="s">
        <v>1121</v>
      </c>
      <c r="AK99" s="203" t="s">
        <v>1144</v>
      </c>
      <c r="AL99" s="198"/>
      <c r="AM99" s="198" t="s">
        <v>1123</v>
      </c>
      <c r="AN99" s="198" t="s">
        <v>1124</v>
      </c>
      <c r="AO99" s="204">
        <v>1</v>
      </c>
      <c r="AP99" s="198" t="s">
        <v>1112</v>
      </c>
      <c r="AQ99" s="198"/>
      <c r="AR99" s="198"/>
    </row>
    <row r="100" spans="1:44">
      <c r="A100" s="205">
        <v>155</v>
      </c>
      <c r="B100" s="8" t="s">
        <v>25</v>
      </c>
      <c r="C100" s="8" t="s">
        <v>26</v>
      </c>
      <c r="D100" s="12" t="s">
        <v>32</v>
      </c>
      <c r="E100" s="12" t="s">
        <v>428</v>
      </c>
      <c r="F100" s="34" t="s">
        <v>463</v>
      </c>
      <c r="G100" s="34" t="s">
        <v>464</v>
      </c>
      <c r="H100" s="36" t="s">
        <v>465</v>
      </c>
      <c r="I100" s="12" t="s">
        <v>57</v>
      </c>
      <c r="J100" s="12" t="s">
        <v>38</v>
      </c>
      <c r="K100" s="12" t="s">
        <v>28</v>
      </c>
      <c r="L100" s="12" t="s">
        <v>28</v>
      </c>
      <c r="M100" s="12" t="s">
        <v>38</v>
      </c>
      <c r="N100" s="9">
        <v>0</v>
      </c>
      <c r="O100" s="12" t="s">
        <v>28</v>
      </c>
      <c r="P100" s="35">
        <v>0</v>
      </c>
      <c r="Q100" s="12" t="s">
        <v>28</v>
      </c>
      <c r="R100" s="35">
        <v>1735479900.0000002</v>
      </c>
      <c r="S100" s="10">
        <v>42489</v>
      </c>
      <c r="T100" s="37">
        <v>2162767200</v>
      </c>
      <c r="U100" s="10">
        <v>45474</v>
      </c>
      <c r="V100" s="199">
        <f t="shared" si="5"/>
        <v>0</v>
      </c>
      <c r="W100" s="12" t="s">
        <v>28</v>
      </c>
      <c r="X100" s="199">
        <f t="shared" si="6"/>
        <v>0</v>
      </c>
      <c r="Y100" s="12" t="s">
        <v>28</v>
      </c>
      <c r="Z100" s="199">
        <f t="shared" si="7"/>
        <v>1735479900.0000002</v>
      </c>
      <c r="AA100" s="10">
        <v>42489</v>
      </c>
      <c r="AB100" s="199">
        <f t="shared" si="8"/>
        <v>2162767200</v>
      </c>
      <c r="AC100" s="10">
        <v>45474</v>
      </c>
      <c r="AD100" s="34" t="s">
        <v>29</v>
      </c>
      <c r="AE100" s="15" t="s">
        <v>880</v>
      </c>
      <c r="AF100" s="21" t="s">
        <v>887</v>
      </c>
      <c r="AG100" s="67" t="s">
        <v>68</v>
      </c>
      <c r="AH100" s="33" t="s">
        <v>887</v>
      </c>
      <c r="AI100" s="21" t="s">
        <v>887</v>
      </c>
      <c r="AJ100" s="202" t="s">
        <v>1121</v>
      </c>
      <c r="AK100" s="203" t="s">
        <v>1144</v>
      </c>
      <c r="AL100" s="198"/>
      <c r="AM100" s="198" t="s">
        <v>1123</v>
      </c>
      <c r="AN100" s="198" t="s">
        <v>1124</v>
      </c>
      <c r="AO100" s="204">
        <v>1</v>
      </c>
      <c r="AP100" s="198" t="s">
        <v>1112</v>
      </c>
      <c r="AQ100" s="198"/>
      <c r="AR100" s="198"/>
    </row>
    <row r="101" spans="1:44">
      <c r="A101" s="205">
        <v>156</v>
      </c>
      <c r="B101" s="8" t="s">
        <v>25</v>
      </c>
      <c r="C101" s="8" t="s">
        <v>26</v>
      </c>
      <c r="D101" s="12" t="s">
        <v>32</v>
      </c>
      <c r="E101" s="12" t="s">
        <v>428</v>
      </c>
      <c r="F101" s="34" t="s">
        <v>466</v>
      </c>
      <c r="G101" s="34" t="s">
        <v>467</v>
      </c>
      <c r="H101" s="36" t="s">
        <v>468</v>
      </c>
      <c r="I101" s="12" t="s">
        <v>125</v>
      </c>
      <c r="J101" s="12" t="s">
        <v>38</v>
      </c>
      <c r="K101" s="12" t="s">
        <v>28</v>
      </c>
      <c r="L101" s="12" t="s">
        <v>28</v>
      </c>
      <c r="M101" s="12" t="s">
        <v>38</v>
      </c>
      <c r="N101" s="9">
        <v>0</v>
      </c>
      <c r="O101" s="12" t="s">
        <v>28</v>
      </c>
      <c r="P101" s="9">
        <v>6103900000.000001</v>
      </c>
      <c r="Q101" s="10">
        <v>40282</v>
      </c>
      <c r="R101" s="9">
        <v>8622000000</v>
      </c>
      <c r="S101" s="10">
        <v>42471</v>
      </c>
      <c r="T101" s="9">
        <v>16264000000</v>
      </c>
      <c r="U101" s="10">
        <v>45476</v>
      </c>
      <c r="V101" s="199">
        <f t="shared" si="5"/>
        <v>0</v>
      </c>
      <c r="W101" s="12" t="s">
        <v>28</v>
      </c>
      <c r="X101" s="199">
        <f t="shared" si="6"/>
        <v>6103900000.000001</v>
      </c>
      <c r="Y101" s="10">
        <v>40282</v>
      </c>
      <c r="Z101" s="199">
        <f t="shared" si="7"/>
        <v>8622000000</v>
      </c>
      <c r="AA101" s="10">
        <v>42471</v>
      </c>
      <c r="AB101" s="199">
        <f t="shared" si="8"/>
        <v>16264000000</v>
      </c>
      <c r="AC101" s="10">
        <v>45476</v>
      </c>
      <c r="AD101" s="34" t="s">
        <v>29</v>
      </c>
      <c r="AE101" s="15" t="s">
        <v>880</v>
      </c>
      <c r="AF101" s="21" t="s">
        <v>887</v>
      </c>
      <c r="AG101" s="67" t="s">
        <v>68</v>
      </c>
      <c r="AH101" s="33" t="s">
        <v>887</v>
      </c>
      <c r="AI101" s="21" t="s">
        <v>887</v>
      </c>
      <c r="AJ101" s="202" t="s">
        <v>1121</v>
      </c>
      <c r="AK101" s="203" t="s">
        <v>1144</v>
      </c>
      <c r="AL101" s="198"/>
      <c r="AM101" s="198" t="s">
        <v>1123</v>
      </c>
      <c r="AN101" s="198" t="s">
        <v>1124</v>
      </c>
      <c r="AO101" s="204">
        <v>1</v>
      </c>
      <c r="AP101" s="198" t="s">
        <v>1112</v>
      </c>
      <c r="AQ101" s="198"/>
      <c r="AR101" s="198"/>
    </row>
    <row r="102" spans="1:44">
      <c r="A102" s="205">
        <v>157</v>
      </c>
      <c r="B102" s="8" t="s">
        <v>25</v>
      </c>
      <c r="C102" s="8" t="s">
        <v>26</v>
      </c>
      <c r="D102" s="12" t="s">
        <v>32</v>
      </c>
      <c r="E102" s="12" t="s">
        <v>428</v>
      </c>
      <c r="F102" s="34" t="s">
        <v>469</v>
      </c>
      <c r="G102" s="34" t="s">
        <v>470</v>
      </c>
      <c r="H102" s="36" t="s">
        <v>471</v>
      </c>
      <c r="I102" s="12" t="s">
        <v>125</v>
      </c>
      <c r="J102" s="12" t="s">
        <v>38</v>
      </c>
      <c r="K102" s="12" t="s">
        <v>28</v>
      </c>
      <c r="L102" s="12" t="s">
        <v>28</v>
      </c>
      <c r="M102" s="12" t="s">
        <v>38</v>
      </c>
      <c r="N102" s="9">
        <v>0</v>
      </c>
      <c r="O102" s="12" t="s">
        <v>28</v>
      </c>
      <c r="P102" s="35">
        <v>0</v>
      </c>
      <c r="Q102" s="12" t="s">
        <v>28</v>
      </c>
      <c r="R102" s="35">
        <v>2562098000</v>
      </c>
      <c r="S102" s="10">
        <v>42599</v>
      </c>
      <c r="T102" s="37">
        <v>0</v>
      </c>
      <c r="U102" s="10" t="s">
        <v>28</v>
      </c>
      <c r="V102" s="199">
        <f t="shared" si="5"/>
        <v>0</v>
      </c>
      <c r="W102" s="12" t="s">
        <v>28</v>
      </c>
      <c r="X102" s="199">
        <f t="shared" si="6"/>
        <v>0</v>
      </c>
      <c r="Y102" s="12" t="s">
        <v>28</v>
      </c>
      <c r="Z102" s="199">
        <f t="shared" si="7"/>
        <v>2562098000</v>
      </c>
      <c r="AA102" s="10">
        <v>42599</v>
      </c>
      <c r="AB102" s="199">
        <f t="shared" si="8"/>
        <v>0</v>
      </c>
      <c r="AC102" s="10" t="s">
        <v>28</v>
      </c>
      <c r="AD102" s="34" t="s">
        <v>29</v>
      </c>
      <c r="AE102" s="15" t="s">
        <v>880</v>
      </c>
      <c r="AF102" s="21" t="s">
        <v>887</v>
      </c>
      <c r="AG102" s="67" t="s">
        <v>68</v>
      </c>
      <c r="AH102" s="33" t="s">
        <v>887</v>
      </c>
      <c r="AI102" s="21" t="s">
        <v>887</v>
      </c>
      <c r="AJ102" s="202" t="s">
        <v>1121</v>
      </c>
      <c r="AK102" s="203" t="s">
        <v>1144</v>
      </c>
      <c r="AL102" s="198"/>
      <c r="AM102" s="198" t="s">
        <v>1123</v>
      </c>
      <c r="AN102" s="198" t="s">
        <v>1124</v>
      </c>
      <c r="AO102" s="204">
        <v>1</v>
      </c>
      <c r="AP102" s="198" t="s">
        <v>1112</v>
      </c>
      <c r="AQ102" s="198"/>
      <c r="AR102" s="198"/>
    </row>
    <row r="103" spans="1:44">
      <c r="A103" s="205">
        <v>158</v>
      </c>
      <c r="B103" s="8" t="s">
        <v>25</v>
      </c>
      <c r="C103" s="8" t="s">
        <v>26</v>
      </c>
      <c r="D103" s="12" t="s">
        <v>32</v>
      </c>
      <c r="E103" s="12" t="s">
        <v>428</v>
      </c>
      <c r="F103" s="34" t="s">
        <v>472</v>
      </c>
      <c r="G103" s="34" t="s">
        <v>473</v>
      </c>
      <c r="H103" s="36" t="s">
        <v>474</v>
      </c>
      <c r="I103" s="12" t="s">
        <v>43</v>
      </c>
      <c r="J103" s="12" t="s">
        <v>38</v>
      </c>
      <c r="K103" s="12" t="s">
        <v>28</v>
      </c>
      <c r="L103" s="12" t="s">
        <v>28</v>
      </c>
      <c r="M103" s="12" t="s">
        <v>38</v>
      </c>
      <c r="N103" s="9">
        <v>0</v>
      </c>
      <c r="O103" s="12" t="s">
        <v>28</v>
      </c>
      <c r="P103" s="35">
        <v>836872608</v>
      </c>
      <c r="Q103" s="10">
        <v>41134</v>
      </c>
      <c r="R103" s="35">
        <v>0</v>
      </c>
      <c r="S103" s="10" t="s">
        <v>28</v>
      </c>
      <c r="T103" s="37">
        <v>0</v>
      </c>
      <c r="U103" s="10" t="s">
        <v>28</v>
      </c>
      <c r="V103" s="199">
        <f t="shared" si="5"/>
        <v>0</v>
      </c>
      <c r="W103" s="12" t="s">
        <v>28</v>
      </c>
      <c r="X103" s="199">
        <f t="shared" si="6"/>
        <v>836872608</v>
      </c>
      <c r="Y103" s="10">
        <v>41134</v>
      </c>
      <c r="Z103" s="199">
        <f t="shared" si="7"/>
        <v>0</v>
      </c>
      <c r="AA103" s="10" t="s">
        <v>28</v>
      </c>
      <c r="AB103" s="199">
        <f t="shared" si="8"/>
        <v>0</v>
      </c>
      <c r="AC103" s="10" t="s">
        <v>28</v>
      </c>
      <c r="AD103" s="34" t="s">
        <v>79</v>
      </c>
      <c r="AE103" s="15" t="s">
        <v>880</v>
      </c>
      <c r="AF103" s="21" t="s">
        <v>887</v>
      </c>
      <c r="AG103" s="67" t="s">
        <v>68</v>
      </c>
      <c r="AH103" s="33" t="s">
        <v>887</v>
      </c>
      <c r="AI103" s="21" t="s">
        <v>887</v>
      </c>
      <c r="AJ103" s="202" t="s">
        <v>1121</v>
      </c>
      <c r="AK103" s="203" t="s">
        <v>1144</v>
      </c>
      <c r="AL103" s="198"/>
      <c r="AM103" s="198" t="s">
        <v>1123</v>
      </c>
      <c r="AN103" s="198" t="s">
        <v>1124</v>
      </c>
      <c r="AO103" s="204">
        <v>1</v>
      </c>
      <c r="AP103" s="198" t="s">
        <v>1112</v>
      </c>
      <c r="AQ103" s="198"/>
      <c r="AR103" s="198"/>
    </row>
    <row r="104" spans="1:44">
      <c r="A104" s="205">
        <v>159</v>
      </c>
      <c r="B104" s="8" t="s">
        <v>25</v>
      </c>
      <c r="C104" s="8" t="s">
        <v>26</v>
      </c>
      <c r="D104" s="12" t="s">
        <v>32</v>
      </c>
      <c r="E104" s="12" t="s">
        <v>428</v>
      </c>
      <c r="F104" s="34" t="s">
        <v>475</v>
      </c>
      <c r="G104" s="34" t="s">
        <v>476</v>
      </c>
      <c r="H104" s="36" t="s">
        <v>477</v>
      </c>
      <c r="I104" s="12" t="s">
        <v>118</v>
      </c>
      <c r="J104" s="12" t="s">
        <v>38</v>
      </c>
      <c r="K104" s="12" t="s">
        <v>28</v>
      </c>
      <c r="L104" s="12" t="s">
        <v>28</v>
      </c>
      <c r="M104" s="12" t="s">
        <v>38</v>
      </c>
      <c r="N104" s="9">
        <v>0</v>
      </c>
      <c r="O104" s="12" t="s">
        <v>28</v>
      </c>
      <c r="P104" s="35">
        <v>0</v>
      </c>
      <c r="Q104" s="12" t="s">
        <v>28</v>
      </c>
      <c r="R104" s="35">
        <v>495206800.00000006</v>
      </c>
      <c r="S104" s="10">
        <v>42825</v>
      </c>
      <c r="T104" s="37">
        <v>0</v>
      </c>
      <c r="U104" s="10" t="s">
        <v>28</v>
      </c>
      <c r="V104" s="199">
        <f t="shared" si="5"/>
        <v>0</v>
      </c>
      <c r="W104" s="12" t="s">
        <v>28</v>
      </c>
      <c r="X104" s="199">
        <f t="shared" si="6"/>
        <v>0</v>
      </c>
      <c r="Y104" s="12" t="s">
        <v>28</v>
      </c>
      <c r="Z104" s="199">
        <f t="shared" si="7"/>
        <v>495206800.00000006</v>
      </c>
      <c r="AA104" s="10">
        <v>42825</v>
      </c>
      <c r="AB104" s="199">
        <f t="shared" si="8"/>
        <v>0</v>
      </c>
      <c r="AC104" s="10" t="s">
        <v>28</v>
      </c>
      <c r="AD104" s="34" t="s">
        <v>79</v>
      </c>
      <c r="AE104" s="15" t="s">
        <v>880</v>
      </c>
      <c r="AF104" s="21" t="s">
        <v>887</v>
      </c>
      <c r="AG104" s="67" t="s">
        <v>68</v>
      </c>
      <c r="AH104" s="33" t="s">
        <v>887</v>
      </c>
      <c r="AI104" s="21" t="s">
        <v>887</v>
      </c>
      <c r="AJ104" s="202" t="s">
        <v>1121</v>
      </c>
      <c r="AK104" s="203" t="s">
        <v>1144</v>
      </c>
      <c r="AL104" s="198"/>
      <c r="AM104" s="198" t="s">
        <v>1123</v>
      </c>
      <c r="AN104" s="198" t="s">
        <v>1124</v>
      </c>
      <c r="AO104" s="204">
        <v>1</v>
      </c>
      <c r="AP104" s="198" t="s">
        <v>1112</v>
      </c>
      <c r="AQ104" s="198"/>
      <c r="AR104" s="198"/>
    </row>
    <row r="105" spans="1:44">
      <c r="A105" s="205">
        <v>160</v>
      </c>
      <c r="B105" s="8" t="s">
        <v>25</v>
      </c>
      <c r="C105" s="8" t="s">
        <v>26</v>
      </c>
      <c r="D105" s="12" t="s">
        <v>32</v>
      </c>
      <c r="E105" s="12" t="s">
        <v>428</v>
      </c>
      <c r="F105" s="34" t="s">
        <v>478</v>
      </c>
      <c r="G105" s="34" t="s">
        <v>479</v>
      </c>
      <c r="H105" s="36" t="s">
        <v>480</v>
      </c>
      <c r="I105" s="12" t="s">
        <v>125</v>
      </c>
      <c r="J105" s="12" t="s">
        <v>38</v>
      </c>
      <c r="K105" s="12" t="s">
        <v>28</v>
      </c>
      <c r="L105" s="12" t="s">
        <v>28</v>
      </c>
      <c r="M105" s="12" t="s">
        <v>38</v>
      </c>
      <c r="N105" s="9">
        <v>0</v>
      </c>
      <c r="O105" s="12" t="s">
        <v>28</v>
      </c>
      <c r="P105" s="35">
        <v>0</v>
      </c>
      <c r="Q105" s="12" t="s">
        <v>28</v>
      </c>
      <c r="R105" s="35">
        <v>984500000.00000012</v>
      </c>
      <c r="S105" s="10">
        <v>43595</v>
      </c>
      <c r="T105" s="37">
        <v>0</v>
      </c>
      <c r="U105" s="10" t="s">
        <v>28</v>
      </c>
      <c r="V105" s="199">
        <f t="shared" si="5"/>
        <v>0</v>
      </c>
      <c r="W105" s="12" t="s">
        <v>28</v>
      </c>
      <c r="X105" s="199">
        <f t="shared" si="6"/>
        <v>0</v>
      </c>
      <c r="Y105" s="12" t="s">
        <v>28</v>
      </c>
      <c r="Z105" s="199">
        <f t="shared" si="7"/>
        <v>984500000.00000012</v>
      </c>
      <c r="AA105" s="10">
        <v>43595</v>
      </c>
      <c r="AB105" s="199">
        <f t="shared" si="8"/>
        <v>0</v>
      </c>
      <c r="AC105" s="10" t="s">
        <v>28</v>
      </c>
      <c r="AD105" s="34" t="s">
        <v>79</v>
      </c>
      <c r="AE105" s="15" t="s">
        <v>880</v>
      </c>
      <c r="AF105" s="21" t="s">
        <v>887</v>
      </c>
      <c r="AG105" s="67" t="s">
        <v>68</v>
      </c>
      <c r="AH105" s="33" t="s">
        <v>887</v>
      </c>
      <c r="AI105" s="21" t="s">
        <v>887</v>
      </c>
      <c r="AJ105" s="202" t="s">
        <v>1121</v>
      </c>
      <c r="AK105" s="203" t="s">
        <v>1144</v>
      </c>
      <c r="AL105" s="198"/>
      <c r="AM105" s="198" t="s">
        <v>1123</v>
      </c>
      <c r="AN105" s="198" t="s">
        <v>1124</v>
      </c>
      <c r="AO105" s="204">
        <v>1</v>
      </c>
      <c r="AP105" s="198" t="s">
        <v>1112</v>
      </c>
      <c r="AQ105" s="198"/>
      <c r="AR105" s="198"/>
    </row>
    <row r="106" spans="1:44">
      <c r="A106" s="205">
        <v>161</v>
      </c>
      <c r="B106" s="8" t="s">
        <v>25</v>
      </c>
      <c r="C106" s="8" t="s">
        <v>26</v>
      </c>
      <c r="D106" s="12" t="s">
        <v>32</v>
      </c>
      <c r="E106" s="12" t="s">
        <v>428</v>
      </c>
      <c r="F106" s="34" t="s">
        <v>481</v>
      </c>
      <c r="G106" s="34" t="s">
        <v>482</v>
      </c>
      <c r="H106" s="36" t="s">
        <v>483</v>
      </c>
      <c r="I106" s="12" t="s">
        <v>118</v>
      </c>
      <c r="J106" s="12" t="s">
        <v>38</v>
      </c>
      <c r="K106" s="12" t="s">
        <v>28</v>
      </c>
      <c r="L106" s="12" t="s">
        <v>28</v>
      </c>
      <c r="M106" s="12" t="s">
        <v>38</v>
      </c>
      <c r="N106" s="9">
        <v>0</v>
      </c>
      <c r="O106" s="12" t="s">
        <v>28</v>
      </c>
      <c r="P106" s="35">
        <v>663566812</v>
      </c>
      <c r="Q106" s="38">
        <v>40589</v>
      </c>
      <c r="R106" s="35">
        <v>0</v>
      </c>
      <c r="S106" s="10" t="s">
        <v>28</v>
      </c>
      <c r="T106" s="37">
        <v>0</v>
      </c>
      <c r="U106" s="10" t="s">
        <v>28</v>
      </c>
      <c r="V106" s="199">
        <f t="shared" si="5"/>
        <v>0</v>
      </c>
      <c r="W106" s="12" t="s">
        <v>28</v>
      </c>
      <c r="X106" s="199">
        <f t="shared" si="6"/>
        <v>663566812</v>
      </c>
      <c r="Y106" s="38">
        <v>40589</v>
      </c>
      <c r="Z106" s="199">
        <f t="shared" si="7"/>
        <v>0</v>
      </c>
      <c r="AA106" s="10" t="s">
        <v>28</v>
      </c>
      <c r="AB106" s="199">
        <f t="shared" si="8"/>
        <v>0</v>
      </c>
      <c r="AC106" s="10" t="s">
        <v>28</v>
      </c>
      <c r="AD106" s="34" t="s">
        <v>79</v>
      </c>
      <c r="AE106" s="15" t="s">
        <v>880</v>
      </c>
      <c r="AF106" s="21" t="s">
        <v>887</v>
      </c>
      <c r="AG106" s="67" t="s">
        <v>68</v>
      </c>
      <c r="AH106" s="33" t="s">
        <v>887</v>
      </c>
      <c r="AI106" s="21" t="s">
        <v>887</v>
      </c>
      <c r="AJ106" s="202" t="s">
        <v>1121</v>
      </c>
      <c r="AK106" s="203" t="s">
        <v>1144</v>
      </c>
      <c r="AL106" s="198"/>
      <c r="AM106" s="198" t="s">
        <v>1123</v>
      </c>
      <c r="AN106" s="198" t="s">
        <v>1124</v>
      </c>
      <c r="AO106" s="204">
        <v>1</v>
      </c>
      <c r="AP106" s="198" t="s">
        <v>1112</v>
      </c>
      <c r="AQ106" s="198"/>
      <c r="AR106" s="198"/>
    </row>
    <row r="107" spans="1:44">
      <c r="A107" s="205">
        <v>162</v>
      </c>
      <c r="B107" s="8" t="s">
        <v>25</v>
      </c>
      <c r="C107" s="8" t="s">
        <v>26</v>
      </c>
      <c r="D107" s="12" t="s">
        <v>32</v>
      </c>
      <c r="E107" s="12" t="s">
        <v>428</v>
      </c>
      <c r="F107" s="34" t="s">
        <v>484</v>
      </c>
      <c r="G107" s="34" t="s">
        <v>485</v>
      </c>
      <c r="H107" s="36" t="s">
        <v>486</v>
      </c>
      <c r="I107" s="12" t="s">
        <v>53</v>
      </c>
      <c r="J107" s="12" t="s">
        <v>38</v>
      </c>
      <c r="K107" s="12" t="s">
        <v>28</v>
      </c>
      <c r="L107" s="12" t="s">
        <v>28</v>
      </c>
      <c r="M107" s="12" t="s">
        <v>38</v>
      </c>
      <c r="N107" s="9">
        <v>0</v>
      </c>
      <c r="O107" s="12" t="s">
        <v>28</v>
      </c>
      <c r="P107" s="35">
        <v>0</v>
      </c>
      <c r="Q107" s="12" t="s">
        <v>28</v>
      </c>
      <c r="R107" s="35">
        <v>2014980000.0000002</v>
      </c>
      <c r="S107" s="10">
        <v>42536</v>
      </c>
      <c r="T107" s="37">
        <v>0</v>
      </c>
      <c r="U107" s="10" t="s">
        <v>28</v>
      </c>
      <c r="V107" s="199">
        <f t="shared" si="5"/>
        <v>0</v>
      </c>
      <c r="W107" s="12" t="s">
        <v>28</v>
      </c>
      <c r="X107" s="199">
        <f t="shared" si="6"/>
        <v>0</v>
      </c>
      <c r="Y107" s="12" t="s">
        <v>28</v>
      </c>
      <c r="Z107" s="199">
        <f t="shared" si="7"/>
        <v>2014980000.0000002</v>
      </c>
      <c r="AA107" s="10">
        <v>42536</v>
      </c>
      <c r="AB107" s="199">
        <f t="shared" si="8"/>
        <v>0</v>
      </c>
      <c r="AC107" s="10" t="s">
        <v>28</v>
      </c>
      <c r="AD107" s="34" t="s">
        <v>79</v>
      </c>
      <c r="AE107" s="15" t="s">
        <v>880</v>
      </c>
      <c r="AF107" s="21" t="s">
        <v>887</v>
      </c>
      <c r="AG107" s="67" t="s">
        <v>68</v>
      </c>
      <c r="AH107" s="33" t="s">
        <v>887</v>
      </c>
      <c r="AI107" s="21" t="s">
        <v>887</v>
      </c>
      <c r="AJ107" s="202" t="s">
        <v>1159</v>
      </c>
      <c r="AK107" s="203" t="s">
        <v>1216</v>
      </c>
      <c r="AL107" s="198" t="s">
        <v>1227</v>
      </c>
      <c r="AM107" s="198" t="s">
        <v>1228</v>
      </c>
      <c r="AN107" s="198" t="s">
        <v>1229</v>
      </c>
      <c r="AO107" s="204">
        <v>1</v>
      </c>
      <c r="AP107" s="200" t="s">
        <v>1164</v>
      </c>
      <c r="AQ107" s="198"/>
      <c r="AR107" s="198"/>
    </row>
    <row r="108" spans="1:44">
      <c r="A108" s="205">
        <v>163</v>
      </c>
      <c r="B108" s="8" t="s">
        <v>25</v>
      </c>
      <c r="C108" s="8" t="s">
        <v>26</v>
      </c>
      <c r="D108" s="12" t="s">
        <v>32</v>
      </c>
      <c r="E108" s="12" t="s">
        <v>428</v>
      </c>
      <c r="F108" s="34" t="s">
        <v>487</v>
      </c>
      <c r="G108" s="34" t="s">
        <v>488</v>
      </c>
      <c r="H108" s="36" t="s">
        <v>489</v>
      </c>
      <c r="I108" s="12" t="s">
        <v>57</v>
      </c>
      <c r="J108" s="12" t="s">
        <v>38</v>
      </c>
      <c r="K108" s="12" t="s">
        <v>28</v>
      </c>
      <c r="L108" s="12" t="s">
        <v>28</v>
      </c>
      <c r="M108" s="12" t="s">
        <v>38</v>
      </c>
      <c r="N108" s="9">
        <v>0</v>
      </c>
      <c r="O108" s="12" t="s">
        <v>28</v>
      </c>
      <c r="P108" s="35">
        <v>0</v>
      </c>
      <c r="Q108" s="12" t="s">
        <v>28</v>
      </c>
      <c r="R108" s="35">
        <v>2728002200</v>
      </c>
      <c r="S108" s="10">
        <v>42881</v>
      </c>
      <c r="T108" s="37">
        <v>5823620000</v>
      </c>
      <c r="U108" s="10">
        <v>45618</v>
      </c>
      <c r="V108" s="199">
        <f t="shared" si="5"/>
        <v>0</v>
      </c>
      <c r="W108" s="12" t="s">
        <v>28</v>
      </c>
      <c r="X108" s="199">
        <f t="shared" si="6"/>
        <v>0</v>
      </c>
      <c r="Y108" s="12" t="s">
        <v>28</v>
      </c>
      <c r="Z108" s="199">
        <f t="shared" si="7"/>
        <v>2728002200</v>
      </c>
      <c r="AA108" s="10">
        <v>42881</v>
      </c>
      <c r="AB108" s="199">
        <f t="shared" si="8"/>
        <v>5823620000</v>
      </c>
      <c r="AC108" s="10">
        <v>45618</v>
      </c>
      <c r="AD108" s="34" t="s">
        <v>79</v>
      </c>
      <c r="AE108" s="15" t="s">
        <v>880</v>
      </c>
      <c r="AF108" s="21" t="s">
        <v>887</v>
      </c>
      <c r="AG108" s="67" t="s">
        <v>68</v>
      </c>
      <c r="AH108" s="33" t="s">
        <v>887</v>
      </c>
      <c r="AI108" s="21" t="s">
        <v>887</v>
      </c>
      <c r="AJ108" s="202" t="s">
        <v>1121</v>
      </c>
      <c r="AK108" s="203" t="s">
        <v>1131</v>
      </c>
      <c r="AL108" s="198" t="s">
        <v>1230</v>
      </c>
      <c r="AM108" s="198" t="s">
        <v>1231</v>
      </c>
      <c r="AN108" s="198" t="s">
        <v>1232</v>
      </c>
      <c r="AO108" s="204">
        <v>1</v>
      </c>
      <c r="AP108" s="198" t="s">
        <v>1112</v>
      </c>
      <c r="AQ108" s="198"/>
      <c r="AR108" s="198"/>
    </row>
    <row r="109" spans="1:44">
      <c r="A109" s="205">
        <v>163</v>
      </c>
      <c r="B109" s="8" t="s">
        <v>25</v>
      </c>
      <c r="C109" s="8" t="s">
        <v>26</v>
      </c>
      <c r="D109" s="12" t="s">
        <v>32</v>
      </c>
      <c r="E109" s="12" t="s">
        <v>428</v>
      </c>
      <c r="F109" s="34" t="s">
        <v>487</v>
      </c>
      <c r="G109" s="34" t="s">
        <v>488</v>
      </c>
      <c r="H109" s="36" t="s">
        <v>489</v>
      </c>
      <c r="I109" s="12" t="s">
        <v>57</v>
      </c>
      <c r="J109" s="12" t="s">
        <v>38</v>
      </c>
      <c r="K109" s="12" t="s">
        <v>28</v>
      </c>
      <c r="L109" s="12" t="s">
        <v>28</v>
      </c>
      <c r="M109" s="12" t="s">
        <v>38</v>
      </c>
      <c r="N109" s="9">
        <v>0</v>
      </c>
      <c r="O109" s="12" t="s">
        <v>28</v>
      </c>
      <c r="P109" s="35">
        <v>0</v>
      </c>
      <c r="Q109" s="12" t="s">
        <v>28</v>
      </c>
      <c r="R109" s="35">
        <v>2728002200</v>
      </c>
      <c r="S109" s="10">
        <v>42881</v>
      </c>
      <c r="T109" s="37">
        <v>5823620000</v>
      </c>
      <c r="U109" s="10">
        <v>45618</v>
      </c>
      <c r="V109" s="199">
        <f t="shared" si="5"/>
        <v>0</v>
      </c>
      <c r="W109" s="12" t="s">
        <v>28</v>
      </c>
      <c r="X109" s="199">
        <f t="shared" si="6"/>
        <v>0</v>
      </c>
      <c r="Y109" s="12" t="s">
        <v>28</v>
      </c>
      <c r="Z109" s="199">
        <f t="shared" si="7"/>
        <v>2728002200</v>
      </c>
      <c r="AA109" s="10">
        <v>42881</v>
      </c>
      <c r="AB109" s="199">
        <f t="shared" si="8"/>
        <v>5823620000</v>
      </c>
      <c r="AC109" s="10">
        <v>45618</v>
      </c>
      <c r="AD109" s="34" t="s">
        <v>79</v>
      </c>
      <c r="AE109" s="15" t="s">
        <v>880</v>
      </c>
      <c r="AF109" s="21" t="s">
        <v>887</v>
      </c>
      <c r="AG109" s="67" t="s">
        <v>68</v>
      </c>
      <c r="AH109" s="33" t="s">
        <v>887</v>
      </c>
      <c r="AI109" s="21" t="s">
        <v>887</v>
      </c>
      <c r="AJ109" s="202" t="s">
        <v>1121</v>
      </c>
      <c r="AK109" s="203" t="s">
        <v>1131</v>
      </c>
      <c r="AL109" s="198" t="s">
        <v>1230</v>
      </c>
      <c r="AM109" s="198" t="s">
        <v>1231</v>
      </c>
      <c r="AN109" s="198" t="s">
        <v>1232</v>
      </c>
      <c r="AO109" s="204">
        <v>1</v>
      </c>
      <c r="AP109" s="198" t="s">
        <v>1112</v>
      </c>
      <c r="AQ109" s="198"/>
      <c r="AR109" s="198"/>
    </row>
    <row r="110" spans="1:44">
      <c r="A110" s="258">
        <v>170</v>
      </c>
      <c r="B110" s="259" t="s">
        <v>25</v>
      </c>
      <c r="C110" s="259" t="s">
        <v>26</v>
      </c>
      <c r="D110" s="260" t="s">
        <v>32</v>
      </c>
      <c r="E110" s="260" t="s">
        <v>502</v>
      </c>
      <c r="F110" s="261" t="s">
        <v>503</v>
      </c>
      <c r="G110" s="261" t="s">
        <v>504</v>
      </c>
      <c r="H110" s="262" t="s">
        <v>505</v>
      </c>
      <c r="I110" s="260" t="s">
        <v>227</v>
      </c>
      <c r="J110" s="260" t="s">
        <v>38</v>
      </c>
      <c r="K110" s="260" t="s">
        <v>432</v>
      </c>
      <c r="L110" s="260" t="s">
        <v>28</v>
      </c>
      <c r="M110" s="260" t="s">
        <v>28</v>
      </c>
      <c r="N110" s="308">
        <v>73150000000</v>
      </c>
      <c r="O110" s="263">
        <v>40067</v>
      </c>
      <c r="P110" s="308">
        <v>69300000000</v>
      </c>
      <c r="Q110" s="263">
        <v>40725</v>
      </c>
      <c r="R110" s="308">
        <v>64166000000</v>
      </c>
      <c r="S110" s="263">
        <v>43068</v>
      </c>
      <c r="T110" s="309">
        <v>99642400000.000015</v>
      </c>
      <c r="U110" s="263">
        <v>45593</v>
      </c>
      <c r="V110" s="199">
        <f t="shared" si="5"/>
        <v>73150000000</v>
      </c>
      <c r="W110" s="263">
        <v>40067</v>
      </c>
      <c r="X110" s="199">
        <f t="shared" si="6"/>
        <v>69300000000</v>
      </c>
      <c r="Y110" s="263">
        <v>40725</v>
      </c>
      <c r="Z110" s="199">
        <f t="shared" si="7"/>
        <v>64166000000</v>
      </c>
      <c r="AA110" s="263">
        <v>43068</v>
      </c>
      <c r="AB110" s="199">
        <f t="shared" si="8"/>
        <v>99642400000.000015</v>
      </c>
      <c r="AC110" s="263">
        <v>45593</v>
      </c>
      <c r="AD110" s="261" t="s">
        <v>506</v>
      </c>
      <c r="AE110" s="264" t="s">
        <v>881</v>
      </c>
      <c r="AF110" s="265" t="s">
        <v>887</v>
      </c>
      <c r="AG110" s="266" t="s">
        <v>68</v>
      </c>
      <c r="AH110" s="267" t="s">
        <v>887</v>
      </c>
      <c r="AI110" s="21" t="s">
        <v>887</v>
      </c>
      <c r="AJ110" s="202" t="s">
        <v>1233</v>
      </c>
      <c r="AK110" s="203" t="s">
        <v>1234</v>
      </c>
      <c r="AL110" s="198" t="s">
        <v>1235</v>
      </c>
      <c r="AM110" s="198" t="s">
        <v>1236</v>
      </c>
      <c r="AN110" s="198" t="s">
        <v>1237</v>
      </c>
      <c r="AO110" s="204">
        <v>1</v>
      </c>
      <c r="AP110" s="198" t="s">
        <v>1238</v>
      </c>
      <c r="AQ110" s="198"/>
      <c r="AR110" s="198"/>
    </row>
    <row r="111" spans="1:44">
      <c r="A111" s="258">
        <v>171</v>
      </c>
      <c r="B111" s="259" t="s">
        <v>25</v>
      </c>
      <c r="C111" s="259" t="s">
        <v>26</v>
      </c>
      <c r="D111" s="260" t="s">
        <v>32</v>
      </c>
      <c r="E111" s="260" t="s">
        <v>502</v>
      </c>
      <c r="F111" s="261" t="s">
        <v>507</v>
      </c>
      <c r="G111" s="261" t="s">
        <v>508</v>
      </c>
      <c r="H111" s="262" t="s">
        <v>509</v>
      </c>
      <c r="I111" s="260" t="s">
        <v>118</v>
      </c>
      <c r="J111" s="260" t="s">
        <v>38</v>
      </c>
      <c r="K111" s="260" t="s">
        <v>28</v>
      </c>
      <c r="L111" s="260" t="s">
        <v>28</v>
      </c>
      <c r="M111" s="260" t="s">
        <v>38</v>
      </c>
      <c r="N111" s="308">
        <v>0</v>
      </c>
      <c r="O111" s="260" t="s">
        <v>28</v>
      </c>
      <c r="P111" s="310">
        <v>0</v>
      </c>
      <c r="Q111" s="260" t="s">
        <v>28</v>
      </c>
      <c r="R111" s="310">
        <v>832592999.70000005</v>
      </c>
      <c r="S111" s="263">
        <v>42384</v>
      </c>
      <c r="T111" s="309">
        <v>2018500000.0000002</v>
      </c>
      <c r="U111" s="263">
        <v>45446</v>
      </c>
      <c r="V111" s="199">
        <f t="shared" si="5"/>
        <v>0</v>
      </c>
      <c r="W111" s="260" t="s">
        <v>28</v>
      </c>
      <c r="X111" s="199">
        <f t="shared" si="6"/>
        <v>0</v>
      </c>
      <c r="Y111" s="260" t="s">
        <v>28</v>
      </c>
      <c r="Z111" s="199">
        <f t="shared" si="7"/>
        <v>832592999.70000005</v>
      </c>
      <c r="AA111" s="263">
        <v>42384</v>
      </c>
      <c r="AB111" s="199">
        <f t="shared" si="8"/>
        <v>2018500000.0000002</v>
      </c>
      <c r="AC111" s="263">
        <v>45446</v>
      </c>
      <c r="AD111" s="261" t="s">
        <v>506</v>
      </c>
      <c r="AE111" s="264" t="s">
        <v>881</v>
      </c>
      <c r="AF111" s="265" t="s">
        <v>887</v>
      </c>
      <c r="AG111" s="266" t="s">
        <v>68</v>
      </c>
      <c r="AH111" s="267" t="s">
        <v>887</v>
      </c>
      <c r="AI111" s="21" t="s">
        <v>887</v>
      </c>
      <c r="AJ111" s="202" t="s">
        <v>1233</v>
      </c>
      <c r="AK111" s="203" t="s">
        <v>1234</v>
      </c>
      <c r="AL111" s="198" t="s">
        <v>1239</v>
      </c>
      <c r="AM111" s="198" t="s">
        <v>1240</v>
      </c>
      <c r="AN111" s="198" t="s">
        <v>1241</v>
      </c>
      <c r="AO111" s="204">
        <v>1</v>
      </c>
      <c r="AP111" s="198" t="s">
        <v>1238</v>
      </c>
      <c r="AQ111" s="198"/>
      <c r="AR111" s="198"/>
    </row>
    <row r="112" spans="1:44">
      <c r="A112" s="258">
        <v>172</v>
      </c>
      <c r="B112" s="259" t="s">
        <v>25</v>
      </c>
      <c r="C112" s="259" t="s">
        <v>26</v>
      </c>
      <c r="D112" s="260" t="s">
        <v>32</v>
      </c>
      <c r="E112" s="260" t="s">
        <v>502</v>
      </c>
      <c r="F112" s="261" t="s">
        <v>510</v>
      </c>
      <c r="G112" s="261" t="s">
        <v>511</v>
      </c>
      <c r="H112" s="262" t="s">
        <v>512</v>
      </c>
      <c r="I112" s="260" t="s">
        <v>43</v>
      </c>
      <c r="J112" s="260" t="s">
        <v>38</v>
      </c>
      <c r="K112" s="260" t="s">
        <v>28</v>
      </c>
      <c r="L112" s="260" t="s">
        <v>28</v>
      </c>
      <c r="M112" s="260" t="s">
        <v>38</v>
      </c>
      <c r="N112" s="308">
        <v>0</v>
      </c>
      <c r="O112" s="260" t="s">
        <v>28</v>
      </c>
      <c r="P112" s="308">
        <v>8635000000</v>
      </c>
      <c r="Q112" s="263">
        <v>40407</v>
      </c>
      <c r="R112" s="308">
        <v>23727000000</v>
      </c>
      <c r="S112" s="263">
        <v>42726</v>
      </c>
      <c r="T112" s="309">
        <v>0</v>
      </c>
      <c r="U112" s="263" t="s">
        <v>28</v>
      </c>
      <c r="V112" s="199">
        <f t="shared" si="5"/>
        <v>0</v>
      </c>
      <c r="W112" s="260" t="s">
        <v>28</v>
      </c>
      <c r="X112" s="199">
        <f t="shared" si="6"/>
        <v>8635000000</v>
      </c>
      <c r="Y112" s="263">
        <v>40407</v>
      </c>
      <c r="Z112" s="199">
        <f t="shared" si="7"/>
        <v>23727000000</v>
      </c>
      <c r="AA112" s="263">
        <v>42726</v>
      </c>
      <c r="AB112" s="199">
        <f t="shared" si="8"/>
        <v>0</v>
      </c>
      <c r="AC112" s="263" t="s">
        <v>28</v>
      </c>
      <c r="AD112" s="261" t="s">
        <v>506</v>
      </c>
      <c r="AE112" s="264" t="s">
        <v>881</v>
      </c>
      <c r="AF112" s="265" t="s">
        <v>887</v>
      </c>
      <c r="AG112" s="266" t="s">
        <v>68</v>
      </c>
      <c r="AH112" s="267" t="s">
        <v>887</v>
      </c>
      <c r="AI112" s="21" t="s">
        <v>887</v>
      </c>
      <c r="AJ112" s="202" t="s">
        <v>1233</v>
      </c>
      <c r="AK112" s="203" t="s">
        <v>1234</v>
      </c>
      <c r="AL112" s="198" t="s">
        <v>1242</v>
      </c>
      <c r="AM112" s="198" t="s">
        <v>1243</v>
      </c>
      <c r="AN112" s="198" t="s">
        <v>1244</v>
      </c>
      <c r="AO112" s="204">
        <v>1</v>
      </c>
      <c r="AP112" s="198" t="s">
        <v>1238</v>
      </c>
      <c r="AQ112" s="198"/>
      <c r="AR112" s="198"/>
    </row>
    <row r="113" spans="1:44">
      <c r="A113" s="258">
        <v>173</v>
      </c>
      <c r="B113" s="259" t="s">
        <v>25</v>
      </c>
      <c r="C113" s="259" t="s">
        <v>26</v>
      </c>
      <c r="D113" s="260" t="s">
        <v>32</v>
      </c>
      <c r="E113" s="260" t="s">
        <v>502</v>
      </c>
      <c r="F113" s="261" t="s">
        <v>513</v>
      </c>
      <c r="G113" s="261" t="s">
        <v>514</v>
      </c>
      <c r="H113" s="262" t="s">
        <v>515</v>
      </c>
      <c r="I113" s="260" t="s">
        <v>43</v>
      </c>
      <c r="J113" s="260" t="s">
        <v>38</v>
      </c>
      <c r="K113" s="260" t="s">
        <v>28</v>
      </c>
      <c r="L113" s="260" t="s">
        <v>28</v>
      </c>
      <c r="M113" s="260" t="s">
        <v>38</v>
      </c>
      <c r="N113" s="308">
        <v>11027500000</v>
      </c>
      <c r="O113" s="263">
        <v>39542</v>
      </c>
      <c r="P113" s="308">
        <v>7535000000.000001</v>
      </c>
      <c r="Q113" s="263">
        <v>40539</v>
      </c>
      <c r="R113" s="308">
        <v>14916000000</v>
      </c>
      <c r="S113" s="263">
        <v>42538</v>
      </c>
      <c r="T113" s="309">
        <v>0</v>
      </c>
      <c r="U113" s="263" t="s">
        <v>28</v>
      </c>
      <c r="V113" s="199">
        <f t="shared" si="5"/>
        <v>11027500000</v>
      </c>
      <c r="W113" s="263">
        <v>39542</v>
      </c>
      <c r="X113" s="199">
        <f t="shared" si="6"/>
        <v>7535000000.000001</v>
      </c>
      <c r="Y113" s="263">
        <v>40539</v>
      </c>
      <c r="Z113" s="199">
        <f t="shared" si="7"/>
        <v>14916000000</v>
      </c>
      <c r="AA113" s="263">
        <v>42538</v>
      </c>
      <c r="AB113" s="199">
        <f t="shared" si="8"/>
        <v>0</v>
      </c>
      <c r="AC113" s="263" t="s">
        <v>28</v>
      </c>
      <c r="AD113" s="261" t="s">
        <v>506</v>
      </c>
      <c r="AE113" s="264" t="s">
        <v>881</v>
      </c>
      <c r="AF113" s="265" t="s">
        <v>887</v>
      </c>
      <c r="AG113" s="266" t="s">
        <v>68</v>
      </c>
      <c r="AH113" s="267" t="s">
        <v>887</v>
      </c>
      <c r="AI113" s="21" t="s">
        <v>887</v>
      </c>
      <c r="AJ113" s="202" t="s">
        <v>1233</v>
      </c>
      <c r="AK113" s="203" t="s">
        <v>1234</v>
      </c>
      <c r="AL113" s="198" t="s">
        <v>1245</v>
      </c>
      <c r="AM113" s="198" t="s">
        <v>1246</v>
      </c>
      <c r="AN113" s="198" t="s">
        <v>1247</v>
      </c>
      <c r="AO113" s="204">
        <v>1</v>
      </c>
      <c r="AP113" s="198" t="s">
        <v>1238</v>
      </c>
      <c r="AQ113" s="198"/>
      <c r="AR113" s="198"/>
    </row>
    <row r="114" spans="1:44">
      <c r="A114" s="258">
        <v>174</v>
      </c>
      <c r="B114" s="259" t="s">
        <v>25</v>
      </c>
      <c r="C114" s="259" t="s">
        <v>26</v>
      </c>
      <c r="D114" s="260" t="s">
        <v>32</v>
      </c>
      <c r="E114" s="260" t="s">
        <v>502</v>
      </c>
      <c r="F114" s="261" t="s">
        <v>516</v>
      </c>
      <c r="G114" s="261" t="s">
        <v>517</v>
      </c>
      <c r="H114" s="262" t="s">
        <v>518</v>
      </c>
      <c r="I114" s="260" t="s">
        <v>43</v>
      </c>
      <c r="J114" s="260" t="s">
        <v>38</v>
      </c>
      <c r="K114" s="260" t="s">
        <v>28</v>
      </c>
      <c r="L114" s="260" t="s">
        <v>28</v>
      </c>
      <c r="M114" s="260" t="s">
        <v>38</v>
      </c>
      <c r="N114" s="308">
        <v>0</v>
      </c>
      <c r="O114" s="260" t="s">
        <v>28</v>
      </c>
      <c r="P114" s="308">
        <v>5324000000</v>
      </c>
      <c r="Q114" s="263">
        <v>40610</v>
      </c>
      <c r="R114" s="308">
        <v>15684000000</v>
      </c>
      <c r="S114" s="263">
        <v>42580</v>
      </c>
      <c r="T114" s="309">
        <v>0</v>
      </c>
      <c r="U114" s="263" t="s">
        <v>28</v>
      </c>
      <c r="V114" s="199">
        <f t="shared" si="5"/>
        <v>0</v>
      </c>
      <c r="W114" s="260" t="s">
        <v>28</v>
      </c>
      <c r="X114" s="199">
        <f t="shared" si="6"/>
        <v>5324000000</v>
      </c>
      <c r="Y114" s="263">
        <v>40610</v>
      </c>
      <c r="Z114" s="199">
        <f t="shared" si="7"/>
        <v>15684000000</v>
      </c>
      <c r="AA114" s="263">
        <v>42580</v>
      </c>
      <c r="AB114" s="199">
        <f t="shared" si="8"/>
        <v>0</v>
      </c>
      <c r="AC114" s="263" t="s">
        <v>28</v>
      </c>
      <c r="AD114" s="261" t="s">
        <v>506</v>
      </c>
      <c r="AE114" s="264" t="s">
        <v>881</v>
      </c>
      <c r="AF114" s="265" t="s">
        <v>887</v>
      </c>
      <c r="AG114" s="266" t="s">
        <v>68</v>
      </c>
      <c r="AH114" s="267" t="s">
        <v>887</v>
      </c>
      <c r="AI114" s="21" t="s">
        <v>887</v>
      </c>
      <c r="AJ114" s="202" t="s">
        <v>1121</v>
      </c>
      <c r="AK114" s="203" t="s">
        <v>1144</v>
      </c>
      <c r="AL114" s="198"/>
      <c r="AM114" s="198" t="s">
        <v>1123</v>
      </c>
      <c r="AN114" s="198" t="s">
        <v>1124</v>
      </c>
      <c r="AO114" s="204">
        <v>1</v>
      </c>
      <c r="AP114" s="198" t="s">
        <v>1112</v>
      </c>
      <c r="AQ114" s="198"/>
      <c r="AR114" s="198"/>
    </row>
    <row r="115" spans="1:44">
      <c r="A115" s="258">
        <v>175</v>
      </c>
      <c r="B115" s="259" t="s">
        <v>25</v>
      </c>
      <c r="C115" s="259" t="s">
        <v>26</v>
      </c>
      <c r="D115" s="260" t="s">
        <v>32</v>
      </c>
      <c r="E115" s="260" t="s">
        <v>502</v>
      </c>
      <c r="F115" s="261" t="s">
        <v>519</v>
      </c>
      <c r="G115" s="261" t="s">
        <v>520</v>
      </c>
      <c r="H115" s="262" t="s">
        <v>521</v>
      </c>
      <c r="I115" s="260" t="s">
        <v>125</v>
      </c>
      <c r="J115" s="260" t="s">
        <v>38</v>
      </c>
      <c r="K115" s="260" t="s">
        <v>28</v>
      </c>
      <c r="L115" s="260" t="s">
        <v>28</v>
      </c>
      <c r="M115" s="260" t="s">
        <v>38</v>
      </c>
      <c r="N115" s="308">
        <v>0</v>
      </c>
      <c r="O115" s="260" t="s">
        <v>28</v>
      </c>
      <c r="P115" s="308">
        <v>7018000000.000001</v>
      </c>
      <c r="Q115" s="263">
        <v>40476</v>
      </c>
      <c r="R115" s="308">
        <v>8360000000</v>
      </c>
      <c r="S115" s="263">
        <v>42733</v>
      </c>
      <c r="T115" s="309">
        <v>0</v>
      </c>
      <c r="U115" s="263" t="s">
        <v>28</v>
      </c>
      <c r="V115" s="199">
        <f t="shared" si="5"/>
        <v>0</v>
      </c>
      <c r="W115" s="260" t="s">
        <v>28</v>
      </c>
      <c r="X115" s="199">
        <f t="shared" si="6"/>
        <v>7018000000.000001</v>
      </c>
      <c r="Y115" s="263">
        <v>40476</v>
      </c>
      <c r="Z115" s="199">
        <f t="shared" si="7"/>
        <v>8360000000</v>
      </c>
      <c r="AA115" s="263">
        <v>42733</v>
      </c>
      <c r="AB115" s="199">
        <f t="shared" si="8"/>
        <v>0</v>
      </c>
      <c r="AC115" s="263" t="s">
        <v>28</v>
      </c>
      <c r="AD115" s="261" t="s">
        <v>506</v>
      </c>
      <c r="AE115" s="264" t="s">
        <v>881</v>
      </c>
      <c r="AF115" s="265" t="s">
        <v>887</v>
      </c>
      <c r="AG115" s="266" t="s">
        <v>68</v>
      </c>
      <c r="AH115" s="267" t="s">
        <v>887</v>
      </c>
      <c r="AI115" s="21" t="s">
        <v>887</v>
      </c>
      <c r="AJ115" s="202" t="s">
        <v>1233</v>
      </c>
      <c r="AK115" s="203" t="s">
        <v>1234</v>
      </c>
      <c r="AL115" s="198" t="s">
        <v>1248</v>
      </c>
      <c r="AM115" s="198" t="s">
        <v>1249</v>
      </c>
      <c r="AN115" s="198" t="s">
        <v>1250</v>
      </c>
      <c r="AO115" s="204">
        <v>1</v>
      </c>
      <c r="AP115" s="198" t="s">
        <v>1238</v>
      </c>
      <c r="AQ115" s="198"/>
      <c r="AR115" s="198"/>
    </row>
    <row r="116" spans="1:44">
      <c r="A116" s="258">
        <v>176</v>
      </c>
      <c r="B116" s="259" t="s">
        <v>25</v>
      </c>
      <c r="C116" s="259" t="s">
        <v>26</v>
      </c>
      <c r="D116" s="260" t="s">
        <v>32</v>
      </c>
      <c r="E116" s="260" t="s">
        <v>502</v>
      </c>
      <c r="F116" s="261" t="s">
        <v>522</v>
      </c>
      <c r="G116" s="261" t="s">
        <v>523</v>
      </c>
      <c r="H116" s="262" t="s">
        <v>524</v>
      </c>
      <c r="I116" s="260" t="s">
        <v>125</v>
      </c>
      <c r="J116" s="260" t="s">
        <v>38</v>
      </c>
      <c r="K116" s="260" t="s">
        <v>28</v>
      </c>
      <c r="L116" s="260" t="s">
        <v>28</v>
      </c>
      <c r="M116" s="260" t="s">
        <v>38</v>
      </c>
      <c r="N116" s="308">
        <v>8476600000.000001</v>
      </c>
      <c r="O116" s="263">
        <v>39932</v>
      </c>
      <c r="P116" s="308">
        <v>8137841897</v>
      </c>
      <c r="Q116" s="263">
        <v>40697</v>
      </c>
      <c r="R116" s="308">
        <v>5074000000</v>
      </c>
      <c r="S116" s="263">
        <v>42621</v>
      </c>
      <c r="T116" s="309">
        <v>0</v>
      </c>
      <c r="U116" s="263" t="s">
        <v>28</v>
      </c>
      <c r="V116" s="199">
        <f t="shared" si="5"/>
        <v>8476600000.000001</v>
      </c>
      <c r="W116" s="263">
        <v>39932</v>
      </c>
      <c r="X116" s="199">
        <f t="shared" si="6"/>
        <v>8137841897</v>
      </c>
      <c r="Y116" s="263">
        <v>40697</v>
      </c>
      <c r="Z116" s="199">
        <f t="shared" si="7"/>
        <v>5074000000</v>
      </c>
      <c r="AA116" s="263">
        <v>42621</v>
      </c>
      <c r="AB116" s="199">
        <f t="shared" si="8"/>
        <v>0</v>
      </c>
      <c r="AC116" s="263" t="s">
        <v>28</v>
      </c>
      <c r="AD116" s="261" t="s">
        <v>506</v>
      </c>
      <c r="AE116" s="264" t="s">
        <v>881</v>
      </c>
      <c r="AF116" s="265" t="s">
        <v>887</v>
      </c>
      <c r="AG116" s="266" t="s">
        <v>68</v>
      </c>
      <c r="AH116" s="267" t="s">
        <v>887</v>
      </c>
      <c r="AI116" s="21" t="s">
        <v>887</v>
      </c>
      <c r="AJ116" s="202" t="s">
        <v>1233</v>
      </c>
      <c r="AK116" s="203" t="s">
        <v>1234</v>
      </c>
      <c r="AL116" s="198" t="s">
        <v>1251</v>
      </c>
      <c r="AM116" s="198" t="s">
        <v>1252</v>
      </c>
      <c r="AN116" s="198" t="s">
        <v>1253</v>
      </c>
      <c r="AO116" s="204">
        <v>1</v>
      </c>
      <c r="AP116" s="198" t="s">
        <v>1238</v>
      </c>
      <c r="AQ116" s="198"/>
      <c r="AR116" s="198"/>
    </row>
    <row r="117" spans="1:44">
      <c r="A117" s="258">
        <v>177</v>
      </c>
      <c r="B117" s="259" t="s">
        <v>25</v>
      </c>
      <c r="C117" s="259" t="s">
        <v>26</v>
      </c>
      <c r="D117" s="260" t="s">
        <v>32</v>
      </c>
      <c r="E117" s="260" t="s">
        <v>502</v>
      </c>
      <c r="F117" s="261" t="s">
        <v>525</v>
      </c>
      <c r="G117" s="261" t="s">
        <v>526</v>
      </c>
      <c r="H117" s="262" t="s">
        <v>527</v>
      </c>
      <c r="I117" s="260" t="s">
        <v>528</v>
      </c>
      <c r="J117" s="260" t="s">
        <v>38</v>
      </c>
      <c r="K117" s="260" t="s">
        <v>28</v>
      </c>
      <c r="L117" s="260" t="s">
        <v>28</v>
      </c>
      <c r="M117" s="260" t="s">
        <v>38</v>
      </c>
      <c r="N117" s="308">
        <v>0</v>
      </c>
      <c r="O117" s="260" t="s">
        <v>28</v>
      </c>
      <c r="P117" s="310">
        <v>0</v>
      </c>
      <c r="Q117" s="260" t="s">
        <v>28</v>
      </c>
      <c r="R117" s="308">
        <v>5331000000</v>
      </c>
      <c r="S117" s="263">
        <v>42429</v>
      </c>
      <c r="T117" s="309">
        <v>0</v>
      </c>
      <c r="U117" s="263" t="s">
        <v>28</v>
      </c>
      <c r="V117" s="199">
        <f t="shared" si="5"/>
        <v>0</v>
      </c>
      <c r="W117" s="260" t="s">
        <v>28</v>
      </c>
      <c r="X117" s="199">
        <f t="shared" si="6"/>
        <v>0</v>
      </c>
      <c r="Y117" s="260" t="s">
        <v>28</v>
      </c>
      <c r="Z117" s="199">
        <f t="shared" si="7"/>
        <v>5331000000</v>
      </c>
      <c r="AA117" s="263">
        <v>42429</v>
      </c>
      <c r="AB117" s="199">
        <f t="shared" si="8"/>
        <v>0</v>
      </c>
      <c r="AC117" s="263" t="s">
        <v>28</v>
      </c>
      <c r="AD117" s="261" t="s">
        <v>506</v>
      </c>
      <c r="AE117" s="264" t="s">
        <v>881</v>
      </c>
      <c r="AF117" s="265" t="s">
        <v>887</v>
      </c>
      <c r="AG117" s="266" t="s">
        <v>68</v>
      </c>
      <c r="AH117" s="267" t="s">
        <v>887</v>
      </c>
      <c r="AI117" s="21" t="s">
        <v>887</v>
      </c>
      <c r="AJ117" s="202" t="s">
        <v>1121</v>
      </c>
      <c r="AK117" s="203" t="s">
        <v>1144</v>
      </c>
      <c r="AL117" s="198"/>
      <c r="AM117" s="198" t="s">
        <v>1123</v>
      </c>
      <c r="AN117" s="198" t="s">
        <v>1124</v>
      </c>
      <c r="AO117" s="204">
        <v>1</v>
      </c>
      <c r="AP117" s="198" t="s">
        <v>1112</v>
      </c>
      <c r="AQ117" s="198"/>
      <c r="AR117" s="198"/>
    </row>
    <row r="118" spans="1:44" s="278" customFormat="1">
      <c r="A118" s="258">
        <v>178</v>
      </c>
      <c r="B118" s="268" t="s">
        <v>25</v>
      </c>
      <c r="C118" s="268" t="s">
        <v>26</v>
      </c>
      <c r="D118" s="269" t="s">
        <v>32</v>
      </c>
      <c r="E118" s="269" t="s">
        <v>502</v>
      </c>
      <c r="F118" s="270" t="s">
        <v>529</v>
      </c>
      <c r="G118" s="270" t="s">
        <v>530</v>
      </c>
      <c r="H118" s="271" t="s">
        <v>531</v>
      </c>
      <c r="I118" s="269" t="s">
        <v>37</v>
      </c>
      <c r="J118" s="269" t="s">
        <v>38</v>
      </c>
      <c r="K118" s="269" t="s">
        <v>28</v>
      </c>
      <c r="L118" s="269" t="s">
        <v>28</v>
      </c>
      <c r="M118" s="269" t="s">
        <v>38</v>
      </c>
      <c r="N118" s="311">
        <v>0</v>
      </c>
      <c r="O118" s="269" t="s">
        <v>28</v>
      </c>
      <c r="P118" s="312">
        <v>0</v>
      </c>
      <c r="Q118" s="269" t="s">
        <v>28</v>
      </c>
      <c r="R118" s="312">
        <v>0</v>
      </c>
      <c r="S118" s="272" t="s">
        <v>28</v>
      </c>
      <c r="T118" s="311">
        <v>5244000000</v>
      </c>
      <c r="U118" s="272">
        <v>45426</v>
      </c>
      <c r="V118" s="199">
        <f t="shared" si="5"/>
        <v>0</v>
      </c>
      <c r="W118" s="269" t="s">
        <v>28</v>
      </c>
      <c r="X118" s="199">
        <f t="shared" si="6"/>
        <v>0</v>
      </c>
      <c r="Y118" s="269" t="s">
        <v>28</v>
      </c>
      <c r="Z118" s="199">
        <f t="shared" si="7"/>
        <v>0</v>
      </c>
      <c r="AA118" s="272" t="s">
        <v>28</v>
      </c>
      <c r="AB118" s="199">
        <f t="shared" si="8"/>
        <v>5244000000</v>
      </c>
      <c r="AC118" s="272">
        <v>45426</v>
      </c>
      <c r="AD118" s="270" t="s">
        <v>506</v>
      </c>
      <c r="AE118" s="273" t="s">
        <v>881</v>
      </c>
      <c r="AF118" s="274" t="s">
        <v>887</v>
      </c>
      <c r="AG118" s="275" t="s">
        <v>68</v>
      </c>
      <c r="AH118" s="276" t="s">
        <v>887</v>
      </c>
      <c r="AI118" s="230" t="s">
        <v>887</v>
      </c>
      <c r="AJ118" s="202" t="s">
        <v>1147</v>
      </c>
      <c r="AK118" s="203" t="s">
        <v>1234</v>
      </c>
      <c r="AL118" s="277" t="s">
        <v>1193</v>
      </c>
      <c r="AM118" s="277" t="s">
        <v>1194</v>
      </c>
      <c r="AN118" s="277" t="s">
        <v>1195</v>
      </c>
      <c r="AO118" s="204">
        <v>1</v>
      </c>
      <c r="AP118" s="198" t="s">
        <v>1238</v>
      </c>
      <c r="AQ118" s="277"/>
      <c r="AR118" s="277"/>
    </row>
    <row r="119" spans="1:44">
      <c r="A119" s="258">
        <v>179</v>
      </c>
      <c r="B119" s="259" t="s">
        <v>25</v>
      </c>
      <c r="C119" s="259" t="s">
        <v>26</v>
      </c>
      <c r="D119" s="260" t="s">
        <v>32</v>
      </c>
      <c r="E119" s="260" t="s">
        <v>502</v>
      </c>
      <c r="F119" s="261" t="s">
        <v>532</v>
      </c>
      <c r="G119" s="261" t="s">
        <v>533</v>
      </c>
      <c r="H119" s="262" t="s">
        <v>534</v>
      </c>
      <c r="I119" s="260" t="s">
        <v>118</v>
      </c>
      <c r="J119" s="260" t="s">
        <v>38</v>
      </c>
      <c r="K119" s="260" t="s">
        <v>28</v>
      </c>
      <c r="L119" s="260" t="s">
        <v>28</v>
      </c>
      <c r="M119" s="260" t="s">
        <v>38</v>
      </c>
      <c r="N119" s="308">
        <v>0</v>
      </c>
      <c r="O119" s="260" t="s">
        <v>28</v>
      </c>
      <c r="P119" s="310">
        <v>0</v>
      </c>
      <c r="Q119" s="260" t="s">
        <v>28</v>
      </c>
      <c r="R119" s="310">
        <v>0</v>
      </c>
      <c r="S119" s="263" t="s">
        <v>28</v>
      </c>
      <c r="T119" s="309">
        <v>4554748000</v>
      </c>
      <c r="U119" s="263">
        <v>45476</v>
      </c>
      <c r="V119" s="199">
        <f t="shared" si="5"/>
        <v>0</v>
      </c>
      <c r="W119" s="260" t="s">
        <v>28</v>
      </c>
      <c r="X119" s="199">
        <f t="shared" si="6"/>
        <v>0</v>
      </c>
      <c r="Y119" s="260" t="s">
        <v>28</v>
      </c>
      <c r="Z119" s="199">
        <f t="shared" si="7"/>
        <v>0</v>
      </c>
      <c r="AA119" s="263" t="s">
        <v>28</v>
      </c>
      <c r="AB119" s="199">
        <f t="shared" si="8"/>
        <v>4554748000</v>
      </c>
      <c r="AC119" s="263">
        <v>45476</v>
      </c>
      <c r="AD119" s="261" t="s">
        <v>506</v>
      </c>
      <c r="AE119" s="264" t="s">
        <v>881</v>
      </c>
      <c r="AF119" s="265" t="s">
        <v>887</v>
      </c>
      <c r="AG119" s="266" t="s">
        <v>68</v>
      </c>
      <c r="AH119" s="267" t="s">
        <v>887</v>
      </c>
      <c r="AI119" s="21" t="s">
        <v>887</v>
      </c>
      <c r="AJ119" s="202" t="s">
        <v>1254</v>
      </c>
      <c r="AK119" s="203" t="s">
        <v>1154</v>
      </c>
      <c r="AL119" s="198" t="s">
        <v>1193</v>
      </c>
      <c r="AM119" s="198" t="s">
        <v>1194</v>
      </c>
      <c r="AN119" s="198" t="s">
        <v>1195</v>
      </c>
      <c r="AO119" s="204">
        <v>1</v>
      </c>
      <c r="AP119" s="198" t="s">
        <v>1255</v>
      </c>
      <c r="AQ119" s="198"/>
      <c r="AR119" s="198"/>
    </row>
    <row r="120" spans="1:44">
      <c r="A120" s="258">
        <v>180</v>
      </c>
      <c r="B120" s="259" t="s">
        <v>25</v>
      </c>
      <c r="C120" s="259" t="s">
        <v>26</v>
      </c>
      <c r="D120" s="260" t="s">
        <v>32</v>
      </c>
      <c r="E120" s="260" t="s">
        <v>502</v>
      </c>
      <c r="F120" s="261" t="s">
        <v>535</v>
      </c>
      <c r="G120" s="261" t="s">
        <v>536</v>
      </c>
      <c r="H120" s="262" t="s">
        <v>537</v>
      </c>
      <c r="I120" s="260" t="s">
        <v>43</v>
      </c>
      <c r="J120" s="260" t="s">
        <v>38</v>
      </c>
      <c r="K120" s="260" t="s">
        <v>28</v>
      </c>
      <c r="L120" s="260" t="s">
        <v>28</v>
      </c>
      <c r="M120" s="260" t="s">
        <v>38</v>
      </c>
      <c r="N120" s="308">
        <v>0</v>
      </c>
      <c r="O120" s="260" t="s">
        <v>28</v>
      </c>
      <c r="P120" s="310">
        <v>0</v>
      </c>
      <c r="Q120" s="260" t="s">
        <v>28</v>
      </c>
      <c r="R120" s="308">
        <v>11022000000</v>
      </c>
      <c r="S120" s="263">
        <v>43068</v>
      </c>
      <c r="T120" s="309">
        <v>0</v>
      </c>
      <c r="U120" s="263" t="s">
        <v>28</v>
      </c>
      <c r="V120" s="199">
        <f t="shared" si="5"/>
        <v>0</v>
      </c>
      <c r="W120" s="260" t="s">
        <v>28</v>
      </c>
      <c r="X120" s="199">
        <f t="shared" si="6"/>
        <v>0</v>
      </c>
      <c r="Y120" s="260" t="s">
        <v>28</v>
      </c>
      <c r="Z120" s="199">
        <f t="shared" si="7"/>
        <v>11022000000</v>
      </c>
      <c r="AA120" s="263">
        <v>43068</v>
      </c>
      <c r="AB120" s="199">
        <f t="shared" si="8"/>
        <v>0</v>
      </c>
      <c r="AC120" s="263" t="s">
        <v>28</v>
      </c>
      <c r="AD120" s="261" t="s">
        <v>506</v>
      </c>
      <c r="AE120" s="264" t="s">
        <v>881</v>
      </c>
      <c r="AF120" s="265" t="s">
        <v>887</v>
      </c>
      <c r="AG120" s="266" t="s">
        <v>68</v>
      </c>
      <c r="AH120" s="267" t="s">
        <v>887</v>
      </c>
      <c r="AI120" s="21" t="s">
        <v>887</v>
      </c>
      <c r="AJ120" s="202" t="s">
        <v>1121</v>
      </c>
      <c r="AK120" s="203" t="s">
        <v>1144</v>
      </c>
      <c r="AL120" s="198"/>
      <c r="AM120" s="198" t="s">
        <v>1123</v>
      </c>
      <c r="AN120" s="198" t="s">
        <v>1124</v>
      </c>
      <c r="AO120" s="204">
        <v>1</v>
      </c>
      <c r="AP120" s="198" t="s">
        <v>1112</v>
      </c>
      <c r="AQ120" s="198"/>
      <c r="AR120" s="198"/>
    </row>
    <row r="121" spans="1:44">
      <c r="A121" s="258">
        <v>181</v>
      </c>
      <c r="B121" s="259" t="s">
        <v>25</v>
      </c>
      <c r="C121" s="259" t="s">
        <v>26</v>
      </c>
      <c r="D121" s="260" t="s">
        <v>32</v>
      </c>
      <c r="E121" s="260" t="s">
        <v>502</v>
      </c>
      <c r="F121" s="261" t="s">
        <v>538</v>
      </c>
      <c r="G121" s="261" t="s">
        <v>539</v>
      </c>
      <c r="H121" s="262" t="s">
        <v>540</v>
      </c>
      <c r="I121" s="260" t="s">
        <v>118</v>
      </c>
      <c r="J121" s="260" t="s">
        <v>38</v>
      </c>
      <c r="K121" s="260" t="s">
        <v>38</v>
      </c>
      <c r="L121" s="260" t="s">
        <v>28</v>
      </c>
      <c r="M121" s="260" t="s">
        <v>28</v>
      </c>
      <c r="N121" s="308">
        <v>0</v>
      </c>
      <c r="O121" s="260" t="s">
        <v>28</v>
      </c>
      <c r="P121" s="308">
        <v>133650000000</v>
      </c>
      <c r="Q121" s="263">
        <v>40704</v>
      </c>
      <c r="R121" s="308">
        <v>46824000000</v>
      </c>
      <c r="S121" s="263">
        <v>42842</v>
      </c>
      <c r="T121" s="309">
        <v>0</v>
      </c>
      <c r="U121" s="263" t="s">
        <v>28</v>
      </c>
      <c r="V121" s="199">
        <f t="shared" si="5"/>
        <v>0</v>
      </c>
      <c r="W121" s="260" t="s">
        <v>28</v>
      </c>
      <c r="X121" s="199">
        <f t="shared" si="6"/>
        <v>133650000000</v>
      </c>
      <c r="Y121" s="263">
        <v>40704</v>
      </c>
      <c r="Z121" s="199">
        <f t="shared" si="7"/>
        <v>46824000000</v>
      </c>
      <c r="AA121" s="263">
        <v>42842</v>
      </c>
      <c r="AB121" s="199">
        <f t="shared" si="8"/>
        <v>0</v>
      </c>
      <c r="AC121" s="263" t="s">
        <v>28</v>
      </c>
      <c r="AD121" s="261" t="s">
        <v>506</v>
      </c>
      <c r="AE121" s="264" t="s">
        <v>881</v>
      </c>
      <c r="AF121" s="265" t="s">
        <v>887</v>
      </c>
      <c r="AG121" s="266" t="s">
        <v>68</v>
      </c>
      <c r="AH121" s="267" t="s">
        <v>887</v>
      </c>
      <c r="AI121" s="21" t="s">
        <v>887</v>
      </c>
      <c r="AJ121" s="202" t="s">
        <v>1233</v>
      </c>
      <c r="AK121" s="203" t="s">
        <v>1234</v>
      </c>
      <c r="AL121" s="198" t="s">
        <v>1248</v>
      </c>
      <c r="AM121" s="198" t="s">
        <v>1249</v>
      </c>
      <c r="AN121" s="198" t="s">
        <v>1250</v>
      </c>
      <c r="AO121" s="204">
        <v>1</v>
      </c>
      <c r="AP121" s="198" t="s">
        <v>1238</v>
      </c>
      <c r="AQ121" s="198"/>
      <c r="AR121" s="198"/>
    </row>
    <row r="122" spans="1:44">
      <c r="A122" s="258">
        <v>182</v>
      </c>
      <c r="B122" s="259" t="s">
        <v>25</v>
      </c>
      <c r="C122" s="259" t="s">
        <v>26</v>
      </c>
      <c r="D122" s="260" t="s">
        <v>32</v>
      </c>
      <c r="E122" s="260" t="s">
        <v>502</v>
      </c>
      <c r="F122" s="261" t="s">
        <v>541</v>
      </c>
      <c r="G122" s="261" t="s">
        <v>542</v>
      </c>
      <c r="H122" s="262" t="s">
        <v>543</v>
      </c>
      <c r="I122" s="260" t="s">
        <v>118</v>
      </c>
      <c r="J122" s="260" t="s">
        <v>38</v>
      </c>
      <c r="K122" s="260" t="s">
        <v>38</v>
      </c>
      <c r="L122" s="260" t="s">
        <v>28</v>
      </c>
      <c r="M122" s="260" t="s">
        <v>28</v>
      </c>
      <c r="N122" s="308">
        <v>0</v>
      </c>
      <c r="O122" s="260" t="s">
        <v>28</v>
      </c>
      <c r="P122" s="308">
        <v>9130000000</v>
      </c>
      <c r="Q122" s="263">
        <v>40779</v>
      </c>
      <c r="R122" s="310">
        <v>0</v>
      </c>
      <c r="S122" s="263" t="s">
        <v>28</v>
      </c>
      <c r="T122" s="309">
        <v>0</v>
      </c>
      <c r="U122" s="263" t="s">
        <v>28</v>
      </c>
      <c r="V122" s="199">
        <f t="shared" si="5"/>
        <v>0</v>
      </c>
      <c r="W122" s="260" t="s">
        <v>28</v>
      </c>
      <c r="X122" s="199">
        <f t="shared" si="6"/>
        <v>9130000000</v>
      </c>
      <c r="Y122" s="263">
        <v>40779</v>
      </c>
      <c r="Z122" s="199">
        <f t="shared" si="7"/>
        <v>0</v>
      </c>
      <c r="AA122" s="263" t="s">
        <v>28</v>
      </c>
      <c r="AB122" s="199">
        <f t="shared" si="8"/>
        <v>0</v>
      </c>
      <c r="AC122" s="263" t="s">
        <v>28</v>
      </c>
      <c r="AD122" s="261" t="s">
        <v>506</v>
      </c>
      <c r="AE122" s="264" t="s">
        <v>881</v>
      </c>
      <c r="AF122" s="265" t="s">
        <v>887</v>
      </c>
      <c r="AG122" s="266" t="s">
        <v>68</v>
      </c>
      <c r="AH122" s="267" t="s">
        <v>887</v>
      </c>
      <c r="AI122" s="21" t="s">
        <v>887</v>
      </c>
      <c r="AJ122" s="202" t="s">
        <v>1121</v>
      </c>
      <c r="AK122" s="203" t="s">
        <v>1144</v>
      </c>
      <c r="AL122" s="198"/>
      <c r="AM122" s="198" t="s">
        <v>1123</v>
      </c>
      <c r="AN122" s="198" t="s">
        <v>1124</v>
      </c>
      <c r="AO122" s="204">
        <v>1</v>
      </c>
      <c r="AP122" s="198" t="s">
        <v>1112</v>
      </c>
      <c r="AQ122" s="198"/>
      <c r="AR122" s="198"/>
    </row>
    <row r="123" spans="1:44">
      <c r="A123" s="258">
        <v>182</v>
      </c>
      <c r="B123" s="259" t="s">
        <v>25</v>
      </c>
      <c r="C123" s="259" t="s">
        <v>26</v>
      </c>
      <c r="D123" s="260" t="s">
        <v>32</v>
      </c>
      <c r="E123" s="260" t="s">
        <v>502</v>
      </c>
      <c r="F123" s="261" t="s">
        <v>544</v>
      </c>
      <c r="G123" s="261" t="s">
        <v>545</v>
      </c>
      <c r="H123" s="262" t="s">
        <v>546</v>
      </c>
      <c r="I123" s="260"/>
      <c r="J123" s="260"/>
      <c r="K123" s="260"/>
      <c r="L123" s="260"/>
      <c r="M123" s="260"/>
      <c r="N123" s="308">
        <v>0</v>
      </c>
      <c r="O123" s="260"/>
      <c r="P123" s="308">
        <v>0</v>
      </c>
      <c r="Q123" s="263"/>
      <c r="R123" s="310">
        <v>3971000000.0000005</v>
      </c>
      <c r="S123" s="263">
        <v>43159</v>
      </c>
      <c r="T123" s="309"/>
      <c r="U123" s="263"/>
      <c r="V123" s="199">
        <f t="shared" si="5"/>
        <v>0</v>
      </c>
      <c r="W123" s="260"/>
      <c r="X123" s="199">
        <f t="shared" si="6"/>
        <v>0</v>
      </c>
      <c r="Y123" s="263"/>
      <c r="Z123" s="199">
        <f t="shared" si="7"/>
        <v>3971000000.0000005</v>
      </c>
      <c r="AA123" s="263">
        <v>43159</v>
      </c>
      <c r="AB123" s="199">
        <f t="shared" si="8"/>
        <v>0</v>
      </c>
      <c r="AC123" s="263"/>
      <c r="AD123" s="261" t="s">
        <v>506</v>
      </c>
      <c r="AE123" s="264" t="s">
        <v>881</v>
      </c>
      <c r="AF123" s="265" t="s">
        <v>887</v>
      </c>
      <c r="AG123" s="266" t="s">
        <v>68</v>
      </c>
      <c r="AH123" s="267" t="s">
        <v>887</v>
      </c>
      <c r="AI123" s="21" t="s">
        <v>887</v>
      </c>
      <c r="AJ123" s="202" t="s">
        <v>1121</v>
      </c>
      <c r="AK123" s="203" t="s">
        <v>1144</v>
      </c>
      <c r="AL123" s="198"/>
      <c r="AM123" s="198" t="s">
        <v>1123</v>
      </c>
      <c r="AN123" s="198" t="s">
        <v>1124</v>
      </c>
      <c r="AO123" s="204">
        <v>1</v>
      </c>
      <c r="AP123" s="198" t="s">
        <v>1112</v>
      </c>
      <c r="AQ123" s="198"/>
      <c r="AR123" s="198"/>
    </row>
    <row r="124" spans="1:44">
      <c r="A124" s="258">
        <v>184</v>
      </c>
      <c r="B124" s="259" t="s">
        <v>25</v>
      </c>
      <c r="C124" s="259" t="s">
        <v>26</v>
      </c>
      <c r="D124" s="260" t="s">
        <v>32</v>
      </c>
      <c r="E124" s="260" t="s">
        <v>502</v>
      </c>
      <c r="F124" s="261" t="s">
        <v>549</v>
      </c>
      <c r="G124" s="261" t="s">
        <v>550</v>
      </c>
      <c r="H124" s="262" t="s">
        <v>551</v>
      </c>
      <c r="I124" s="260" t="s">
        <v>125</v>
      </c>
      <c r="J124" s="260" t="s">
        <v>38</v>
      </c>
      <c r="K124" s="260" t="s">
        <v>28</v>
      </c>
      <c r="L124" s="260" t="s">
        <v>28</v>
      </c>
      <c r="M124" s="260" t="s">
        <v>38</v>
      </c>
      <c r="N124" s="308">
        <v>0</v>
      </c>
      <c r="O124" s="260" t="s">
        <v>28</v>
      </c>
      <c r="P124" s="310">
        <v>0</v>
      </c>
      <c r="Q124" s="260" t="s">
        <v>28</v>
      </c>
      <c r="R124" s="310">
        <v>368500000</v>
      </c>
      <c r="S124" s="263">
        <v>43122</v>
      </c>
      <c r="T124" s="309">
        <v>0</v>
      </c>
      <c r="U124" s="263" t="s">
        <v>28</v>
      </c>
      <c r="V124" s="199">
        <f t="shared" si="5"/>
        <v>0</v>
      </c>
      <c r="W124" s="260" t="s">
        <v>28</v>
      </c>
      <c r="X124" s="199">
        <f t="shared" si="6"/>
        <v>0</v>
      </c>
      <c r="Y124" s="260" t="s">
        <v>28</v>
      </c>
      <c r="Z124" s="199">
        <f t="shared" si="7"/>
        <v>368500000</v>
      </c>
      <c r="AA124" s="263">
        <v>43122</v>
      </c>
      <c r="AB124" s="199">
        <f t="shared" si="8"/>
        <v>0</v>
      </c>
      <c r="AC124" s="263" t="s">
        <v>28</v>
      </c>
      <c r="AD124" s="261" t="s">
        <v>506</v>
      </c>
      <c r="AE124" s="264" t="s">
        <v>881</v>
      </c>
      <c r="AF124" s="265" t="s">
        <v>887</v>
      </c>
      <c r="AG124" s="266" t="s">
        <v>68</v>
      </c>
      <c r="AH124" s="267" t="s">
        <v>887</v>
      </c>
      <c r="AI124" s="21" t="s">
        <v>887</v>
      </c>
      <c r="AJ124" s="202" t="s">
        <v>1196</v>
      </c>
      <c r="AK124" s="203" t="s">
        <v>1197</v>
      </c>
      <c r="AL124" s="198" t="s">
        <v>1256</v>
      </c>
      <c r="AM124" s="198" t="s">
        <v>1257</v>
      </c>
      <c r="AN124" s="198" t="s">
        <v>1258</v>
      </c>
      <c r="AO124" s="204">
        <v>1</v>
      </c>
      <c r="AP124" s="200" t="s">
        <v>1201</v>
      </c>
      <c r="AQ124" s="198"/>
      <c r="AR124" s="198"/>
    </row>
    <row r="125" spans="1:44">
      <c r="A125" s="258">
        <v>185</v>
      </c>
      <c r="B125" s="259" t="s">
        <v>25</v>
      </c>
      <c r="C125" s="259" t="s">
        <v>26</v>
      </c>
      <c r="D125" s="260" t="s">
        <v>32</v>
      </c>
      <c r="E125" s="260" t="s">
        <v>502</v>
      </c>
      <c r="F125" s="261" t="s">
        <v>552</v>
      </c>
      <c r="G125" s="261" t="s">
        <v>553</v>
      </c>
      <c r="H125" s="262" t="s">
        <v>554</v>
      </c>
      <c r="I125" s="260" t="s">
        <v>118</v>
      </c>
      <c r="J125" s="260" t="s">
        <v>38</v>
      </c>
      <c r="K125" s="260" t="s">
        <v>38</v>
      </c>
      <c r="L125" s="260" t="s">
        <v>28</v>
      </c>
      <c r="M125" s="260" t="s">
        <v>28</v>
      </c>
      <c r="N125" s="308">
        <v>0</v>
      </c>
      <c r="O125" s="260" t="s">
        <v>28</v>
      </c>
      <c r="P125" s="308">
        <v>11900000000</v>
      </c>
      <c r="Q125" s="263">
        <v>41019</v>
      </c>
      <c r="R125" s="310">
        <v>0</v>
      </c>
      <c r="S125" s="263" t="s">
        <v>28</v>
      </c>
      <c r="T125" s="309">
        <v>0</v>
      </c>
      <c r="U125" s="263" t="s">
        <v>28</v>
      </c>
      <c r="V125" s="199">
        <f t="shared" si="5"/>
        <v>0</v>
      </c>
      <c r="W125" s="260" t="s">
        <v>28</v>
      </c>
      <c r="X125" s="199">
        <f t="shared" si="6"/>
        <v>11900000000</v>
      </c>
      <c r="Y125" s="263">
        <v>41019</v>
      </c>
      <c r="Z125" s="199">
        <f t="shared" si="7"/>
        <v>0</v>
      </c>
      <c r="AA125" s="263" t="s">
        <v>28</v>
      </c>
      <c r="AB125" s="199">
        <f t="shared" si="8"/>
        <v>0</v>
      </c>
      <c r="AC125" s="263" t="s">
        <v>28</v>
      </c>
      <c r="AD125" s="261" t="s">
        <v>555</v>
      </c>
      <c r="AE125" s="264" t="s">
        <v>881</v>
      </c>
      <c r="AF125" s="265" t="s">
        <v>887</v>
      </c>
      <c r="AG125" s="266" t="s">
        <v>68</v>
      </c>
      <c r="AH125" s="267" t="s">
        <v>887</v>
      </c>
      <c r="AI125" s="21" t="s">
        <v>887</v>
      </c>
      <c r="AJ125" s="202" t="s">
        <v>1233</v>
      </c>
      <c r="AK125" s="203" t="s">
        <v>1234</v>
      </c>
      <c r="AL125" s="198" t="s">
        <v>1259</v>
      </c>
      <c r="AM125" s="198" t="s">
        <v>1260</v>
      </c>
      <c r="AN125" s="198" t="s">
        <v>1261</v>
      </c>
      <c r="AO125" s="204">
        <v>1</v>
      </c>
      <c r="AP125" s="295" t="s">
        <v>1303</v>
      </c>
      <c r="AQ125" s="198"/>
      <c r="AR125" s="198"/>
    </row>
    <row r="126" spans="1:44">
      <c r="A126" s="258">
        <v>185</v>
      </c>
      <c r="B126" s="259" t="s">
        <v>25</v>
      </c>
      <c r="C126" s="259" t="s">
        <v>26</v>
      </c>
      <c r="D126" s="260" t="s">
        <v>32</v>
      </c>
      <c r="E126" s="260" t="s">
        <v>502</v>
      </c>
      <c r="F126" s="261" t="s">
        <v>556</v>
      </c>
      <c r="G126" s="261" t="s">
        <v>557</v>
      </c>
      <c r="H126" s="262" t="s">
        <v>558</v>
      </c>
      <c r="I126" s="260"/>
      <c r="J126" s="260"/>
      <c r="K126" s="260"/>
      <c r="L126" s="260"/>
      <c r="M126" s="260"/>
      <c r="N126" s="308">
        <v>0</v>
      </c>
      <c r="O126" s="260" t="s">
        <v>28</v>
      </c>
      <c r="P126" s="308">
        <v>0</v>
      </c>
      <c r="Q126" s="260" t="s">
        <v>28</v>
      </c>
      <c r="R126" s="310">
        <v>4290000000.0000005</v>
      </c>
      <c r="S126" s="263">
        <v>42361</v>
      </c>
      <c r="T126" s="309"/>
      <c r="U126" s="263"/>
      <c r="V126" s="199">
        <f t="shared" si="5"/>
        <v>0</v>
      </c>
      <c r="W126" s="260" t="s">
        <v>28</v>
      </c>
      <c r="X126" s="199">
        <f t="shared" si="6"/>
        <v>0</v>
      </c>
      <c r="Y126" s="260" t="s">
        <v>28</v>
      </c>
      <c r="Z126" s="199">
        <f t="shared" si="7"/>
        <v>4290000000.0000005</v>
      </c>
      <c r="AA126" s="263">
        <v>42361</v>
      </c>
      <c r="AB126" s="199">
        <f t="shared" si="8"/>
        <v>0</v>
      </c>
      <c r="AC126" s="263"/>
      <c r="AD126" s="261" t="s">
        <v>555</v>
      </c>
      <c r="AE126" s="264" t="s">
        <v>881</v>
      </c>
      <c r="AF126" s="265" t="s">
        <v>887</v>
      </c>
      <c r="AG126" s="266" t="s">
        <v>68</v>
      </c>
      <c r="AH126" s="267" t="s">
        <v>887</v>
      </c>
      <c r="AI126" s="21" t="s">
        <v>887</v>
      </c>
      <c r="AJ126" s="202" t="s">
        <v>1233</v>
      </c>
      <c r="AK126" s="203" t="s">
        <v>1234</v>
      </c>
      <c r="AL126" s="198" t="s">
        <v>1259</v>
      </c>
      <c r="AM126" s="198" t="s">
        <v>1260</v>
      </c>
      <c r="AN126" s="198" t="s">
        <v>1261</v>
      </c>
      <c r="AO126" s="204">
        <v>1</v>
      </c>
      <c r="AP126" s="295" t="s">
        <v>1303</v>
      </c>
      <c r="AQ126" s="198"/>
      <c r="AR126" s="198"/>
    </row>
    <row r="127" spans="1:44">
      <c r="A127" s="258">
        <v>187</v>
      </c>
      <c r="B127" s="259" t="s">
        <v>25</v>
      </c>
      <c r="C127" s="259" t="s">
        <v>26</v>
      </c>
      <c r="D127" s="260" t="s">
        <v>32</v>
      </c>
      <c r="E127" s="260" t="s">
        <v>502</v>
      </c>
      <c r="F127" s="261" t="s">
        <v>562</v>
      </c>
      <c r="G127" s="261" t="s">
        <v>563</v>
      </c>
      <c r="H127" s="262" t="s">
        <v>564</v>
      </c>
      <c r="I127" s="260" t="s">
        <v>57</v>
      </c>
      <c r="J127" s="260" t="s">
        <v>38</v>
      </c>
      <c r="K127" s="260" t="s">
        <v>28</v>
      </c>
      <c r="L127" s="260" t="s">
        <v>28</v>
      </c>
      <c r="M127" s="260" t="s">
        <v>38</v>
      </c>
      <c r="N127" s="308">
        <v>0</v>
      </c>
      <c r="O127" s="260" t="s">
        <v>28</v>
      </c>
      <c r="P127" s="308">
        <v>13605900000.000002</v>
      </c>
      <c r="Q127" s="263">
        <v>40540</v>
      </c>
      <c r="R127" s="308">
        <v>12731000000</v>
      </c>
      <c r="S127" s="263">
        <v>42369</v>
      </c>
      <c r="T127" s="308">
        <v>24205000000</v>
      </c>
      <c r="U127" s="263">
        <v>45281</v>
      </c>
      <c r="V127" s="199">
        <f t="shared" si="5"/>
        <v>0</v>
      </c>
      <c r="W127" s="260" t="s">
        <v>28</v>
      </c>
      <c r="X127" s="199">
        <f t="shared" si="6"/>
        <v>13605900000.000002</v>
      </c>
      <c r="Y127" s="263">
        <v>40540</v>
      </c>
      <c r="Z127" s="199">
        <f t="shared" si="7"/>
        <v>12731000000</v>
      </c>
      <c r="AA127" s="263">
        <v>42369</v>
      </c>
      <c r="AB127" s="199">
        <f t="shared" si="8"/>
        <v>24205000000</v>
      </c>
      <c r="AC127" s="263">
        <v>45281</v>
      </c>
      <c r="AD127" s="261" t="s">
        <v>506</v>
      </c>
      <c r="AE127" s="264" t="s">
        <v>881</v>
      </c>
      <c r="AF127" s="265" t="s">
        <v>887</v>
      </c>
      <c r="AG127" s="266" t="s">
        <v>68</v>
      </c>
      <c r="AH127" s="267" t="s">
        <v>887</v>
      </c>
      <c r="AI127" s="21" t="s">
        <v>887</v>
      </c>
      <c r="AJ127" s="202" t="s">
        <v>1121</v>
      </c>
      <c r="AK127" s="203" t="s">
        <v>1131</v>
      </c>
      <c r="AL127" s="198" t="s">
        <v>1262</v>
      </c>
      <c r="AM127" s="198" t="s">
        <v>1263</v>
      </c>
      <c r="AN127" s="198" t="s">
        <v>1264</v>
      </c>
      <c r="AO127" s="204">
        <v>1</v>
      </c>
      <c r="AP127" s="198" t="s">
        <v>1112</v>
      </c>
      <c r="AQ127" s="198"/>
      <c r="AR127" s="198"/>
    </row>
    <row r="128" spans="1:44">
      <c r="A128" s="258">
        <v>188</v>
      </c>
      <c r="B128" s="259" t="s">
        <v>25</v>
      </c>
      <c r="C128" s="259" t="s">
        <v>26</v>
      </c>
      <c r="D128" s="260" t="s">
        <v>32</v>
      </c>
      <c r="E128" s="260" t="s">
        <v>502</v>
      </c>
      <c r="F128" s="261" t="s">
        <v>565</v>
      </c>
      <c r="G128" s="261" t="s">
        <v>566</v>
      </c>
      <c r="H128" s="262" t="s">
        <v>567</v>
      </c>
      <c r="I128" s="260" t="s">
        <v>118</v>
      </c>
      <c r="J128" s="260" t="s">
        <v>38</v>
      </c>
      <c r="K128" s="260" t="s">
        <v>28</v>
      </c>
      <c r="L128" s="260" t="s">
        <v>28</v>
      </c>
      <c r="M128" s="260" t="s">
        <v>38</v>
      </c>
      <c r="N128" s="308">
        <v>0</v>
      </c>
      <c r="O128" s="260" t="s">
        <v>28</v>
      </c>
      <c r="P128" s="310">
        <v>0</v>
      </c>
      <c r="Q128" s="260" t="s">
        <v>28</v>
      </c>
      <c r="R128" s="310">
        <v>3512366000.0000005</v>
      </c>
      <c r="S128" s="263">
        <v>42683</v>
      </c>
      <c r="T128" s="309">
        <v>0</v>
      </c>
      <c r="U128" s="263" t="s">
        <v>28</v>
      </c>
      <c r="V128" s="199">
        <f t="shared" si="5"/>
        <v>0</v>
      </c>
      <c r="W128" s="260" t="s">
        <v>28</v>
      </c>
      <c r="X128" s="199">
        <f t="shared" si="6"/>
        <v>0</v>
      </c>
      <c r="Y128" s="260" t="s">
        <v>28</v>
      </c>
      <c r="Z128" s="199">
        <f t="shared" si="7"/>
        <v>3512366000.0000005</v>
      </c>
      <c r="AA128" s="263">
        <v>42683</v>
      </c>
      <c r="AB128" s="199">
        <f t="shared" si="8"/>
        <v>0</v>
      </c>
      <c r="AC128" s="263" t="s">
        <v>28</v>
      </c>
      <c r="AD128" s="261" t="s">
        <v>506</v>
      </c>
      <c r="AE128" s="264" t="s">
        <v>881</v>
      </c>
      <c r="AF128" s="265" t="s">
        <v>887</v>
      </c>
      <c r="AG128" s="266" t="s">
        <v>68</v>
      </c>
      <c r="AH128" s="267" t="s">
        <v>887</v>
      </c>
      <c r="AI128" s="21" t="s">
        <v>887</v>
      </c>
      <c r="AJ128" s="202" t="s">
        <v>1233</v>
      </c>
      <c r="AK128" s="203" t="s">
        <v>1234</v>
      </c>
      <c r="AL128" s="198" t="s">
        <v>1265</v>
      </c>
      <c r="AM128" s="198" t="s">
        <v>1266</v>
      </c>
      <c r="AN128" s="198" t="s">
        <v>1267</v>
      </c>
      <c r="AO128" s="204">
        <v>1</v>
      </c>
      <c r="AP128" s="198" t="s">
        <v>1238</v>
      </c>
      <c r="AQ128" s="198"/>
      <c r="AR128" s="198"/>
    </row>
    <row r="129" spans="1:44">
      <c r="A129" s="258">
        <v>189</v>
      </c>
      <c r="B129" s="259" t="s">
        <v>25</v>
      </c>
      <c r="C129" s="259" t="s">
        <v>26</v>
      </c>
      <c r="D129" s="260" t="s">
        <v>32</v>
      </c>
      <c r="E129" s="260" t="s">
        <v>502</v>
      </c>
      <c r="F129" s="261" t="s">
        <v>568</v>
      </c>
      <c r="G129" s="261" t="s">
        <v>569</v>
      </c>
      <c r="H129" s="262" t="s">
        <v>570</v>
      </c>
      <c r="I129" s="260" t="s">
        <v>118</v>
      </c>
      <c r="J129" s="260" t="s">
        <v>38</v>
      </c>
      <c r="K129" s="260" t="s">
        <v>28</v>
      </c>
      <c r="L129" s="260" t="s">
        <v>28</v>
      </c>
      <c r="M129" s="260" t="s">
        <v>38</v>
      </c>
      <c r="N129" s="308">
        <v>0</v>
      </c>
      <c r="O129" s="260" t="s">
        <v>28</v>
      </c>
      <c r="P129" s="310">
        <v>0</v>
      </c>
      <c r="Q129" s="260" t="s">
        <v>28</v>
      </c>
      <c r="R129" s="310">
        <v>2090000000.0000002</v>
      </c>
      <c r="S129" s="263">
        <v>42402</v>
      </c>
      <c r="T129" s="309">
        <v>3364900000.0000005</v>
      </c>
      <c r="U129" s="279">
        <v>45540</v>
      </c>
      <c r="V129" s="199">
        <f t="shared" si="5"/>
        <v>0</v>
      </c>
      <c r="W129" s="260" t="s">
        <v>28</v>
      </c>
      <c r="X129" s="199">
        <f t="shared" si="6"/>
        <v>0</v>
      </c>
      <c r="Y129" s="260" t="s">
        <v>28</v>
      </c>
      <c r="Z129" s="199">
        <f t="shared" si="7"/>
        <v>2090000000.0000002</v>
      </c>
      <c r="AA129" s="263">
        <v>42402</v>
      </c>
      <c r="AB129" s="199">
        <f t="shared" si="8"/>
        <v>3364900000.0000005</v>
      </c>
      <c r="AC129" s="279">
        <v>45540</v>
      </c>
      <c r="AD129" s="261" t="s">
        <v>506</v>
      </c>
      <c r="AE129" s="264" t="s">
        <v>881</v>
      </c>
      <c r="AF129" s="265" t="s">
        <v>887</v>
      </c>
      <c r="AG129" s="266" t="s">
        <v>68</v>
      </c>
      <c r="AH129" s="267" t="s">
        <v>887</v>
      </c>
      <c r="AI129" s="21" t="s">
        <v>887</v>
      </c>
      <c r="AJ129" s="202" t="s">
        <v>1233</v>
      </c>
      <c r="AK129" s="203" t="s">
        <v>1234</v>
      </c>
      <c r="AL129" s="198" t="s">
        <v>1265</v>
      </c>
      <c r="AM129" s="198" t="s">
        <v>1266</v>
      </c>
      <c r="AN129" s="198" t="s">
        <v>1267</v>
      </c>
      <c r="AO129" s="204">
        <v>1</v>
      </c>
      <c r="AP129" s="198" t="s">
        <v>1238</v>
      </c>
      <c r="AQ129" s="198"/>
      <c r="AR129" s="198"/>
    </row>
    <row r="130" spans="1:44">
      <c r="A130" s="258">
        <v>190</v>
      </c>
      <c r="B130" s="259" t="s">
        <v>25</v>
      </c>
      <c r="C130" s="259" t="s">
        <v>26</v>
      </c>
      <c r="D130" s="260" t="s">
        <v>32</v>
      </c>
      <c r="E130" s="260" t="s">
        <v>502</v>
      </c>
      <c r="F130" s="261" t="s">
        <v>571</v>
      </c>
      <c r="G130" s="261" t="s">
        <v>572</v>
      </c>
      <c r="H130" s="262" t="s">
        <v>573</v>
      </c>
      <c r="I130" s="260" t="s">
        <v>53</v>
      </c>
      <c r="J130" s="260" t="s">
        <v>38</v>
      </c>
      <c r="K130" s="260" t="s">
        <v>28</v>
      </c>
      <c r="L130" s="260" t="s">
        <v>28</v>
      </c>
      <c r="M130" s="260" t="s">
        <v>38</v>
      </c>
      <c r="N130" s="308">
        <v>0</v>
      </c>
      <c r="O130" s="260" t="s">
        <v>28</v>
      </c>
      <c r="P130" s="310">
        <v>0</v>
      </c>
      <c r="Q130" s="260" t="s">
        <v>28</v>
      </c>
      <c r="R130" s="310">
        <v>73700000</v>
      </c>
      <c r="S130" s="263">
        <v>43398</v>
      </c>
      <c r="T130" s="309">
        <v>0</v>
      </c>
      <c r="U130" s="263" t="s">
        <v>28</v>
      </c>
      <c r="V130" s="199">
        <f t="shared" si="5"/>
        <v>0</v>
      </c>
      <c r="W130" s="260" t="s">
        <v>28</v>
      </c>
      <c r="X130" s="199">
        <f t="shared" si="6"/>
        <v>0</v>
      </c>
      <c r="Y130" s="260" t="s">
        <v>28</v>
      </c>
      <c r="Z130" s="199">
        <f t="shared" si="7"/>
        <v>73700000</v>
      </c>
      <c r="AA130" s="263">
        <v>43398</v>
      </c>
      <c r="AB130" s="199">
        <f t="shared" si="8"/>
        <v>0</v>
      </c>
      <c r="AC130" s="263" t="s">
        <v>28</v>
      </c>
      <c r="AD130" s="261" t="s">
        <v>506</v>
      </c>
      <c r="AE130" s="264" t="s">
        <v>881</v>
      </c>
      <c r="AF130" s="265" t="s">
        <v>887</v>
      </c>
      <c r="AG130" s="266" t="s">
        <v>68</v>
      </c>
      <c r="AH130" s="267" t="s">
        <v>887</v>
      </c>
      <c r="AI130" s="21" t="s">
        <v>887</v>
      </c>
      <c r="AJ130" s="202" t="s">
        <v>1121</v>
      </c>
      <c r="AK130" s="203" t="s">
        <v>1144</v>
      </c>
      <c r="AL130" s="198"/>
      <c r="AM130" s="198" t="s">
        <v>1123</v>
      </c>
      <c r="AN130" s="198" t="s">
        <v>1124</v>
      </c>
      <c r="AO130" s="204">
        <v>1</v>
      </c>
      <c r="AP130" s="198" t="s">
        <v>1112</v>
      </c>
      <c r="AQ130" s="198"/>
      <c r="AR130" s="198"/>
    </row>
    <row r="131" spans="1:44">
      <c r="A131" s="258">
        <v>191</v>
      </c>
      <c r="B131" s="259" t="s">
        <v>25</v>
      </c>
      <c r="C131" s="259" t="s">
        <v>26</v>
      </c>
      <c r="D131" s="260" t="s">
        <v>32</v>
      </c>
      <c r="E131" s="260" t="s">
        <v>502</v>
      </c>
      <c r="F131" s="261" t="s">
        <v>574</v>
      </c>
      <c r="G131" s="261" t="s">
        <v>575</v>
      </c>
      <c r="H131" s="262" t="s">
        <v>576</v>
      </c>
      <c r="I131" s="260" t="s">
        <v>53</v>
      </c>
      <c r="J131" s="260" t="s">
        <v>38</v>
      </c>
      <c r="K131" s="260" t="s">
        <v>28</v>
      </c>
      <c r="L131" s="260" t="s">
        <v>28</v>
      </c>
      <c r="M131" s="260" t="s">
        <v>38</v>
      </c>
      <c r="N131" s="308">
        <v>0</v>
      </c>
      <c r="O131" s="260" t="s">
        <v>28</v>
      </c>
      <c r="P131" s="310">
        <v>0</v>
      </c>
      <c r="Q131" s="260" t="s">
        <v>28</v>
      </c>
      <c r="R131" s="310">
        <v>1232000000</v>
      </c>
      <c r="S131" s="263">
        <v>42901</v>
      </c>
      <c r="T131" s="309">
        <v>0</v>
      </c>
      <c r="U131" s="263" t="s">
        <v>28</v>
      </c>
      <c r="V131" s="199">
        <f t="shared" ref="V131:V194" si="9">N131*$AO131</f>
        <v>0</v>
      </c>
      <c r="W131" s="260" t="s">
        <v>28</v>
      </c>
      <c r="X131" s="199">
        <f t="shared" ref="X131:X194" si="10">P131*$AO131</f>
        <v>0</v>
      </c>
      <c r="Y131" s="260" t="s">
        <v>28</v>
      </c>
      <c r="Z131" s="199">
        <f t="shared" ref="Z131:Z194" si="11">R131*$AO131</f>
        <v>1232000000</v>
      </c>
      <c r="AA131" s="263">
        <v>42901</v>
      </c>
      <c r="AB131" s="199">
        <f t="shared" ref="AB131:AB194" si="12">T131*$AO131</f>
        <v>0</v>
      </c>
      <c r="AC131" s="263" t="s">
        <v>28</v>
      </c>
      <c r="AD131" s="261" t="s">
        <v>506</v>
      </c>
      <c r="AE131" s="264" t="s">
        <v>881</v>
      </c>
      <c r="AF131" s="265" t="s">
        <v>887</v>
      </c>
      <c r="AG131" s="266" t="s">
        <v>68</v>
      </c>
      <c r="AH131" s="267" t="s">
        <v>887</v>
      </c>
      <c r="AI131" s="21" t="s">
        <v>887</v>
      </c>
      <c r="AJ131" s="202" t="s">
        <v>1121</v>
      </c>
      <c r="AK131" s="203" t="s">
        <v>1144</v>
      </c>
      <c r="AL131" s="198"/>
      <c r="AM131" s="198" t="s">
        <v>1123</v>
      </c>
      <c r="AN131" s="198" t="s">
        <v>1124</v>
      </c>
      <c r="AO131" s="204">
        <v>1</v>
      </c>
      <c r="AP131" s="198" t="s">
        <v>1112</v>
      </c>
      <c r="AQ131" s="198"/>
      <c r="AR131" s="198"/>
    </row>
    <row r="132" spans="1:44">
      <c r="A132" s="258">
        <v>192</v>
      </c>
      <c r="B132" s="259" t="s">
        <v>25</v>
      </c>
      <c r="C132" s="259" t="s">
        <v>26</v>
      </c>
      <c r="D132" s="260" t="s">
        <v>32</v>
      </c>
      <c r="E132" s="260" t="s">
        <v>502</v>
      </c>
      <c r="F132" s="261" t="s">
        <v>577</v>
      </c>
      <c r="G132" s="261" t="s">
        <v>578</v>
      </c>
      <c r="H132" s="262" t="s">
        <v>579</v>
      </c>
      <c r="I132" s="260" t="s">
        <v>118</v>
      </c>
      <c r="J132" s="260" t="s">
        <v>38</v>
      </c>
      <c r="K132" s="260" t="s">
        <v>28</v>
      </c>
      <c r="L132" s="260" t="s">
        <v>28</v>
      </c>
      <c r="M132" s="260" t="s">
        <v>432</v>
      </c>
      <c r="N132" s="308">
        <v>0</v>
      </c>
      <c r="O132" s="260" t="s">
        <v>28</v>
      </c>
      <c r="P132" s="310">
        <v>0</v>
      </c>
      <c r="Q132" s="260" t="s">
        <v>28</v>
      </c>
      <c r="R132" s="310">
        <v>3025000000.0000005</v>
      </c>
      <c r="S132" s="263">
        <v>42745</v>
      </c>
      <c r="T132" s="309">
        <v>0</v>
      </c>
      <c r="U132" s="263" t="s">
        <v>28</v>
      </c>
      <c r="V132" s="199">
        <f t="shared" si="9"/>
        <v>0</v>
      </c>
      <c r="W132" s="260" t="s">
        <v>28</v>
      </c>
      <c r="X132" s="199">
        <f t="shared" si="10"/>
        <v>0</v>
      </c>
      <c r="Y132" s="260" t="s">
        <v>28</v>
      </c>
      <c r="Z132" s="199">
        <f t="shared" si="11"/>
        <v>3025000000.0000005</v>
      </c>
      <c r="AA132" s="263">
        <v>42745</v>
      </c>
      <c r="AB132" s="199">
        <f t="shared" si="12"/>
        <v>0</v>
      </c>
      <c r="AC132" s="263" t="s">
        <v>28</v>
      </c>
      <c r="AD132" s="261" t="s">
        <v>506</v>
      </c>
      <c r="AE132" s="264" t="s">
        <v>881</v>
      </c>
      <c r="AF132" s="265" t="s">
        <v>887</v>
      </c>
      <c r="AG132" s="266" t="s">
        <v>68</v>
      </c>
      <c r="AH132" s="267" t="s">
        <v>887</v>
      </c>
      <c r="AI132" s="21" t="s">
        <v>887</v>
      </c>
      <c r="AJ132" s="202" t="s">
        <v>1233</v>
      </c>
      <c r="AK132" s="203" t="s">
        <v>1234</v>
      </c>
      <c r="AL132" s="198" t="s">
        <v>1268</v>
      </c>
      <c r="AM132" s="198" t="s">
        <v>1269</v>
      </c>
      <c r="AN132" s="198" t="s">
        <v>1270</v>
      </c>
      <c r="AO132" s="204">
        <v>1</v>
      </c>
      <c r="AP132" s="295" t="s">
        <v>1303</v>
      </c>
      <c r="AQ132" s="198"/>
      <c r="AR132" s="198"/>
    </row>
    <row r="133" spans="1:44" s="231" customFormat="1">
      <c r="A133" s="258">
        <v>194</v>
      </c>
      <c r="B133" s="268" t="s">
        <v>25</v>
      </c>
      <c r="C133" s="268" t="s">
        <v>26</v>
      </c>
      <c r="D133" s="269" t="s">
        <v>32</v>
      </c>
      <c r="E133" s="269" t="s">
        <v>502</v>
      </c>
      <c r="F133" s="270" t="s">
        <v>583</v>
      </c>
      <c r="G133" s="270" t="s">
        <v>584</v>
      </c>
      <c r="H133" s="271" t="s">
        <v>585</v>
      </c>
      <c r="I133" s="269" t="s">
        <v>37</v>
      </c>
      <c r="J133" s="269" t="s">
        <v>38</v>
      </c>
      <c r="K133" s="269" t="s">
        <v>28</v>
      </c>
      <c r="L133" s="269" t="s">
        <v>28</v>
      </c>
      <c r="M133" s="269" t="s">
        <v>38</v>
      </c>
      <c r="N133" s="311">
        <v>14468300000.000002</v>
      </c>
      <c r="O133" s="272">
        <v>41654</v>
      </c>
      <c r="P133" s="312">
        <v>0</v>
      </c>
      <c r="Q133" s="269" t="s">
        <v>28</v>
      </c>
      <c r="R133" s="312">
        <v>14366000000.000002</v>
      </c>
      <c r="S133" s="313">
        <v>43735</v>
      </c>
      <c r="T133" s="311">
        <v>20678000000</v>
      </c>
      <c r="U133" s="272">
        <v>45481</v>
      </c>
      <c r="V133" s="199">
        <f t="shared" si="9"/>
        <v>12298055000.000002</v>
      </c>
      <c r="W133" s="272">
        <v>41654</v>
      </c>
      <c r="X133" s="199">
        <f t="shared" si="10"/>
        <v>0</v>
      </c>
      <c r="Y133" s="269" t="s">
        <v>28</v>
      </c>
      <c r="Z133" s="199">
        <f t="shared" si="11"/>
        <v>12211100000.000002</v>
      </c>
      <c r="AA133" s="313">
        <v>43735</v>
      </c>
      <c r="AB133" s="199">
        <f t="shared" si="12"/>
        <v>17576300000</v>
      </c>
      <c r="AC133" s="272">
        <v>45481</v>
      </c>
      <c r="AD133" s="270" t="s">
        <v>555</v>
      </c>
      <c r="AE133" s="273" t="s">
        <v>881</v>
      </c>
      <c r="AF133" s="274" t="s">
        <v>887</v>
      </c>
      <c r="AG133" s="275" t="s">
        <v>899</v>
      </c>
      <c r="AH133" s="276" t="s">
        <v>887</v>
      </c>
      <c r="AI133" s="230" t="s">
        <v>887</v>
      </c>
      <c r="AJ133" s="202" t="s">
        <v>1147</v>
      </c>
      <c r="AK133" s="203" t="s">
        <v>1234</v>
      </c>
      <c r="AL133" s="198" t="s">
        <v>1193</v>
      </c>
      <c r="AM133" s="198" t="s">
        <v>1194</v>
      </c>
      <c r="AN133" s="198" t="s">
        <v>1195</v>
      </c>
      <c r="AO133" s="204">
        <v>0.85</v>
      </c>
      <c r="AP133" s="295" t="s">
        <v>1303</v>
      </c>
      <c r="AQ133" s="198"/>
      <c r="AR133" s="198"/>
    </row>
    <row r="134" spans="1:44">
      <c r="A134" s="258">
        <v>195</v>
      </c>
      <c r="B134" s="259" t="s">
        <v>25</v>
      </c>
      <c r="C134" s="259" t="s">
        <v>26</v>
      </c>
      <c r="D134" s="260" t="s">
        <v>32</v>
      </c>
      <c r="E134" s="260" t="s">
        <v>502</v>
      </c>
      <c r="F134" s="261" t="s">
        <v>586</v>
      </c>
      <c r="G134" s="261" t="s">
        <v>587</v>
      </c>
      <c r="H134" s="262" t="s">
        <v>588</v>
      </c>
      <c r="I134" s="260" t="s">
        <v>118</v>
      </c>
      <c r="J134" s="260" t="s">
        <v>38</v>
      </c>
      <c r="K134" s="260" t="s">
        <v>28</v>
      </c>
      <c r="L134" s="260" t="s">
        <v>28</v>
      </c>
      <c r="M134" s="260" t="s">
        <v>38</v>
      </c>
      <c r="N134" s="308">
        <v>0</v>
      </c>
      <c r="O134" s="260" t="s">
        <v>28</v>
      </c>
      <c r="P134" s="308">
        <v>19689848860</v>
      </c>
      <c r="Q134" s="263">
        <v>40707</v>
      </c>
      <c r="R134" s="308">
        <v>20590000000</v>
      </c>
      <c r="S134" s="263">
        <v>43661</v>
      </c>
      <c r="T134" s="309">
        <v>0</v>
      </c>
      <c r="U134" s="263" t="s">
        <v>28</v>
      </c>
      <c r="V134" s="199">
        <f t="shared" si="9"/>
        <v>0</v>
      </c>
      <c r="W134" s="260" t="s">
        <v>28</v>
      </c>
      <c r="X134" s="199">
        <f t="shared" si="10"/>
        <v>19689848860</v>
      </c>
      <c r="Y134" s="263">
        <v>40707</v>
      </c>
      <c r="Z134" s="199">
        <f t="shared" si="11"/>
        <v>20590000000</v>
      </c>
      <c r="AA134" s="263">
        <v>43661</v>
      </c>
      <c r="AB134" s="199">
        <f t="shared" si="12"/>
        <v>0</v>
      </c>
      <c r="AC134" s="263" t="s">
        <v>28</v>
      </c>
      <c r="AD134" s="261" t="s">
        <v>555</v>
      </c>
      <c r="AE134" s="264" t="s">
        <v>881</v>
      </c>
      <c r="AF134" s="265" t="s">
        <v>68</v>
      </c>
      <c r="AG134" s="266" t="s">
        <v>68</v>
      </c>
      <c r="AH134" s="267" t="s">
        <v>887</v>
      </c>
      <c r="AI134" s="21" t="s">
        <v>887</v>
      </c>
      <c r="AJ134" s="202" t="s">
        <v>1254</v>
      </c>
      <c r="AK134" s="203" t="s">
        <v>1154</v>
      </c>
      <c r="AL134" s="198" t="s">
        <v>1193</v>
      </c>
      <c r="AM134" s="198" t="s">
        <v>1194</v>
      </c>
      <c r="AN134" s="198" t="s">
        <v>1195</v>
      </c>
      <c r="AO134" s="204">
        <v>1</v>
      </c>
      <c r="AP134" s="295" t="s">
        <v>1303</v>
      </c>
      <c r="AQ134" s="198"/>
      <c r="AR134" s="198"/>
    </row>
    <row r="135" spans="1:44">
      <c r="A135" s="258">
        <v>196</v>
      </c>
      <c r="B135" s="259" t="s">
        <v>25</v>
      </c>
      <c r="C135" s="259" t="s">
        <v>26</v>
      </c>
      <c r="D135" s="260" t="s">
        <v>32</v>
      </c>
      <c r="E135" s="260" t="s">
        <v>502</v>
      </c>
      <c r="F135" s="261" t="s">
        <v>589</v>
      </c>
      <c r="G135" s="261" t="s">
        <v>590</v>
      </c>
      <c r="H135" s="262" t="s">
        <v>591</v>
      </c>
      <c r="I135" s="260" t="s">
        <v>125</v>
      </c>
      <c r="J135" s="260" t="s">
        <v>38</v>
      </c>
      <c r="K135" s="260" t="s">
        <v>28</v>
      </c>
      <c r="L135" s="260" t="s">
        <v>28</v>
      </c>
      <c r="M135" s="260" t="s">
        <v>38</v>
      </c>
      <c r="N135" s="308">
        <v>0</v>
      </c>
      <c r="O135" s="260" t="s">
        <v>28</v>
      </c>
      <c r="P135" s="308">
        <v>6703000000</v>
      </c>
      <c r="Q135" s="263">
        <v>41990</v>
      </c>
      <c r="R135" s="308">
        <v>6609000000</v>
      </c>
      <c r="S135" s="263">
        <v>43656</v>
      </c>
      <c r="T135" s="309">
        <v>0</v>
      </c>
      <c r="U135" s="263" t="s">
        <v>28</v>
      </c>
      <c r="V135" s="199">
        <f t="shared" si="9"/>
        <v>0</v>
      </c>
      <c r="W135" s="260" t="s">
        <v>28</v>
      </c>
      <c r="X135" s="199">
        <f t="shared" si="10"/>
        <v>6703000000</v>
      </c>
      <c r="Y135" s="263">
        <v>41990</v>
      </c>
      <c r="Z135" s="199">
        <f t="shared" si="11"/>
        <v>6609000000</v>
      </c>
      <c r="AA135" s="263">
        <v>43656</v>
      </c>
      <c r="AB135" s="199">
        <f t="shared" si="12"/>
        <v>0</v>
      </c>
      <c r="AC135" s="263" t="s">
        <v>28</v>
      </c>
      <c r="AD135" s="261" t="s">
        <v>555</v>
      </c>
      <c r="AE135" s="264" t="s">
        <v>881</v>
      </c>
      <c r="AF135" s="265" t="s">
        <v>887</v>
      </c>
      <c r="AG135" s="266" t="s">
        <v>68</v>
      </c>
      <c r="AH135" s="267" t="s">
        <v>887</v>
      </c>
      <c r="AI135" s="21" t="s">
        <v>887</v>
      </c>
      <c r="AJ135" s="202" t="s">
        <v>1254</v>
      </c>
      <c r="AK135" s="203" t="s">
        <v>1154</v>
      </c>
      <c r="AL135" s="198" t="s">
        <v>1193</v>
      </c>
      <c r="AM135" s="198" t="s">
        <v>1194</v>
      </c>
      <c r="AN135" s="198" t="s">
        <v>1195</v>
      </c>
      <c r="AO135" s="204">
        <v>1</v>
      </c>
      <c r="AP135" s="295" t="s">
        <v>1303</v>
      </c>
      <c r="AQ135" s="198"/>
      <c r="AR135" s="198"/>
    </row>
    <row r="136" spans="1:44">
      <c r="A136" s="258">
        <v>197</v>
      </c>
      <c r="B136" s="259" t="s">
        <v>25</v>
      </c>
      <c r="C136" s="259" t="s">
        <v>26</v>
      </c>
      <c r="D136" s="260" t="s">
        <v>32</v>
      </c>
      <c r="E136" s="260" t="s">
        <v>502</v>
      </c>
      <c r="F136" s="261" t="s">
        <v>589</v>
      </c>
      <c r="G136" s="261" t="s">
        <v>590</v>
      </c>
      <c r="H136" s="262" t="s">
        <v>592</v>
      </c>
      <c r="I136" s="260" t="s">
        <v>125</v>
      </c>
      <c r="J136" s="260" t="s">
        <v>38</v>
      </c>
      <c r="K136" s="260" t="s">
        <v>28</v>
      </c>
      <c r="L136" s="260" t="s">
        <v>28</v>
      </c>
      <c r="M136" s="260" t="s">
        <v>38</v>
      </c>
      <c r="N136" s="308">
        <v>0</v>
      </c>
      <c r="O136" s="260" t="s">
        <v>28</v>
      </c>
      <c r="P136" s="308">
        <v>7703701610</v>
      </c>
      <c r="Q136" s="263">
        <v>40605</v>
      </c>
      <c r="R136" s="310">
        <v>0</v>
      </c>
      <c r="S136" s="263" t="s">
        <v>28</v>
      </c>
      <c r="T136" s="309">
        <v>0</v>
      </c>
      <c r="U136" s="263" t="s">
        <v>28</v>
      </c>
      <c r="V136" s="199">
        <f t="shared" si="9"/>
        <v>0</v>
      </c>
      <c r="W136" s="260" t="s">
        <v>28</v>
      </c>
      <c r="X136" s="199">
        <f t="shared" si="10"/>
        <v>7703701610</v>
      </c>
      <c r="Y136" s="263">
        <v>40605</v>
      </c>
      <c r="Z136" s="199">
        <f t="shared" si="11"/>
        <v>0</v>
      </c>
      <c r="AA136" s="263" t="s">
        <v>28</v>
      </c>
      <c r="AB136" s="199">
        <f t="shared" si="12"/>
        <v>0</v>
      </c>
      <c r="AC136" s="263" t="s">
        <v>28</v>
      </c>
      <c r="AD136" s="261" t="s">
        <v>555</v>
      </c>
      <c r="AE136" s="264" t="s">
        <v>881</v>
      </c>
      <c r="AF136" s="265" t="s">
        <v>887</v>
      </c>
      <c r="AG136" s="266" t="s">
        <v>68</v>
      </c>
      <c r="AH136" s="267" t="s">
        <v>887</v>
      </c>
      <c r="AI136" s="21" t="s">
        <v>887</v>
      </c>
      <c r="AJ136" s="202" t="s">
        <v>1254</v>
      </c>
      <c r="AK136" s="203" t="s">
        <v>1154</v>
      </c>
      <c r="AL136" s="198" t="s">
        <v>1193</v>
      </c>
      <c r="AM136" s="198" t="s">
        <v>1194</v>
      </c>
      <c r="AN136" s="198" t="s">
        <v>1195</v>
      </c>
      <c r="AO136" s="204">
        <v>1</v>
      </c>
      <c r="AP136" s="295" t="s">
        <v>1303</v>
      </c>
      <c r="AQ136" s="198"/>
      <c r="AR136" s="198"/>
    </row>
    <row r="137" spans="1:44">
      <c r="A137" s="258">
        <v>198</v>
      </c>
      <c r="B137" s="259" t="s">
        <v>25</v>
      </c>
      <c r="C137" s="259" t="s">
        <v>26</v>
      </c>
      <c r="D137" s="260" t="s">
        <v>32</v>
      </c>
      <c r="E137" s="260" t="s">
        <v>502</v>
      </c>
      <c r="F137" s="261" t="s">
        <v>593</v>
      </c>
      <c r="G137" s="261" t="s">
        <v>594</v>
      </c>
      <c r="H137" s="262" t="s">
        <v>595</v>
      </c>
      <c r="I137" s="260" t="s">
        <v>53</v>
      </c>
      <c r="J137" s="260" t="s">
        <v>38</v>
      </c>
      <c r="K137" s="260" t="s">
        <v>28</v>
      </c>
      <c r="L137" s="260" t="s">
        <v>28</v>
      </c>
      <c r="M137" s="260" t="s">
        <v>38</v>
      </c>
      <c r="N137" s="308">
        <v>0</v>
      </c>
      <c r="O137" s="260" t="s">
        <v>28</v>
      </c>
      <c r="P137" s="310">
        <v>0</v>
      </c>
      <c r="Q137" s="260" t="s">
        <v>28</v>
      </c>
      <c r="R137" s="310">
        <v>3590400000.0000005</v>
      </c>
      <c r="S137" s="263">
        <v>43787</v>
      </c>
      <c r="T137" s="309">
        <v>0</v>
      </c>
      <c r="U137" s="263" t="s">
        <v>28</v>
      </c>
      <c r="V137" s="199">
        <f t="shared" si="9"/>
        <v>0</v>
      </c>
      <c r="W137" s="260" t="s">
        <v>28</v>
      </c>
      <c r="X137" s="199">
        <f t="shared" si="10"/>
        <v>0</v>
      </c>
      <c r="Y137" s="260" t="s">
        <v>28</v>
      </c>
      <c r="Z137" s="199">
        <f t="shared" si="11"/>
        <v>3590400000.0000005</v>
      </c>
      <c r="AA137" s="263">
        <v>43787</v>
      </c>
      <c r="AB137" s="199">
        <f t="shared" si="12"/>
        <v>0</v>
      </c>
      <c r="AC137" s="263" t="s">
        <v>28</v>
      </c>
      <c r="AD137" s="261" t="s">
        <v>555</v>
      </c>
      <c r="AE137" s="264" t="s">
        <v>881</v>
      </c>
      <c r="AF137" s="265" t="s">
        <v>68</v>
      </c>
      <c r="AG137" s="266" t="s">
        <v>68</v>
      </c>
      <c r="AH137" s="267" t="s">
        <v>887</v>
      </c>
      <c r="AI137" s="21" t="s">
        <v>887</v>
      </c>
      <c r="AJ137" s="202" t="s">
        <v>1233</v>
      </c>
      <c r="AK137" s="203" t="s">
        <v>1234</v>
      </c>
      <c r="AL137" s="198" t="s">
        <v>1271</v>
      </c>
      <c r="AM137" s="198" t="s">
        <v>1272</v>
      </c>
      <c r="AN137" s="198" t="s">
        <v>1273</v>
      </c>
      <c r="AO137" s="204">
        <v>1</v>
      </c>
      <c r="AP137" s="295" t="s">
        <v>1303</v>
      </c>
      <c r="AQ137" s="198"/>
      <c r="AR137" s="198"/>
    </row>
    <row r="138" spans="1:44">
      <c r="A138" s="258">
        <v>199</v>
      </c>
      <c r="B138" s="259" t="s">
        <v>25</v>
      </c>
      <c r="C138" s="259" t="s">
        <v>26</v>
      </c>
      <c r="D138" s="260" t="s">
        <v>32</v>
      </c>
      <c r="E138" s="260" t="s">
        <v>502</v>
      </c>
      <c r="F138" s="261" t="s">
        <v>596</v>
      </c>
      <c r="G138" s="261" t="s">
        <v>597</v>
      </c>
      <c r="H138" s="262" t="s">
        <v>598</v>
      </c>
      <c r="I138" s="260" t="s">
        <v>53</v>
      </c>
      <c r="J138" s="260" t="s">
        <v>38</v>
      </c>
      <c r="K138" s="260" t="s">
        <v>28</v>
      </c>
      <c r="L138" s="260" t="s">
        <v>28</v>
      </c>
      <c r="M138" s="260" t="s">
        <v>38</v>
      </c>
      <c r="N138" s="308">
        <v>0</v>
      </c>
      <c r="O138" s="260" t="s">
        <v>28</v>
      </c>
      <c r="P138" s="310">
        <v>1073105990.0000001</v>
      </c>
      <c r="Q138" s="263">
        <v>42115</v>
      </c>
      <c r="R138" s="310">
        <v>1219782740</v>
      </c>
      <c r="S138" s="263">
        <v>43958</v>
      </c>
      <c r="T138" s="309">
        <v>0</v>
      </c>
      <c r="U138" s="263" t="s">
        <v>28</v>
      </c>
      <c r="V138" s="199">
        <f t="shared" si="9"/>
        <v>0</v>
      </c>
      <c r="W138" s="260" t="s">
        <v>28</v>
      </c>
      <c r="X138" s="199">
        <f t="shared" si="10"/>
        <v>1073105990.0000001</v>
      </c>
      <c r="Y138" s="263">
        <v>42115</v>
      </c>
      <c r="Z138" s="199">
        <f t="shared" si="11"/>
        <v>1219782740</v>
      </c>
      <c r="AA138" s="263">
        <v>43958</v>
      </c>
      <c r="AB138" s="199">
        <f t="shared" si="12"/>
        <v>0</v>
      </c>
      <c r="AC138" s="263" t="s">
        <v>28</v>
      </c>
      <c r="AD138" s="261" t="s">
        <v>555</v>
      </c>
      <c r="AE138" s="264" t="s">
        <v>881</v>
      </c>
      <c r="AF138" s="265" t="s">
        <v>68</v>
      </c>
      <c r="AG138" s="266" t="s">
        <v>68</v>
      </c>
      <c r="AH138" s="267" t="s">
        <v>887</v>
      </c>
      <c r="AI138" s="21" t="s">
        <v>887</v>
      </c>
      <c r="AJ138" s="202" t="s">
        <v>1233</v>
      </c>
      <c r="AK138" s="203" t="s">
        <v>1234</v>
      </c>
      <c r="AL138" s="198" t="s">
        <v>1271</v>
      </c>
      <c r="AM138" s="198" t="s">
        <v>1272</v>
      </c>
      <c r="AN138" s="198" t="s">
        <v>1273</v>
      </c>
      <c r="AO138" s="204">
        <v>1</v>
      </c>
      <c r="AP138" s="295" t="s">
        <v>1303</v>
      </c>
      <c r="AQ138" s="198"/>
      <c r="AR138" s="198"/>
    </row>
    <row r="139" spans="1:44">
      <c r="A139" s="258">
        <v>201</v>
      </c>
      <c r="B139" s="259" t="s">
        <v>25</v>
      </c>
      <c r="C139" s="259" t="s">
        <v>26</v>
      </c>
      <c r="D139" s="260" t="s">
        <v>32</v>
      </c>
      <c r="E139" s="260" t="s">
        <v>502</v>
      </c>
      <c r="F139" s="261" t="s">
        <v>602</v>
      </c>
      <c r="G139" s="261" t="s">
        <v>603</v>
      </c>
      <c r="H139" s="262" t="s">
        <v>604</v>
      </c>
      <c r="I139" s="260" t="s">
        <v>53</v>
      </c>
      <c r="J139" s="260" t="s">
        <v>38</v>
      </c>
      <c r="K139" s="260" t="s">
        <v>28</v>
      </c>
      <c r="L139" s="260" t="s">
        <v>28</v>
      </c>
      <c r="M139" s="260" t="s">
        <v>38</v>
      </c>
      <c r="N139" s="308">
        <v>0</v>
      </c>
      <c r="O139" s="260" t="s">
        <v>28</v>
      </c>
      <c r="P139" s="310">
        <v>0</v>
      </c>
      <c r="Q139" s="260" t="s">
        <v>28</v>
      </c>
      <c r="R139" s="310">
        <v>1152868200</v>
      </c>
      <c r="S139" s="263">
        <v>42611</v>
      </c>
      <c r="T139" s="308">
        <v>5720000000</v>
      </c>
      <c r="U139" s="263">
        <v>45246</v>
      </c>
      <c r="V139" s="199">
        <f t="shared" si="9"/>
        <v>0</v>
      </c>
      <c r="W139" s="260" t="s">
        <v>28</v>
      </c>
      <c r="X139" s="199">
        <f t="shared" si="10"/>
        <v>0</v>
      </c>
      <c r="Y139" s="260" t="s">
        <v>28</v>
      </c>
      <c r="Z139" s="199">
        <f t="shared" si="11"/>
        <v>1152868200</v>
      </c>
      <c r="AA139" s="263">
        <v>42611</v>
      </c>
      <c r="AB139" s="199">
        <f t="shared" si="12"/>
        <v>5720000000</v>
      </c>
      <c r="AC139" s="263">
        <v>45246</v>
      </c>
      <c r="AD139" s="261" t="s">
        <v>506</v>
      </c>
      <c r="AE139" s="264" t="s">
        <v>881</v>
      </c>
      <c r="AF139" s="265" t="s">
        <v>887</v>
      </c>
      <c r="AG139" s="266" t="s">
        <v>68</v>
      </c>
      <c r="AH139" s="267" t="s">
        <v>887</v>
      </c>
      <c r="AI139" s="21" t="s">
        <v>887</v>
      </c>
      <c r="AJ139" s="202" t="s">
        <v>1233</v>
      </c>
      <c r="AK139" s="203" t="s">
        <v>1234</v>
      </c>
      <c r="AL139" s="198" t="s">
        <v>1271</v>
      </c>
      <c r="AM139" s="198" t="s">
        <v>1272</v>
      </c>
      <c r="AN139" s="198" t="s">
        <v>1273</v>
      </c>
      <c r="AO139" s="204">
        <v>1</v>
      </c>
      <c r="AP139" s="295" t="s">
        <v>1303</v>
      </c>
      <c r="AQ139" s="198"/>
      <c r="AR139" s="198"/>
    </row>
    <row r="140" spans="1:44">
      <c r="A140" s="258">
        <v>202</v>
      </c>
      <c r="B140" s="259" t="s">
        <v>25</v>
      </c>
      <c r="C140" s="259" t="s">
        <v>26</v>
      </c>
      <c r="D140" s="260" t="s">
        <v>32</v>
      </c>
      <c r="E140" s="260" t="s">
        <v>502</v>
      </c>
      <c r="F140" s="261" t="s">
        <v>605</v>
      </c>
      <c r="G140" s="261" t="s">
        <v>606</v>
      </c>
      <c r="H140" s="262" t="s">
        <v>607</v>
      </c>
      <c r="I140" s="260" t="s">
        <v>118</v>
      </c>
      <c r="J140" s="260" t="s">
        <v>38</v>
      </c>
      <c r="K140" s="260" t="s">
        <v>28</v>
      </c>
      <c r="L140" s="260" t="s">
        <v>28</v>
      </c>
      <c r="M140" s="260" t="s">
        <v>38</v>
      </c>
      <c r="N140" s="308">
        <v>0</v>
      </c>
      <c r="O140" s="260" t="s">
        <v>28</v>
      </c>
      <c r="P140" s="308">
        <v>6154500000.000001</v>
      </c>
      <c r="Q140" s="263">
        <v>40388</v>
      </c>
      <c r="R140" s="310">
        <v>0</v>
      </c>
      <c r="S140" s="263" t="s">
        <v>28</v>
      </c>
      <c r="T140" s="309">
        <v>1991901000.1000001</v>
      </c>
      <c r="U140" s="263">
        <v>45187</v>
      </c>
      <c r="V140" s="199">
        <f t="shared" si="9"/>
        <v>0</v>
      </c>
      <c r="W140" s="260" t="s">
        <v>28</v>
      </c>
      <c r="X140" s="199">
        <f t="shared" si="10"/>
        <v>6154500000.000001</v>
      </c>
      <c r="Y140" s="263">
        <v>40388</v>
      </c>
      <c r="Z140" s="199">
        <f t="shared" si="11"/>
        <v>0</v>
      </c>
      <c r="AA140" s="263" t="s">
        <v>28</v>
      </c>
      <c r="AB140" s="199">
        <f t="shared" si="12"/>
        <v>1991901000.1000001</v>
      </c>
      <c r="AC140" s="263">
        <v>45187</v>
      </c>
      <c r="AD140" s="261" t="s">
        <v>506</v>
      </c>
      <c r="AE140" s="264" t="s">
        <v>881</v>
      </c>
      <c r="AF140" s="265" t="s">
        <v>887</v>
      </c>
      <c r="AG140" s="266" t="s">
        <v>68</v>
      </c>
      <c r="AH140" s="267" t="s">
        <v>887</v>
      </c>
      <c r="AI140" s="21" t="s">
        <v>887</v>
      </c>
      <c r="AJ140" s="202" t="s">
        <v>1196</v>
      </c>
      <c r="AK140" s="203" t="s">
        <v>1197</v>
      </c>
      <c r="AL140" s="198" t="s">
        <v>1198</v>
      </c>
      <c r="AM140" s="198" t="s">
        <v>1199</v>
      </c>
      <c r="AN140" s="198" t="s">
        <v>1200</v>
      </c>
      <c r="AO140" s="204">
        <v>1</v>
      </c>
      <c r="AP140" s="200" t="s">
        <v>1201</v>
      </c>
      <c r="AQ140" s="198"/>
      <c r="AR140" s="198"/>
    </row>
    <row r="141" spans="1:44">
      <c r="A141" s="258">
        <v>204</v>
      </c>
      <c r="B141" s="259" t="s">
        <v>25</v>
      </c>
      <c r="C141" s="259" t="s">
        <v>26</v>
      </c>
      <c r="D141" s="260" t="s">
        <v>32</v>
      </c>
      <c r="E141" s="260" t="s">
        <v>502</v>
      </c>
      <c r="F141" s="261" t="s">
        <v>611</v>
      </c>
      <c r="G141" s="261" t="s">
        <v>612</v>
      </c>
      <c r="H141" s="262" t="s">
        <v>613</v>
      </c>
      <c r="I141" s="260" t="s">
        <v>57</v>
      </c>
      <c r="J141" s="260" t="s">
        <v>38</v>
      </c>
      <c r="K141" s="260" t="s">
        <v>28</v>
      </c>
      <c r="L141" s="260" t="s">
        <v>28</v>
      </c>
      <c r="M141" s="260" t="s">
        <v>38</v>
      </c>
      <c r="N141" s="308">
        <v>0</v>
      </c>
      <c r="O141" s="260" t="s">
        <v>28</v>
      </c>
      <c r="P141" s="310">
        <v>0</v>
      </c>
      <c r="Q141" s="260" t="s">
        <v>28</v>
      </c>
      <c r="R141" s="310">
        <v>3833478000.0000005</v>
      </c>
      <c r="S141" s="263">
        <v>42853</v>
      </c>
      <c r="T141" s="309">
        <v>0</v>
      </c>
      <c r="U141" s="263" t="s">
        <v>28</v>
      </c>
      <c r="V141" s="199">
        <f t="shared" si="9"/>
        <v>0</v>
      </c>
      <c r="W141" s="260" t="s">
        <v>28</v>
      </c>
      <c r="X141" s="199">
        <f t="shared" si="10"/>
        <v>0</v>
      </c>
      <c r="Y141" s="260" t="s">
        <v>28</v>
      </c>
      <c r="Z141" s="199">
        <f t="shared" si="11"/>
        <v>3833478000.0000005</v>
      </c>
      <c r="AA141" s="263">
        <v>42853</v>
      </c>
      <c r="AB141" s="199">
        <f t="shared" si="12"/>
        <v>0</v>
      </c>
      <c r="AC141" s="263" t="s">
        <v>28</v>
      </c>
      <c r="AD141" s="261" t="s">
        <v>555</v>
      </c>
      <c r="AE141" s="264" t="s">
        <v>881</v>
      </c>
      <c r="AF141" s="265" t="s">
        <v>887</v>
      </c>
      <c r="AG141" s="266" t="s">
        <v>68</v>
      </c>
      <c r="AH141" s="267" t="s">
        <v>887</v>
      </c>
      <c r="AI141" s="21" t="s">
        <v>887</v>
      </c>
      <c r="AJ141" s="202" t="s">
        <v>1233</v>
      </c>
      <c r="AK141" s="203" t="s">
        <v>1234</v>
      </c>
      <c r="AL141" s="198" t="s">
        <v>1271</v>
      </c>
      <c r="AM141" s="198" t="s">
        <v>1272</v>
      </c>
      <c r="AN141" s="198" t="s">
        <v>1273</v>
      </c>
      <c r="AO141" s="204">
        <v>1</v>
      </c>
      <c r="AP141" s="295" t="s">
        <v>1303</v>
      </c>
      <c r="AQ141" s="198"/>
      <c r="AR141" s="198"/>
    </row>
    <row r="142" spans="1:44">
      <c r="A142" s="258">
        <v>206</v>
      </c>
      <c r="B142" s="259" t="s">
        <v>25</v>
      </c>
      <c r="C142" s="259" t="s">
        <v>26</v>
      </c>
      <c r="D142" s="260" t="s">
        <v>32</v>
      </c>
      <c r="E142" s="260" t="s">
        <v>502</v>
      </c>
      <c r="F142" s="261" t="s">
        <v>616</v>
      </c>
      <c r="G142" s="261" t="s">
        <v>617</v>
      </c>
      <c r="H142" s="262" t="s">
        <v>618</v>
      </c>
      <c r="I142" s="260" t="s">
        <v>53</v>
      </c>
      <c r="J142" s="260" t="s">
        <v>38</v>
      </c>
      <c r="K142" s="260" t="s">
        <v>28</v>
      </c>
      <c r="L142" s="260" t="s">
        <v>28</v>
      </c>
      <c r="M142" s="260" t="s">
        <v>432</v>
      </c>
      <c r="N142" s="308">
        <v>0</v>
      </c>
      <c r="O142" s="260" t="s">
        <v>28</v>
      </c>
      <c r="P142" s="310">
        <v>0</v>
      </c>
      <c r="Q142" s="260" t="s">
        <v>28</v>
      </c>
      <c r="R142" s="314">
        <v>3184500000.0000005</v>
      </c>
      <c r="S142" s="263">
        <v>42601</v>
      </c>
      <c r="T142" s="308">
        <v>5548000000</v>
      </c>
      <c r="U142" s="263">
        <v>45436</v>
      </c>
      <c r="V142" s="199">
        <f t="shared" si="9"/>
        <v>0</v>
      </c>
      <c r="W142" s="260" t="s">
        <v>28</v>
      </c>
      <c r="X142" s="199">
        <f t="shared" si="10"/>
        <v>0</v>
      </c>
      <c r="Y142" s="260" t="s">
        <v>28</v>
      </c>
      <c r="Z142" s="199">
        <f t="shared" si="11"/>
        <v>3184500000.0000005</v>
      </c>
      <c r="AA142" s="263">
        <v>42601</v>
      </c>
      <c r="AB142" s="199">
        <f t="shared" si="12"/>
        <v>5548000000</v>
      </c>
      <c r="AC142" s="263">
        <v>45436</v>
      </c>
      <c r="AD142" s="261" t="s">
        <v>506</v>
      </c>
      <c r="AE142" s="264" t="s">
        <v>881</v>
      </c>
      <c r="AF142" s="265" t="s">
        <v>887</v>
      </c>
      <c r="AG142" s="266" t="s">
        <v>68</v>
      </c>
      <c r="AH142" s="267" t="s">
        <v>887</v>
      </c>
      <c r="AI142" s="21" t="s">
        <v>887</v>
      </c>
      <c r="AJ142" s="202" t="s">
        <v>1233</v>
      </c>
      <c r="AK142" s="203" t="s">
        <v>1234</v>
      </c>
      <c r="AL142" s="198" t="s">
        <v>1271</v>
      </c>
      <c r="AM142" s="198" t="s">
        <v>1272</v>
      </c>
      <c r="AN142" s="198" t="s">
        <v>1273</v>
      </c>
      <c r="AO142" s="204">
        <v>1</v>
      </c>
      <c r="AP142" s="295" t="s">
        <v>1303</v>
      </c>
      <c r="AQ142" s="198"/>
      <c r="AR142" s="198"/>
    </row>
    <row r="143" spans="1:44">
      <c r="A143" s="258">
        <v>207</v>
      </c>
      <c r="B143" s="259" t="s">
        <v>25</v>
      </c>
      <c r="C143" s="259" t="s">
        <v>26</v>
      </c>
      <c r="D143" s="260" t="s">
        <v>32</v>
      </c>
      <c r="E143" s="260" t="s">
        <v>502</v>
      </c>
      <c r="F143" s="261" t="s">
        <v>619</v>
      </c>
      <c r="G143" s="261" t="s">
        <v>620</v>
      </c>
      <c r="H143" s="262" t="s">
        <v>621</v>
      </c>
      <c r="I143" s="260" t="s">
        <v>53</v>
      </c>
      <c r="J143" s="260" t="s">
        <v>38</v>
      </c>
      <c r="K143" s="260" t="s">
        <v>28</v>
      </c>
      <c r="L143" s="280" t="s">
        <v>28</v>
      </c>
      <c r="M143" s="260" t="s">
        <v>38</v>
      </c>
      <c r="N143" s="308">
        <v>0</v>
      </c>
      <c r="O143" s="260" t="s">
        <v>28</v>
      </c>
      <c r="P143" s="310">
        <v>0</v>
      </c>
      <c r="Q143" s="260" t="s">
        <v>28</v>
      </c>
      <c r="R143" s="314">
        <v>4341150000</v>
      </c>
      <c r="S143" s="263">
        <v>43070</v>
      </c>
      <c r="T143" s="309">
        <v>0</v>
      </c>
      <c r="U143" s="263" t="s">
        <v>28</v>
      </c>
      <c r="V143" s="199">
        <f t="shared" si="9"/>
        <v>0</v>
      </c>
      <c r="W143" s="260" t="s">
        <v>28</v>
      </c>
      <c r="X143" s="199">
        <f t="shared" si="10"/>
        <v>0</v>
      </c>
      <c r="Y143" s="260" t="s">
        <v>28</v>
      </c>
      <c r="Z143" s="199">
        <f t="shared" si="11"/>
        <v>4341150000</v>
      </c>
      <c r="AA143" s="263">
        <v>43070</v>
      </c>
      <c r="AB143" s="199">
        <f t="shared" si="12"/>
        <v>0</v>
      </c>
      <c r="AC143" s="263" t="s">
        <v>28</v>
      </c>
      <c r="AD143" s="261" t="s">
        <v>622</v>
      </c>
      <c r="AE143" s="264" t="s">
        <v>881</v>
      </c>
      <c r="AF143" s="265" t="s">
        <v>68</v>
      </c>
      <c r="AG143" s="266" t="s">
        <v>68</v>
      </c>
      <c r="AH143" s="267" t="s">
        <v>887</v>
      </c>
      <c r="AI143" s="21" t="s">
        <v>887</v>
      </c>
      <c r="AJ143" s="202" t="s">
        <v>1254</v>
      </c>
      <c r="AK143" s="203" t="s">
        <v>1144</v>
      </c>
      <c r="AL143" s="198"/>
      <c r="AM143" s="198" t="s">
        <v>1123</v>
      </c>
      <c r="AN143" s="198" t="s">
        <v>1124</v>
      </c>
      <c r="AO143" s="204">
        <v>1</v>
      </c>
      <c r="AP143" s="198" t="s">
        <v>1114</v>
      </c>
      <c r="AQ143" s="198"/>
      <c r="AR143" s="198"/>
    </row>
    <row r="144" spans="1:44">
      <c r="A144" s="258">
        <v>208</v>
      </c>
      <c r="B144" s="259" t="s">
        <v>25</v>
      </c>
      <c r="C144" s="259" t="s">
        <v>26</v>
      </c>
      <c r="D144" s="260" t="s">
        <v>32</v>
      </c>
      <c r="E144" s="260" t="s">
        <v>502</v>
      </c>
      <c r="F144" s="261" t="s">
        <v>623</v>
      </c>
      <c r="G144" s="261" t="s">
        <v>624</v>
      </c>
      <c r="H144" s="262" t="s">
        <v>625</v>
      </c>
      <c r="I144" s="260" t="s">
        <v>53</v>
      </c>
      <c r="J144" s="260" t="s">
        <v>38</v>
      </c>
      <c r="K144" s="260" t="s">
        <v>28</v>
      </c>
      <c r="L144" s="260" t="s">
        <v>28</v>
      </c>
      <c r="M144" s="260" t="s">
        <v>38</v>
      </c>
      <c r="N144" s="308">
        <v>0</v>
      </c>
      <c r="O144" s="260" t="s">
        <v>28</v>
      </c>
      <c r="P144" s="310">
        <v>0</v>
      </c>
      <c r="Q144" s="260" t="s">
        <v>28</v>
      </c>
      <c r="R144" s="314">
        <v>4509467411.9000006</v>
      </c>
      <c r="S144" s="263">
        <v>43300</v>
      </c>
      <c r="T144" s="309">
        <v>0</v>
      </c>
      <c r="U144" s="263" t="s">
        <v>28</v>
      </c>
      <c r="V144" s="199">
        <f t="shared" si="9"/>
        <v>0</v>
      </c>
      <c r="W144" s="260" t="s">
        <v>28</v>
      </c>
      <c r="X144" s="199">
        <f t="shared" si="10"/>
        <v>0</v>
      </c>
      <c r="Y144" s="260" t="s">
        <v>28</v>
      </c>
      <c r="Z144" s="199">
        <f t="shared" si="11"/>
        <v>4509467411.9000006</v>
      </c>
      <c r="AA144" s="263">
        <v>43300</v>
      </c>
      <c r="AB144" s="199">
        <f t="shared" si="12"/>
        <v>0</v>
      </c>
      <c r="AC144" s="263" t="s">
        <v>28</v>
      </c>
      <c r="AD144" s="261" t="s">
        <v>622</v>
      </c>
      <c r="AE144" s="264" t="s">
        <v>881</v>
      </c>
      <c r="AF144" s="265" t="s">
        <v>68</v>
      </c>
      <c r="AG144" s="266" t="s">
        <v>68</v>
      </c>
      <c r="AH144" s="267" t="s">
        <v>887</v>
      </c>
      <c r="AI144" s="21" t="s">
        <v>887</v>
      </c>
      <c r="AJ144" s="202" t="s">
        <v>1121</v>
      </c>
      <c r="AK144" s="203" t="s">
        <v>1144</v>
      </c>
      <c r="AL144" s="198"/>
      <c r="AM144" s="198" t="s">
        <v>1123</v>
      </c>
      <c r="AN144" s="198" t="s">
        <v>1124</v>
      </c>
      <c r="AO144" s="204">
        <v>1</v>
      </c>
      <c r="AP144" s="198" t="s">
        <v>1112</v>
      </c>
      <c r="AQ144" s="198"/>
      <c r="AR144" s="198"/>
    </row>
    <row r="145" spans="1:44">
      <c r="A145" s="258">
        <v>209</v>
      </c>
      <c r="B145" s="259" t="s">
        <v>25</v>
      </c>
      <c r="C145" s="259" t="s">
        <v>26</v>
      </c>
      <c r="D145" s="260" t="s">
        <v>32</v>
      </c>
      <c r="E145" s="260" t="s">
        <v>502</v>
      </c>
      <c r="F145" s="261" t="s">
        <v>626</v>
      </c>
      <c r="G145" s="261" t="s">
        <v>627</v>
      </c>
      <c r="H145" s="262" t="s">
        <v>628</v>
      </c>
      <c r="I145" s="260" t="s">
        <v>53</v>
      </c>
      <c r="J145" s="260" t="s">
        <v>38</v>
      </c>
      <c r="K145" s="260" t="s">
        <v>28</v>
      </c>
      <c r="L145" s="260" t="s">
        <v>28</v>
      </c>
      <c r="M145" s="260" t="s">
        <v>38</v>
      </c>
      <c r="N145" s="308">
        <v>0</v>
      </c>
      <c r="O145" s="260" t="s">
        <v>28</v>
      </c>
      <c r="P145" s="310">
        <v>0</v>
      </c>
      <c r="Q145" s="260" t="s">
        <v>28</v>
      </c>
      <c r="R145" s="314">
        <v>530000000.20000005</v>
      </c>
      <c r="S145" s="263">
        <v>42740</v>
      </c>
      <c r="T145" s="309">
        <v>0</v>
      </c>
      <c r="U145" s="263" t="s">
        <v>28</v>
      </c>
      <c r="V145" s="199">
        <f t="shared" si="9"/>
        <v>0</v>
      </c>
      <c r="W145" s="260" t="s">
        <v>28</v>
      </c>
      <c r="X145" s="199">
        <f t="shared" si="10"/>
        <v>0</v>
      </c>
      <c r="Y145" s="260" t="s">
        <v>28</v>
      </c>
      <c r="Z145" s="199">
        <f t="shared" si="11"/>
        <v>530000000.20000005</v>
      </c>
      <c r="AA145" s="263">
        <v>42740</v>
      </c>
      <c r="AB145" s="199">
        <f t="shared" si="12"/>
        <v>0</v>
      </c>
      <c r="AC145" s="263" t="s">
        <v>28</v>
      </c>
      <c r="AD145" s="261" t="s">
        <v>622</v>
      </c>
      <c r="AE145" s="264" t="s">
        <v>881</v>
      </c>
      <c r="AF145" s="265" t="s">
        <v>68</v>
      </c>
      <c r="AG145" s="266" t="s">
        <v>68</v>
      </c>
      <c r="AH145" s="267" t="s">
        <v>887</v>
      </c>
      <c r="AI145" s="21" t="s">
        <v>887</v>
      </c>
      <c r="AJ145" s="202" t="s">
        <v>1121</v>
      </c>
      <c r="AK145" s="203" t="s">
        <v>1144</v>
      </c>
      <c r="AL145" s="198"/>
      <c r="AM145" s="198" t="s">
        <v>1123</v>
      </c>
      <c r="AN145" s="198" t="s">
        <v>1124</v>
      </c>
      <c r="AO145" s="204">
        <v>1</v>
      </c>
      <c r="AP145" s="198" t="s">
        <v>1112</v>
      </c>
      <c r="AQ145" s="198"/>
      <c r="AR145" s="198"/>
    </row>
    <row r="146" spans="1:44">
      <c r="A146" s="258">
        <v>210</v>
      </c>
      <c r="B146" s="259" t="s">
        <v>25</v>
      </c>
      <c r="C146" s="259" t="s">
        <v>26</v>
      </c>
      <c r="D146" s="260" t="s">
        <v>32</v>
      </c>
      <c r="E146" s="260" t="s">
        <v>502</v>
      </c>
      <c r="F146" s="261" t="s">
        <v>629</v>
      </c>
      <c r="G146" s="261" t="s">
        <v>630</v>
      </c>
      <c r="H146" s="262" t="s">
        <v>631</v>
      </c>
      <c r="I146" s="260" t="s">
        <v>53</v>
      </c>
      <c r="J146" s="260" t="s">
        <v>38</v>
      </c>
      <c r="K146" s="260" t="s">
        <v>28</v>
      </c>
      <c r="L146" s="260" t="s">
        <v>28</v>
      </c>
      <c r="M146" s="260" t="s">
        <v>38</v>
      </c>
      <c r="N146" s="308">
        <v>0</v>
      </c>
      <c r="O146" s="260" t="s">
        <v>28</v>
      </c>
      <c r="P146" s="310">
        <v>0</v>
      </c>
      <c r="Q146" s="260" t="s">
        <v>28</v>
      </c>
      <c r="R146" s="314">
        <v>852500000.00000012</v>
      </c>
      <c r="S146" s="263">
        <v>42914</v>
      </c>
      <c r="T146" s="309">
        <v>0</v>
      </c>
      <c r="U146" s="263" t="s">
        <v>28</v>
      </c>
      <c r="V146" s="199">
        <f t="shared" si="9"/>
        <v>0</v>
      </c>
      <c r="W146" s="260" t="s">
        <v>28</v>
      </c>
      <c r="X146" s="199">
        <f t="shared" si="10"/>
        <v>0</v>
      </c>
      <c r="Y146" s="260" t="s">
        <v>28</v>
      </c>
      <c r="Z146" s="199">
        <f t="shared" si="11"/>
        <v>852500000.00000012</v>
      </c>
      <c r="AA146" s="263">
        <v>42914</v>
      </c>
      <c r="AB146" s="199">
        <f t="shared" si="12"/>
        <v>0</v>
      </c>
      <c r="AC146" s="263" t="s">
        <v>28</v>
      </c>
      <c r="AD146" s="261" t="s">
        <v>622</v>
      </c>
      <c r="AE146" s="264" t="s">
        <v>881</v>
      </c>
      <c r="AF146" s="265" t="s">
        <v>68</v>
      </c>
      <c r="AG146" s="266" t="s">
        <v>68</v>
      </c>
      <c r="AH146" s="267" t="s">
        <v>887</v>
      </c>
      <c r="AI146" s="21" t="s">
        <v>887</v>
      </c>
      <c r="AJ146" s="202" t="s">
        <v>1121</v>
      </c>
      <c r="AK146" s="203" t="s">
        <v>1144</v>
      </c>
      <c r="AL146" s="198"/>
      <c r="AM146" s="198" t="s">
        <v>1123</v>
      </c>
      <c r="AN146" s="198" t="s">
        <v>1124</v>
      </c>
      <c r="AO146" s="204">
        <v>1</v>
      </c>
      <c r="AP146" s="198" t="s">
        <v>1112</v>
      </c>
      <c r="AQ146" s="198"/>
      <c r="AR146" s="198"/>
    </row>
    <row r="147" spans="1:44">
      <c r="A147" s="258">
        <v>211</v>
      </c>
      <c r="B147" s="259" t="s">
        <v>25</v>
      </c>
      <c r="C147" s="259" t="s">
        <v>26</v>
      </c>
      <c r="D147" s="260" t="s">
        <v>32</v>
      </c>
      <c r="E147" s="260" t="s">
        <v>502</v>
      </c>
      <c r="F147" s="261" t="s">
        <v>632</v>
      </c>
      <c r="G147" s="261" t="s">
        <v>633</v>
      </c>
      <c r="H147" s="262" t="s">
        <v>634</v>
      </c>
      <c r="I147" s="260" t="s">
        <v>53</v>
      </c>
      <c r="J147" s="260" t="s">
        <v>38</v>
      </c>
      <c r="K147" s="260" t="s">
        <v>28</v>
      </c>
      <c r="L147" s="260" t="s">
        <v>28</v>
      </c>
      <c r="M147" s="260" t="s">
        <v>38</v>
      </c>
      <c r="N147" s="308">
        <v>0</v>
      </c>
      <c r="O147" s="260" t="s">
        <v>28</v>
      </c>
      <c r="P147" s="310">
        <v>0</v>
      </c>
      <c r="Q147" s="260" t="s">
        <v>28</v>
      </c>
      <c r="R147" s="314">
        <v>322080000</v>
      </c>
      <c r="S147" s="263">
        <v>42916</v>
      </c>
      <c r="T147" s="309">
        <v>0</v>
      </c>
      <c r="U147" s="263" t="s">
        <v>28</v>
      </c>
      <c r="V147" s="199">
        <f t="shared" si="9"/>
        <v>0</v>
      </c>
      <c r="W147" s="260" t="s">
        <v>28</v>
      </c>
      <c r="X147" s="199">
        <f t="shared" si="10"/>
        <v>0</v>
      </c>
      <c r="Y147" s="260" t="s">
        <v>28</v>
      </c>
      <c r="Z147" s="199">
        <f t="shared" si="11"/>
        <v>322080000</v>
      </c>
      <c r="AA147" s="263">
        <v>42916</v>
      </c>
      <c r="AB147" s="199">
        <f t="shared" si="12"/>
        <v>0</v>
      </c>
      <c r="AC147" s="263" t="s">
        <v>28</v>
      </c>
      <c r="AD147" s="261" t="s">
        <v>622</v>
      </c>
      <c r="AE147" s="264" t="s">
        <v>881</v>
      </c>
      <c r="AF147" s="265" t="s">
        <v>68</v>
      </c>
      <c r="AG147" s="266" t="s">
        <v>68</v>
      </c>
      <c r="AH147" s="267" t="s">
        <v>887</v>
      </c>
      <c r="AI147" s="21" t="s">
        <v>887</v>
      </c>
      <c r="AJ147" s="202" t="s">
        <v>1121</v>
      </c>
      <c r="AK147" s="203" t="s">
        <v>1144</v>
      </c>
      <c r="AL147" s="198"/>
      <c r="AM147" s="198" t="s">
        <v>1123</v>
      </c>
      <c r="AN147" s="198" t="s">
        <v>1124</v>
      </c>
      <c r="AO147" s="204">
        <v>1</v>
      </c>
      <c r="AP147" s="198" t="s">
        <v>1112</v>
      </c>
      <c r="AQ147" s="198"/>
      <c r="AR147" s="198"/>
    </row>
    <row r="148" spans="1:44">
      <c r="A148" s="258">
        <v>212</v>
      </c>
      <c r="B148" s="259" t="s">
        <v>25</v>
      </c>
      <c r="C148" s="259" t="s">
        <v>26</v>
      </c>
      <c r="D148" s="260" t="s">
        <v>32</v>
      </c>
      <c r="E148" s="260" t="s">
        <v>502</v>
      </c>
      <c r="F148" s="261" t="s">
        <v>635</v>
      </c>
      <c r="G148" s="261" t="s">
        <v>636</v>
      </c>
      <c r="H148" s="262" t="s">
        <v>637</v>
      </c>
      <c r="I148" s="260" t="s">
        <v>53</v>
      </c>
      <c r="J148" s="260" t="s">
        <v>38</v>
      </c>
      <c r="K148" s="260" t="s">
        <v>28</v>
      </c>
      <c r="L148" s="260" t="s">
        <v>28</v>
      </c>
      <c r="M148" s="260" t="s">
        <v>38</v>
      </c>
      <c r="N148" s="308">
        <v>0</v>
      </c>
      <c r="O148" s="260" t="s">
        <v>28</v>
      </c>
      <c r="P148" s="310">
        <v>0</v>
      </c>
      <c r="Q148" s="260" t="s">
        <v>28</v>
      </c>
      <c r="R148" s="314">
        <v>283922100</v>
      </c>
      <c r="S148" s="263">
        <v>42716</v>
      </c>
      <c r="T148" s="309">
        <v>0</v>
      </c>
      <c r="U148" s="263" t="s">
        <v>28</v>
      </c>
      <c r="V148" s="199">
        <f t="shared" si="9"/>
        <v>0</v>
      </c>
      <c r="W148" s="260" t="s">
        <v>28</v>
      </c>
      <c r="X148" s="199">
        <f t="shared" si="10"/>
        <v>0</v>
      </c>
      <c r="Y148" s="260" t="s">
        <v>28</v>
      </c>
      <c r="Z148" s="199">
        <f t="shared" si="11"/>
        <v>283922100</v>
      </c>
      <c r="AA148" s="263">
        <v>42716</v>
      </c>
      <c r="AB148" s="199">
        <f t="shared" si="12"/>
        <v>0</v>
      </c>
      <c r="AC148" s="263" t="s">
        <v>28</v>
      </c>
      <c r="AD148" s="261" t="s">
        <v>622</v>
      </c>
      <c r="AE148" s="264" t="s">
        <v>881</v>
      </c>
      <c r="AF148" s="265" t="s">
        <v>68</v>
      </c>
      <c r="AG148" s="266" t="s">
        <v>68</v>
      </c>
      <c r="AH148" s="267" t="s">
        <v>887</v>
      </c>
      <c r="AI148" s="21" t="s">
        <v>887</v>
      </c>
      <c r="AJ148" s="202" t="s">
        <v>1121</v>
      </c>
      <c r="AK148" s="203" t="s">
        <v>1144</v>
      </c>
      <c r="AL148" s="198"/>
      <c r="AM148" s="198" t="s">
        <v>1123</v>
      </c>
      <c r="AN148" s="198" t="s">
        <v>1124</v>
      </c>
      <c r="AO148" s="204">
        <v>1</v>
      </c>
      <c r="AP148" s="198" t="s">
        <v>1112</v>
      </c>
      <c r="AQ148" s="198"/>
      <c r="AR148" s="198"/>
    </row>
    <row r="149" spans="1:44">
      <c r="A149" s="258">
        <v>213</v>
      </c>
      <c r="B149" s="259" t="s">
        <v>25</v>
      </c>
      <c r="C149" s="259" t="s">
        <v>26</v>
      </c>
      <c r="D149" s="260" t="s">
        <v>32</v>
      </c>
      <c r="E149" s="260" t="s">
        <v>502</v>
      </c>
      <c r="F149" s="261" t="s">
        <v>638</v>
      </c>
      <c r="G149" s="261" t="s">
        <v>639</v>
      </c>
      <c r="H149" s="262" t="s">
        <v>640</v>
      </c>
      <c r="I149" s="260" t="s">
        <v>125</v>
      </c>
      <c r="J149" s="260" t="s">
        <v>38</v>
      </c>
      <c r="K149" s="260" t="s">
        <v>28</v>
      </c>
      <c r="L149" s="260" t="s">
        <v>28</v>
      </c>
      <c r="M149" s="260" t="s">
        <v>38</v>
      </c>
      <c r="N149" s="308">
        <v>0</v>
      </c>
      <c r="O149" s="260" t="s">
        <v>28</v>
      </c>
      <c r="P149" s="310">
        <v>0</v>
      </c>
      <c r="Q149" s="260" t="s">
        <v>28</v>
      </c>
      <c r="R149" s="314">
        <v>2099051900.0000002</v>
      </c>
      <c r="S149" s="263">
        <v>42818</v>
      </c>
      <c r="T149" s="309">
        <v>0</v>
      </c>
      <c r="U149" s="263" t="s">
        <v>28</v>
      </c>
      <c r="V149" s="199">
        <f t="shared" si="9"/>
        <v>0</v>
      </c>
      <c r="W149" s="260" t="s">
        <v>28</v>
      </c>
      <c r="X149" s="199">
        <f t="shared" si="10"/>
        <v>0</v>
      </c>
      <c r="Y149" s="260" t="s">
        <v>28</v>
      </c>
      <c r="Z149" s="199">
        <f t="shared" si="11"/>
        <v>2099051900.0000002</v>
      </c>
      <c r="AA149" s="263">
        <v>42818</v>
      </c>
      <c r="AB149" s="199">
        <f t="shared" si="12"/>
        <v>0</v>
      </c>
      <c r="AC149" s="263" t="s">
        <v>28</v>
      </c>
      <c r="AD149" s="261" t="s">
        <v>622</v>
      </c>
      <c r="AE149" s="264" t="s">
        <v>881</v>
      </c>
      <c r="AF149" s="265" t="s">
        <v>68</v>
      </c>
      <c r="AG149" s="266" t="s">
        <v>68</v>
      </c>
      <c r="AH149" s="267" t="s">
        <v>887</v>
      </c>
      <c r="AI149" s="21" t="s">
        <v>887</v>
      </c>
      <c r="AJ149" s="202" t="s">
        <v>1121</v>
      </c>
      <c r="AK149" s="203" t="s">
        <v>1144</v>
      </c>
      <c r="AL149" s="198"/>
      <c r="AM149" s="198" t="s">
        <v>1123</v>
      </c>
      <c r="AN149" s="198" t="s">
        <v>1124</v>
      </c>
      <c r="AO149" s="204">
        <v>1</v>
      </c>
      <c r="AP149" s="198" t="s">
        <v>1112</v>
      </c>
      <c r="AQ149" s="198"/>
      <c r="AR149" s="198"/>
    </row>
    <row r="150" spans="1:44">
      <c r="A150" s="258">
        <v>214</v>
      </c>
      <c r="B150" s="259" t="s">
        <v>25</v>
      </c>
      <c r="C150" s="259" t="s">
        <v>26</v>
      </c>
      <c r="D150" s="260" t="s">
        <v>32</v>
      </c>
      <c r="E150" s="260" t="s">
        <v>502</v>
      </c>
      <c r="F150" s="261" t="s">
        <v>641</v>
      </c>
      <c r="G150" s="261" t="s">
        <v>642</v>
      </c>
      <c r="H150" s="262" t="s">
        <v>643</v>
      </c>
      <c r="I150" s="260" t="s">
        <v>118</v>
      </c>
      <c r="J150" s="260" t="s">
        <v>38</v>
      </c>
      <c r="K150" s="260" t="s">
        <v>28</v>
      </c>
      <c r="L150" s="260" t="s">
        <v>28</v>
      </c>
      <c r="M150" s="260" t="s">
        <v>38</v>
      </c>
      <c r="N150" s="308">
        <v>0</v>
      </c>
      <c r="O150" s="260" t="s">
        <v>28</v>
      </c>
      <c r="P150" s="310">
        <v>0</v>
      </c>
      <c r="Q150" s="260" t="s">
        <v>28</v>
      </c>
      <c r="R150" s="314">
        <v>19026999999.700001</v>
      </c>
      <c r="S150" s="263">
        <v>45068</v>
      </c>
      <c r="T150" s="309">
        <v>0</v>
      </c>
      <c r="U150" s="263" t="s">
        <v>28</v>
      </c>
      <c r="V150" s="199">
        <f t="shared" si="9"/>
        <v>0</v>
      </c>
      <c r="W150" s="260" t="s">
        <v>28</v>
      </c>
      <c r="X150" s="199">
        <f t="shared" si="10"/>
        <v>0</v>
      </c>
      <c r="Y150" s="260" t="s">
        <v>28</v>
      </c>
      <c r="Z150" s="199">
        <f t="shared" si="11"/>
        <v>19026999999.700001</v>
      </c>
      <c r="AA150" s="263">
        <v>45068</v>
      </c>
      <c r="AB150" s="199">
        <f t="shared" si="12"/>
        <v>0</v>
      </c>
      <c r="AC150" s="263" t="s">
        <v>28</v>
      </c>
      <c r="AD150" s="261" t="s">
        <v>622</v>
      </c>
      <c r="AE150" s="264" t="s">
        <v>881</v>
      </c>
      <c r="AF150" s="265" t="s">
        <v>68</v>
      </c>
      <c r="AG150" s="266" t="s">
        <v>68</v>
      </c>
      <c r="AH150" s="267" t="s">
        <v>887</v>
      </c>
      <c r="AI150" s="21" t="s">
        <v>887</v>
      </c>
      <c r="AJ150" s="202" t="s">
        <v>1121</v>
      </c>
      <c r="AK150" s="203" t="s">
        <v>1144</v>
      </c>
      <c r="AL150" s="198"/>
      <c r="AM150" s="198" t="s">
        <v>1123</v>
      </c>
      <c r="AN150" s="198" t="s">
        <v>1124</v>
      </c>
      <c r="AO150" s="204">
        <v>1</v>
      </c>
      <c r="AP150" s="198" t="s">
        <v>1112</v>
      </c>
      <c r="AQ150" s="198"/>
      <c r="AR150" s="198"/>
    </row>
    <row r="151" spans="1:44">
      <c r="A151" s="258">
        <v>215</v>
      </c>
      <c r="B151" s="259" t="s">
        <v>25</v>
      </c>
      <c r="C151" s="259" t="s">
        <v>26</v>
      </c>
      <c r="D151" s="260" t="s">
        <v>32</v>
      </c>
      <c r="E151" s="260" t="s">
        <v>502</v>
      </c>
      <c r="F151" s="261" t="s">
        <v>644</v>
      </c>
      <c r="G151" s="261" t="s">
        <v>645</v>
      </c>
      <c r="H151" s="262" t="s">
        <v>646</v>
      </c>
      <c r="I151" s="260" t="s">
        <v>53</v>
      </c>
      <c r="J151" s="260" t="s">
        <v>38</v>
      </c>
      <c r="K151" s="260" t="s">
        <v>28</v>
      </c>
      <c r="L151" s="260" t="s">
        <v>28</v>
      </c>
      <c r="M151" s="260" t="s">
        <v>38</v>
      </c>
      <c r="N151" s="308">
        <v>0</v>
      </c>
      <c r="O151" s="260" t="s">
        <v>28</v>
      </c>
      <c r="P151" s="310">
        <v>0</v>
      </c>
      <c r="Q151" s="260" t="s">
        <v>28</v>
      </c>
      <c r="R151" s="314">
        <v>576457310</v>
      </c>
      <c r="S151" s="263">
        <v>42640</v>
      </c>
      <c r="T151" s="309">
        <v>0</v>
      </c>
      <c r="U151" s="263" t="s">
        <v>28</v>
      </c>
      <c r="V151" s="199">
        <f t="shared" si="9"/>
        <v>0</v>
      </c>
      <c r="W151" s="260" t="s">
        <v>28</v>
      </c>
      <c r="X151" s="199">
        <f t="shared" si="10"/>
        <v>0</v>
      </c>
      <c r="Y151" s="260" t="s">
        <v>28</v>
      </c>
      <c r="Z151" s="199">
        <f t="shared" si="11"/>
        <v>576457310</v>
      </c>
      <c r="AA151" s="263">
        <v>42640</v>
      </c>
      <c r="AB151" s="199">
        <f t="shared" si="12"/>
        <v>0</v>
      </c>
      <c r="AC151" s="263" t="s">
        <v>28</v>
      </c>
      <c r="AD151" s="261" t="s">
        <v>622</v>
      </c>
      <c r="AE151" s="264" t="s">
        <v>881</v>
      </c>
      <c r="AF151" s="265" t="s">
        <v>68</v>
      </c>
      <c r="AG151" s="266" t="s">
        <v>68</v>
      </c>
      <c r="AH151" s="267" t="s">
        <v>887</v>
      </c>
      <c r="AI151" s="21" t="s">
        <v>887</v>
      </c>
      <c r="AJ151" s="202" t="s">
        <v>1121</v>
      </c>
      <c r="AK151" s="203" t="s">
        <v>1144</v>
      </c>
      <c r="AL151" s="198"/>
      <c r="AM151" s="198" t="s">
        <v>1123</v>
      </c>
      <c r="AN151" s="198" t="s">
        <v>1124</v>
      </c>
      <c r="AO151" s="204">
        <v>1</v>
      </c>
      <c r="AP151" s="198" t="s">
        <v>1112</v>
      </c>
      <c r="AQ151" s="198"/>
      <c r="AR151" s="198"/>
    </row>
    <row r="152" spans="1:44">
      <c r="A152" s="258">
        <v>227</v>
      </c>
      <c r="B152" s="259" t="s">
        <v>25</v>
      </c>
      <c r="C152" s="259" t="s">
        <v>26</v>
      </c>
      <c r="D152" s="260" t="s">
        <v>32</v>
      </c>
      <c r="E152" s="260" t="s">
        <v>502</v>
      </c>
      <c r="F152" s="261" t="s">
        <v>669</v>
      </c>
      <c r="G152" s="261" t="s">
        <v>670</v>
      </c>
      <c r="H152" s="262" t="s">
        <v>671</v>
      </c>
      <c r="I152" s="260" t="s">
        <v>118</v>
      </c>
      <c r="J152" s="260" t="s">
        <v>38</v>
      </c>
      <c r="K152" s="260" t="s">
        <v>28</v>
      </c>
      <c r="L152" s="260" t="s">
        <v>28</v>
      </c>
      <c r="M152" s="260" t="s">
        <v>38</v>
      </c>
      <c r="N152" s="308">
        <v>0</v>
      </c>
      <c r="O152" s="260" t="s">
        <v>28</v>
      </c>
      <c r="P152" s="310">
        <v>0</v>
      </c>
      <c r="Q152" s="260" t="s">
        <v>28</v>
      </c>
      <c r="R152" s="310">
        <v>1400000074</v>
      </c>
      <c r="S152" s="263">
        <v>43616</v>
      </c>
      <c r="T152" s="309">
        <v>0</v>
      </c>
      <c r="U152" s="263" t="s">
        <v>28</v>
      </c>
      <c r="V152" s="199">
        <f t="shared" si="9"/>
        <v>0</v>
      </c>
      <c r="W152" s="260" t="s">
        <v>28</v>
      </c>
      <c r="X152" s="199">
        <f t="shared" si="10"/>
        <v>0</v>
      </c>
      <c r="Y152" s="260" t="s">
        <v>28</v>
      </c>
      <c r="Z152" s="199">
        <f t="shared" si="11"/>
        <v>1400000074</v>
      </c>
      <c r="AA152" s="263">
        <v>43616</v>
      </c>
      <c r="AB152" s="199">
        <f t="shared" si="12"/>
        <v>0</v>
      </c>
      <c r="AC152" s="263" t="s">
        <v>28</v>
      </c>
      <c r="AD152" s="261" t="s">
        <v>622</v>
      </c>
      <c r="AE152" s="264" t="s">
        <v>881</v>
      </c>
      <c r="AF152" s="265" t="s">
        <v>68</v>
      </c>
      <c r="AG152" s="266" t="s">
        <v>68</v>
      </c>
      <c r="AH152" s="267" t="s">
        <v>887</v>
      </c>
      <c r="AI152" s="21" t="s">
        <v>887</v>
      </c>
      <c r="AJ152" s="202" t="s">
        <v>1121</v>
      </c>
      <c r="AK152" s="203" t="s">
        <v>1144</v>
      </c>
      <c r="AL152" s="198"/>
      <c r="AM152" s="198" t="s">
        <v>1123</v>
      </c>
      <c r="AN152" s="198" t="s">
        <v>1124</v>
      </c>
      <c r="AO152" s="204">
        <v>1</v>
      </c>
      <c r="AP152" s="198" t="s">
        <v>1112</v>
      </c>
      <c r="AQ152" s="198"/>
      <c r="AR152" s="198"/>
    </row>
    <row r="153" spans="1:44">
      <c r="A153" s="258">
        <v>229</v>
      </c>
      <c r="B153" s="259" t="s">
        <v>25</v>
      </c>
      <c r="C153" s="259" t="s">
        <v>26</v>
      </c>
      <c r="D153" s="260" t="s">
        <v>32</v>
      </c>
      <c r="E153" s="260" t="s">
        <v>502</v>
      </c>
      <c r="F153" s="261" t="s">
        <v>674</v>
      </c>
      <c r="G153" s="261" t="s">
        <v>675</v>
      </c>
      <c r="H153" s="262" t="s">
        <v>676</v>
      </c>
      <c r="I153" s="260" t="s">
        <v>118</v>
      </c>
      <c r="J153" s="260" t="s">
        <v>38</v>
      </c>
      <c r="K153" s="260" t="s">
        <v>28</v>
      </c>
      <c r="L153" s="260" t="s">
        <v>28</v>
      </c>
      <c r="M153" s="260" t="s">
        <v>38</v>
      </c>
      <c r="N153" s="308">
        <v>0</v>
      </c>
      <c r="O153" s="260" t="s">
        <v>28</v>
      </c>
      <c r="P153" s="310">
        <v>0</v>
      </c>
      <c r="Q153" s="260" t="s">
        <v>28</v>
      </c>
      <c r="R153" s="310">
        <v>2072291710.5000002</v>
      </c>
      <c r="S153" s="263">
        <v>43522</v>
      </c>
      <c r="T153" s="309">
        <v>0</v>
      </c>
      <c r="U153" s="263" t="s">
        <v>28</v>
      </c>
      <c r="V153" s="199">
        <f t="shared" si="9"/>
        <v>0</v>
      </c>
      <c r="W153" s="260" t="s">
        <v>28</v>
      </c>
      <c r="X153" s="199">
        <f t="shared" si="10"/>
        <v>0</v>
      </c>
      <c r="Y153" s="260" t="s">
        <v>28</v>
      </c>
      <c r="Z153" s="199">
        <f t="shared" si="11"/>
        <v>2072291710.5000002</v>
      </c>
      <c r="AA153" s="263">
        <v>43522</v>
      </c>
      <c r="AB153" s="199">
        <f t="shared" si="12"/>
        <v>0</v>
      </c>
      <c r="AC153" s="263" t="s">
        <v>28</v>
      </c>
      <c r="AD153" s="261" t="s">
        <v>622</v>
      </c>
      <c r="AE153" s="264" t="s">
        <v>881</v>
      </c>
      <c r="AF153" s="265" t="s">
        <v>68</v>
      </c>
      <c r="AG153" s="266" t="s">
        <v>68</v>
      </c>
      <c r="AH153" s="267" t="s">
        <v>887</v>
      </c>
      <c r="AI153" s="21" t="s">
        <v>887</v>
      </c>
      <c r="AJ153" s="202" t="s">
        <v>1121</v>
      </c>
      <c r="AK153" s="203" t="s">
        <v>1144</v>
      </c>
      <c r="AL153" s="198"/>
      <c r="AM153" s="198" t="s">
        <v>1123</v>
      </c>
      <c r="AN153" s="198" t="s">
        <v>1124</v>
      </c>
      <c r="AO153" s="204">
        <v>1</v>
      </c>
      <c r="AP153" s="198" t="s">
        <v>1112</v>
      </c>
      <c r="AQ153" s="198"/>
      <c r="AR153" s="198"/>
    </row>
    <row r="154" spans="1:44">
      <c r="A154" s="258">
        <v>230</v>
      </c>
      <c r="B154" s="259" t="s">
        <v>25</v>
      </c>
      <c r="C154" s="259" t="s">
        <v>26</v>
      </c>
      <c r="D154" s="260" t="s">
        <v>32</v>
      </c>
      <c r="E154" s="260" t="s">
        <v>502</v>
      </c>
      <c r="F154" s="261" t="s">
        <v>677</v>
      </c>
      <c r="G154" s="261" t="s">
        <v>678</v>
      </c>
      <c r="H154" s="262" t="s">
        <v>679</v>
      </c>
      <c r="I154" s="260" t="s">
        <v>118</v>
      </c>
      <c r="J154" s="260" t="s">
        <v>38</v>
      </c>
      <c r="K154" s="260" t="s">
        <v>28</v>
      </c>
      <c r="L154" s="260" t="s">
        <v>28</v>
      </c>
      <c r="M154" s="260" t="s">
        <v>38</v>
      </c>
      <c r="N154" s="308">
        <v>0</v>
      </c>
      <c r="O154" s="260" t="s">
        <v>28</v>
      </c>
      <c r="P154" s="310">
        <v>0</v>
      </c>
      <c r="Q154" s="260" t="s">
        <v>28</v>
      </c>
      <c r="R154" s="310">
        <v>268693539.40000004</v>
      </c>
      <c r="S154" s="263">
        <v>43522</v>
      </c>
      <c r="T154" s="309">
        <v>0</v>
      </c>
      <c r="U154" s="263" t="s">
        <v>28</v>
      </c>
      <c r="V154" s="199">
        <f t="shared" si="9"/>
        <v>0</v>
      </c>
      <c r="W154" s="260" t="s">
        <v>28</v>
      </c>
      <c r="X154" s="199">
        <f t="shared" si="10"/>
        <v>0</v>
      </c>
      <c r="Y154" s="260" t="s">
        <v>28</v>
      </c>
      <c r="Z154" s="199">
        <f t="shared" si="11"/>
        <v>268693539.40000004</v>
      </c>
      <c r="AA154" s="263">
        <v>43522</v>
      </c>
      <c r="AB154" s="199">
        <f t="shared" si="12"/>
        <v>0</v>
      </c>
      <c r="AC154" s="263" t="s">
        <v>28</v>
      </c>
      <c r="AD154" s="261" t="s">
        <v>622</v>
      </c>
      <c r="AE154" s="264" t="s">
        <v>881</v>
      </c>
      <c r="AF154" s="265" t="s">
        <v>68</v>
      </c>
      <c r="AG154" s="266" t="s">
        <v>68</v>
      </c>
      <c r="AH154" s="267" t="s">
        <v>887</v>
      </c>
      <c r="AI154" s="21" t="s">
        <v>887</v>
      </c>
      <c r="AJ154" s="202" t="s">
        <v>1121</v>
      </c>
      <c r="AK154" s="203" t="s">
        <v>1144</v>
      </c>
      <c r="AL154" s="198"/>
      <c r="AM154" s="198" t="s">
        <v>1123</v>
      </c>
      <c r="AN154" s="198" t="s">
        <v>1124</v>
      </c>
      <c r="AO154" s="204">
        <v>1</v>
      </c>
      <c r="AP154" s="198" t="s">
        <v>1112</v>
      </c>
      <c r="AQ154" s="198"/>
      <c r="AR154" s="198"/>
    </row>
    <row r="155" spans="1:44">
      <c r="A155" s="258">
        <v>235</v>
      </c>
      <c r="B155" s="259" t="s">
        <v>25</v>
      </c>
      <c r="C155" s="259" t="s">
        <v>26</v>
      </c>
      <c r="D155" s="260" t="s">
        <v>32</v>
      </c>
      <c r="E155" s="260" t="s">
        <v>502</v>
      </c>
      <c r="F155" s="261" t="s">
        <v>688</v>
      </c>
      <c r="G155" s="261" t="s">
        <v>689</v>
      </c>
      <c r="H155" s="262" t="s">
        <v>690</v>
      </c>
      <c r="I155" s="260" t="s">
        <v>118</v>
      </c>
      <c r="J155" s="260" t="s">
        <v>38</v>
      </c>
      <c r="K155" s="260" t="s">
        <v>28</v>
      </c>
      <c r="L155" s="260" t="s">
        <v>28</v>
      </c>
      <c r="M155" s="260" t="s">
        <v>38</v>
      </c>
      <c r="N155" s="308">
        <v>0</v>
      </c>
      <c r="O155" s="260" t="s">
        <v>28</v>
      </c>
      <c r="P155" s="310">
        <v>0</v>
      </c>
      <c r="Q155" s="260" t="s">
        <v>28</v>
      </c>
      <c r="R155" s="310">
        <v>1445948900</v>
      </c>
      <c r="S155" s="263">
        <v>43592</v>
      </c>
      <c r="T155" s="309">
        <v>0</v>
      </c>
      <c r="U155" s="263" t="s">
        <v>28</v>
      </c>
      <c r="V155" s="199">
        <f t="shared" si="9"/>
        <v>0</v>
      </c>
      <c r="W155" s="260" t="s">
        <v>28</v>
      </c>
      <c r="X155" s="199">
        <f t="shared" si="10"/>
        <v>0</v>
      </c>
      <c r="Y155" s="260" t="s">
        <v>28</v>
      </c>
      <c r="Z155" s="199">
        <f t="shared" si="11"/>
        <v>1445948900</v>
      </c>
      <c r="AA155" s="263">
        <v>43592</v>
      </c>
      <c r="AB155" s="199">
        <f t="shared" si="12"/>
        <v>0</v>
      </c>
      <c r="AC155" s="263" t="s">
        <v>28</v>
      </c>
      <c r="AD155" s="261" t="s">
        <v>622</v>
      </c>
      <c r="AE155" s="264" t="s">
        <v>881</v>
      </c>
      <c r="AF155" s="265" t="s">
        <v>68</v>
      </c>
      <c r="AG155" s="266" t="s">
        <v>68</v>
      </c>
      <c r="AH155" s="267" t="s">
        <v>887</v>
      </c>
      <c r="AI155" s="21" t="s">
        <v>887</v>
      </c>
      <c r="AJ155" s="202" t="s">
        <v>1121</v>
      </c>
      <c r="AK155" s="203" t="s">
        <v>1144</v>
      </c>
      <c r="AL155" s="198"/>
      <c r="AM155" s="198" t="s">
        <v>1123</v>
      </c>
      <c r="AN155" s="198" t="s">
        <v>1124</v>
      </c>
      <c r="AO155" s="204">
        <v>1</v>
      </c>
      <c r="AP155" s="198" t="s">
        <v>1112</v>
      </c>
      <c r="AQ155" s="198"/>
      <c r="AR155" s="198"/>
    </row>
    <row r="156" spans="1:44">
      <c r="A156" s="258">
        <v>237</v>
      </c>
      <c r="B156" s="259" t="s">
        <v>25</v>
      </c>
      <c r="C156" s="259" t="s">
        <v>26</v>
      </c>
      <c r="D156" s="260" t="s">
        <v>32</v>
      </c>
      <c r="E156" s="260" t="s">
        <v>502</v>
      </c>
      <c r="F156" s="261" t="s">
        <v>693</v>
      </c>
      <c r="G156" s="261" t="s">
        <v>694</v>
      </c>
      <c r="H156" s="262" t="s">
        <v>695</v>
      </c>
      <c r="I156" s="260" t="s">
        <v>28</v>
      </c>
      <c r="J156" s="260" t="s">
        <v>28</v>
      </c>
      <c r="K156" s="260" t="s">
        <v>28</v>
      </c>
      <c r="L156" s="260" t="s">
        <v>28</v>
      </c>
      <c r="M156" s="260" t="s">
        <v>28</v>
      </c>
      <c r="N156" s="308">
        <v>0</v>
      </c>
      <c r="O156" s="260" t="s">
        <v>28</v>
      </c>
      <c r="P156" s="310">
        <v>0</v>
      </c>
      <c r="Q156" s="260" t="s">
        <v>28</v>
      </c>
      <c r="R156" s="308">
        <v>11882310000.000002</v>
      </c>
      <c r="S156" s="263">
        <v>45195</v>
      </c>
      <c r="T156" s="309">
        <v>0</v>
      </c>
      <c r="U156" s="263" t="s">
        <v>28</v>
      </c>
      <c r="V156" s="199">
        <f t="shared" si="9"/>
        <v>0</v>
      </c>
      <c r="W156" s="260" t="s">
        <v>28</v>
      </c>
      <c r="X156" s="199">
        <f t="shared" si="10"/>
        <v>0</v>
      </c>
      <c r="Y156" s="260" t="s">
        <v>28</v>
      </c>
      <c r="Z156" s="199">
        <f t="shared" si="11"/>
        <v>11882310000.000002</v>
      </c>
      <c r="AA156" s="263">
        <v>45195</v>
      </c>
      <c r="AB156" s="199">
        <f t="shared" si="12"/>
        <v>0</v>
      </c>
      <c r="AC156" s="263" t="s">
        <v>28</v>
      </c>
      <c r="AD156" s="261" t="s">
        <v>506</v>
      </c>
      <c r="AE156" s="264" t="s">
        <v>881</v>
      </c>
      <c r="AF156" s="265" t="s">
        <v>887</v>
      </c>
      <c r="AG156" s="266" t="s">
        <v>68</v>
      </c>
      <c r="AH156" s="267" t="s">
        <v>887</v>
      </c>
      <c r="AI156" s="21" t="s">
        <v>887</v>
      </c>
      <c r="AJ156" s="202" t="s">
        <v>1233</v>
      </c>
      <c r="AK156" s="203" t="s">
        <v>1234</v>
      </c>
      <c r="AL156" s="198" t="s">
        <v>1274</v>
      </c>
      <c r="AM156" s="198" t="s">
        <v>1275</v>
      </c>
      <c r="AN156" s="198" t="s">
        <v>1276</v>
      </c>
      <c r="AO156" s="204">
        <v>1</v>
      </c>
      <c r="AP156" s="198" t="s">
        <v>1238</v>
      </c>
      <c r="AQ156" s="198"/>
      <c r="AR156" s="198"/>
    </row>
    <row r="157" spans="1:44">
      <c r="A157" s="232">
        <v>238</v>
      </c>
      <c r="B157" s="233" t="s">
        <v>25</v>
      </c>
      <c r="C157" s="233" t="s">
        <v>26</v>
      </c>
      <c r="D157" s="234" t="s">
        <v>32</v>
      </c>
      <c r="E157" s="281" t="s">
        <v>696</v>
      </c>
      <c r="F157" s="235" t="s">
        <v>697</v>
      </c>
      <c r="G157" s="235" t="s">
        <v>698</v>
      </c>
      <c r="H157" s="236" t="s">
        <v>699</v>
      </c>
      <c r="I157" s="234" t="s">
        <v>53</v>
      </c>
      <c r="J157" s="234" t="s">
        <v>38</v>
      </c>
      <c r="K157" s="234" t="s">
        <v>28</v>
      </c>
      <c r="L157" s="234" t="s">
        <v>28</v>
      </c>
      <c r="M157" s="234" t="s">
        <v>38</v>
      </c>
      <c r="N157" s="297">
        <v>15620000000.000002</v>
      </c>
      <c r="O157" s="237">
        <v>39758</v>
      </c>
      <c r="P157" s="299">
        <v>0</v>
      </c>
      <c r="Q157" s="234" t="s">
        <v>28</v>
      </c>
      <c r="R157" s="297">
        <v>12887000000</v>
      </c>
      <c r="S157" s="237">
        <v>43297</v>
      </c>
      <c r="T157" s="298">
        <v>0</v>
      </c>
      <c r="U157" s="237" t="s">
        <v>28</v>
      </c>
      <c r="V157" s="199">
        <f t="shared" si="9"/>
        <v>15620000000.000002</v>
      </c>
      <c r="W157" s="237">
        <v>39758</v>
      </c>
      <c r="X157" s="199">
        <f t="shared" si="10"/>
        <v>0</v>
      </c>
      <c r="Y157" s="234" t="s">
        <v>28</v>
      </c>
      <c r="Z157" s="199">
        <f t="shared" si="11"/>
        <v>12887000000</v>
      </c>
      <c r="AA157" s="237">
        <v>43297</v>
      </c>
      <c r="AB157" s="199">
        <f t="shared" si="12"/>
        <v>0</v>
      </c>
      <c r="AC157" s="237" t="s">
        <v>28</v>
      </c>
      <c r="AD157" s="235" t="s">
        <v>700</v>
      </c>
      <c r="AE157" s="238" t="s">
        <v>880</v>
      </c>
      <c r="AF157" s="239" t="s">
        <v>68</v>
      </c>
      <c r="AG157" s="240" t="s">
        <v>68</v>
      </c>
      <c r="AH157" s="241" t="s">
        <v>887</v>
      </c>
      <c r="AI157" s="21" t="s">
        <v>887</v>
      </c>
      <c r="AJ157" s="202" t="s">
        <v>1121</v>
      </c>
      <c r="AK157" s="203" t="s">
        <v>1144</v>
      </c>
      <c r="AL157" s="198"/>
      <c r="AM157" s="198" t="s">
        <v>1123</v>
      </c>
      <c r="AN157" s="198" t="s">
        <v>1124</v>
      </c>
      <c r="AO157" s="204">
        <v>1</v>
      </c>
      <c r="AP157" s="198" t="s">
        <v>1112</v>
      </c>
      <c r="AQ157" s="198"/>
      <c r="AR157" s="198"/>
    </row>
    <row r="158" spans="1:44">
      <c r="A158" s="232">
        <v>239</v>
      </c>
      <c r="B158" s="233" t="s">
        <v>25</v>
      </c>
      <c r="C158" s="233" t="s">
        <v>26</v>
      </c>
      <c r="D158" s="234" t="s">
        <v>32</v>
      </c>
      <c r="E158" s="281" t="s">
        <v>696</v>
      </c>
      <c r="F158" s="235" t="s">
        <v>701</v>
      </c>
      <c r="G158" s="235" t="s">
        <v>702</v>
      </c>
      <c r="H158" s="236" t="s">
        <v>703</v>
      </c>
      <c r="I158" s="234" t="s">
        <v>43</v>
      </c>
      <c r="J158" s="234" t="s">
        <v>38</v>
      </c>
      <c r="K158" s="234" t="s">
        <v>28</v>
      </c>
      <c r="L158" s="234" t="s">
        <v>28</v>
      </c>
      <c r="M158" s="234" t="s">
        <v>38</v>
      </c>
      <c r="N158" s="297">
        <v>0</v>
      </c>
      <c r="O158" s="234" t="s">
        <v>28</v>
      </c>
      <c r="P158" s="299">
        <v>0</v>
      </c>
      <c r="Q158" s="234" t="s">
        <v>28</v>
      </c>
      <c r="R158" s="299">
        <v>0</v>
      </c>
      <c r="S158" s="237" t="s">
        <v>28</v>
      </c>
      <c r="T158" s="299">
        <v>3458433000.0000005</v>
      </c>
      <c r="U158" s="237">
        <v>45670</v>
      </c>
      <c r="V158" s="199">
        <f t="shared" si="9"/>
        <v>0</v>
      </c>
      <c r="W158" s="234" t="s">
        <v>28</v>
      </c>
      <c r="X158" s="199">
        <f t="shared" si="10"/>
        <v>0</v>
      </c>
      <c r="Y158" s="234" t="s">
        <v>28</v>
      </c>
      <c r="Z158" s="199">
        <f t="shared" si="11"/>
        <v>0</v>
      </c>
      <c r="AA158" s="237" t="s">
        <v>28</v>
      </c>
      <c r="AB158" s="199">
        <f t="shared" si="12"/>
        <v>3458433000.0000005</v>
      </c>
      <c r="AC158" s="237">
        <v>45670</v>
      </c>
      <c r="AD158" s="235" t="s">
        <v>700</v>
      </c>
      <c r="AE158" s="238" t="s">
        <v>880</v>
      </c>
      <c r="AF158" s="239" t="s">
        <v>68</v>
      </c>
      <c r="AG158" s="240" t="s">
        <v>68</v>
      </c>
      <c r="AH158" s="241" t="s">
        <v>887</v>
      </c>
      <c r="AI158" s="21" t="s">
        <v>887</v>
      </c>
      <c r="AJ158" s="202" t="s">
        <v>1196</v>
      </c>
      <c r="AK158" s="203" t="s">
        <v>1197</v>
      </c>
      <c r="AL158" s="198" t="s">
        <v>1248</v>
      </c>
      <c r="AM158" s="198" t="s">
        <v>1249</v>
      </c>
      <c r="AN158" s="198" t="s">
        <v>1250</v>
      </c>
      <c r="AO158" s="204">
        <v>1</v>
      </c>
      <c r="AP158" s="200" t="s">
        <v>1201</v>
      </c>
      <c r="AQ158" s="198"/>
      <c r="AR158" s="198"/>
    </row>
    <row r="159" spans="1:44">
      <c r="A159" s="232">
        <v>240</v>
      </c>
      <c r="B159" s="233" t="s">
        <v>25</v>
      </c>
      <c r="C159" s="233" t="s">
        <v>26</v>
      </c>
      <c r="D159" s="234" t="s">
        <v>32</v>
      </c>
      <c r="E159" s="281" t="s">
        <v>696</v>
      </c>
      <c r="F159" s="235" t="s">
        <v>704</v>
      </c>
      <c r="G159" s="235" t="s">
        <v>705</v>
      </c>
      <c r="H159" s="236" t="s">
        <v>706</v>
      </c>
      <c r="I159" s="234" t="s">
        <v>43</v>
      </c>
      <c r="J159" s="234" t="s">
        <v>38</v>
      </c>
      <c r="K159" s="234" t="s">
        <v>28</v>
      </c>
      <c r="L159" s="234" t="s">
        <v>28</v>
      </c>
      <c r="M159" s="234" t="s">
        <v>38</v>
      </c>
      <c r="N159" s="297">
        <v>0</v>
      </c>
      <c r="O159" s="234" t="s">
        <v>28</v>
      </c>
      <c r="P159" s="297">
        <v>5335000000</v>
      </c>
      <c r="Q159" s="237">
        <v>40696</v>
      </c>
      <c r="R159" s="299">
        <v>0</v>
      </c>
      <c r="S159" s="237" t="s">
        <v>28</v>
      </c>
      <c r="T159" s="298">
        <v>0</v>
      </c>
      <c r="U159" s="237" t="s">
        <v>28</v>
      </c>
      <c r="V159" s="199">
        <f t="shared" si="9"/>
        <v>0</v>
      </c>
      <c r="W159" s="234" t="s">
        <v>28</v>
      </c>
      <c r="X159" s="199">
        <f t="shared" si="10"/>
        <v>5335000000</v>
      </c>
      <c r="Y159" s="237">
        <v>40696</v>
      </c>
      <c r="Z159" s="199">
        <f t="shared" si="11"/>
        <v>0</v>
      </c>
      <c r="AA159" s="237" t="s">
        <v>28</v>
      </c>
      <c r="AB159" s="199">
        <f t="shared" si="12"/>
        <v>0</v>
      </c>
      <c r="AC159" s="237" t="s">
        <v>28</v>
      </c>
      <c r="AD159" s="235" t="s">
        <v>700</v>
      </c>
      <c r="AE159" s="238" t="s">
        <v>880</v>
      </c>
      <c r="AF159" s="239" t="s">
        <v>68</v>
      </c>
      <c r="AG159" s="240" t="s">
        <v>68</v>
      </c>
      <c r="AH159" s="241" t="s">
        <v>887</v>
      </c>
      <c r="AI159" s="21" t="s">
        <v>887</v>
      </c>
      <c r="AJ159" s="202" t="s">
        <v>1121</v>
      </c>
      <c r="AK159" s="203" t="s">
        <v>1144</v>
      </c>
      <c r="AL159" s="198"/>
      <c r="AM159" s="198" t="s">
        <v>1123</v>
      </c>
      <c r="AN159" s="198" t="s">
        <v>1124</v>
      </c>
      <c r="AO159" s="204">
        <v>1</v>
      </c>
      <c r="AP159" s="198" t="s">
        <v>1112</v>
      </c>
      <c r="AQ159" s="198"/>
      <c r="AR159" s="198"/>
    </row>
    <row r="160" spans="1:44">
      <c r="A160" s="232">
        <v>242</v>
      </c>
      <c r="B160" s="233" t="s">
        <v>25</v>
      </c>
      <c r="C160" s="233" t="s">
        <v>26</v>
      </c>
      <c r="D160" s="234" t="s">
        <v>32</v>
      </c>
      <c r="E160" s="281" t="s">
        <v>696</v>
      </c>
      <c r="F160" s="235" t="s">
        <v>710</v>
      </c>
      <c r="G160" s="235" t="s">
        <v>711</v>
      </c>
      <c r="H160" s="236" t="s">
        <v>712</v>
      </c>
      <c r="I160" s="234" t="s">
        <v>118</v>
      </c>
      <c r="J160" s="234" t="s">
        <v>38</v>
      </c>
      <c r="K160" s="234" t="s">
        <v>28</v>
      </c>
      <c r="L160" s="234" t="s">
        <v>28</v>
      </c>
      <c r="M160" s="234" t="s">
        <v>38</v>
      </c>
      <c r="N160" s="297">
        <v>0</v>
      </c>
      <c r="O160" s="234" t="s">
        <v>28</v>
      </c>
      <c r="P160" s="299">
        <v>0</v>
      </c>
      <c r="Q160" s="234" t="s">
        <v>28</v>
      </c>
      <c r="R160" s="297">
        <v>7546000000</v>
      </c>
      <c r="S160" s="237">
        <v>42580</v>
      </c>
      <c r="T160" s="298">
        <v>0</v>
      </c>
      <c r="U160" s="237" t="s">
        <v>28</v>
      </c>
      <c r="V160" s="199">
        <f t="shared" si="9"/>
        <v>0</v>
      </c>
      <c r="W160" s="234" t="s">
        <v>28</v>
      </c>
      <c r="X160" s="199">
        <f t="shared" si="10"/>
        <v>0</v>
      </c>
      <c r="Y160" s="234" t="s">
        <v>28</v>
      </c>
      <c r="Z160" s="199">
        <f t="shared" si="11"/>
        <v>7546000000</v>
      </c>
      <c r="AA160" s="237">
        <v>42580</v>
      </c>
      <c r="AB160" s="199">
        <f t="shared" si="12"/>
        <v>0</v>
      </c>
      <c r="AC160" s="237" t="s">
        <v>28</v>
      </c>
      <c r="AD160" s="235" t="s">
        <v>700</v>
      </c>
      <c r="AE160" s="238" t="s">
        <v>880</v>
      </c>
      <c r="AF160" s="239" t="s">
        <v>68</v>
      </c>
      <c r="AG160" s="240" t="s">
        <v>68</v>
      </c>
      <c r="AH160" s="241" t="s">
        <v>887</v>
      </c>
      <c r="AI160" s="21" t="s">
        <v>887</v>
      </c>
      <c r="AJ160" s="202" t="s">
        <v>1121</v>
      </c>
      <c r="AK160" s="203" t="s">
        <v>1144</v>
      </c>
      <c r="AL160" s="198"/>
      <c r="AM160" s="198" t="s">
        <v>1123</v>
      </c>
      <c r="AN160" s="198" t="s">
        <v>1124</v>
      </c>
      <c r="AO160" s="204">
        <v>1</v>
      </c>
      <c r="AP160" s="198" t="s">
        <v>1112</v>
      </c>
      <c r="AQ160" s="198"/>
      <c r="AR160" s="198"/>
    </row>
    <row r="161" spans="1:44">
      <c r="A161" s="232">
        <v>243</v>
      </c>
      <c r="B161" s="233" t="s">
        <v>25</v>
      </c>
      <c r="C161" s="233" t="s">
        <v>26</v>
      </c>
      <c r="D161" s="234" t="s">
        <v>32</v>
      </c>
      <c r="E161" s="281" t="s">
        <v>696</v>
      </c>
      <c r="F161" s="235" t="s">
        <v>713</v>
      </c>
      <c r="G161" s="235" t="s">
        <v>714</v>
      </c>
      <c r="H161" s="236" t="s">
        <v>715</v>
      </c>
      <c r="I161" s="234" t="s">
        <v>118</v>
      </c>
      <c r="J161" s="234" t="s">
        <v>38</v>
      </c>
      <c r="K161" s="234" t="s">
        <v>28</v>
      </c>
      <c r="L161" s="234" t="s">
        <v>28</v>
      </c>
      <c r="M161" s="234" t="s">
        <v>38</v>
      </c>
      <c r="N161" s="297">
        <v>0</v>
      </c>
      <c r="O161" s="234" t="s">
        <v>28</v>
      </c>
      <c r="P161" s="299">
        <v>3616303539</v>
      </c>
      <c r="Q161" s="300">
        <v>40781</v>
      </c>
      <c r="R161" s="299">
        <v>0</v>
      </c>
      <c r="S161" s="237" t="s">
        <v>28</v>
      </c>
      <c r="T161" s="298">
        <v>0</v>
      </c>
      <c r="U161" s="237" t="s">
        <v>28</v>
      </c>
      <c r="V161" s="199">
        <f t="shared" si="9"/>
        <v>0</v>
      </c>
      <c r="W161" s="234" t="s">
        <v>28</v>
      </c>
      <c r="X161" s="199">
        <f t="shared" si="10"/>
        <v>3616303539</v>
      </c>
      <c r="Y161" s="300">
        <v>40781</v>
      </c>
      <c r="Z161" s="199">
        <f t="shared" si="11"/>
        <v>0</v>
      </c>
      <c r="AA161" s="237" t="s">
        <v>28</v>
      </c>
      <c r="AB161" s="199">
        <f t="shared" si="12"/>
        <v>0</v>
      </c>
      <c r="AC161" s="237" t="s">
        <v>28</v>
      </c>
      <c r="AD161" s="235" t="s">
        <v>700</v>
      </c>
      <c r="AE161" s="238" t="s">
        <v>880</v>
      </c>
      <c r="AF161" s="239" t="s">
        <v>68</v>
      </c>
      <c r="AG161" s="240" t="s">
        <v>68</v>
      </c>
      <c r="AH161" s="241" t="s">
        <v>887</v>
      </c>
      <c r="AI161" s="21" t="s">
        <v>887</v>
      </c>
      <c r="AJ161" s="202" t="s">
        <v>1121</v>
      </c>
      <c r="AK161" s="203" t="s">
        <v>1144</v>
      </c>
      <c r="AL161" s="198"/>
      <c r="AM161" s="198" t="s">
        <v>1123</v>
      </c>
      <c r="AN161" s="198" t="s">
        <v>1124</v>
      </c>
      <c r="AO161" s="204">
        <v>1</v>
      </c>
      <c r="AP161" s="198" t="s">
        <v>1112</v>
      </c>
      <c r="AQ161" s="198"/>
      <c r="AR161" s="198"/>
    </row>
    <row r="162" spans="1:44">
      <c r="A162" s="232">
        <v>244</v>
      </c>
      <c r="B162" s="233" t="s">
        <v>25</v>
      </c>
      <c r="C162" s="233" t="s">
        <v>26</v>
      </c>
      <c r="D162" s="234" t="s">
        <v>32</v>
      </c>
      <c r="E162" s="281" t="s">
        <v>696</v>
      </c>
      <c r="F162" s="235" t="s">
        <v>716</v>
      </c>
      <c r="G162" s="235" t="s">
        <v>717</v>
      </c>
      <c r="H162" s="236" t="s">
        <v>718</v>
      </c>
      <c r="I162" s="234" t="s">
        <v>118</v>
      </c>
      <c r="J162" s="234" t="s">
        <v>38</v>
      </c>
      <c r="K162" s="234" t="s">
        <v>28</v>
      </c>
      <c r="L162" s="234" t="s">
        <v>28</v>
      </c>
      <c r="M162" s="234" t="s">
        <v>38</v>
      </c>
      <c r="N162" s="297">
        <v>0</v>
      </c>
      <c r="O162" s="234" t="s">
        <v>28</v>
      </c>
      <c r="P162" s="299">
        <v>0</v>
      </c>
      <c r="Q162" s="234" t="s">
        <v>28</v>
      </c>
      <c r="R162" s="299">
        <v>478317840.00000006</v>
      </c>
      <c r="S162" s="237">
        <v>42480</v>
      </c>
      <c r="T162" s="298">
        <v>0</v>
      </c>
      <c r="U162" s="237" t="s">
        <v>28</v>
      </c>
      <c r="V162" s="199">
        <f t="shared" si="9"/>
        <v>0</v>
      </c>
      <c r="W162" s="234" t="s">
        <v>28</v>
      </c>
      <c r="X162" s="199">
        <f t="shared" si="10"/>
        <v>0</v>
      </c>
      <c r="Y162" s="234" t="s">
        <v>28</v>
      </c>
      <c r="Z162" s="199">
        <f t="shared" si="11"/>
        <v>478317840.00000006</v>
      </c>
      <c r="AA162" s="237">
        <v>42480</v>
      </c>
      <c r="AB162" s="199">
        <f t="shared" si="12"/>
        <v>0</v>
      </c>
      <c r="AC162" s="237" t="s">
        <v>28</v>
      </c>
      <c r="AD162" s="235" t="s">
        <v>700</v>
      </c>
      <c r="AE162" s="238" t="s">
        <v>880</v>
      </c>
      <c r="AF162" s="239" t="s">
        <v>68</v>
      </c>
      <c r="AG162" s="240" t="s">
        <v>68</v>
      </c>
      <c r="AH162" s="241" t="s">
        <v>887</v>
      </c>
      <c r="AI162" s="21" t="s">
        <v>887</v>
      </c>
      <c r="AJ162" s="202" t="s">
        <v>1254</v>
      </c>
      <c r="AK162" s="203" t="s">
        <v>1144</v>
      </c>
      <c r="AL162" s="198"/>
      <c r="AM162" s="198" t="s">
        <v>1123</v>
      </c>
      <c r="AN162" s="198" t="s">
        <v>1124</v>
      </c>
      <c r="AO162" s="204">
        <v>1</v>
      </c>
      <c r="AP162" s="198" t="s">
        <v>1114</v>
      </c>
      <c r="AQ162" s="198"/>
      <c r="AR162" s="198"/>
    </row>
    <row r="163" spans="1:44">
      <c r="A163" s="232">
        <v>245</v>
      </c>
      <c r="B163" s="233" t="s">
        <v>25</v>
      </c>
      <c r="C163" s="233" t="s">
        <v>26</v>
      </c>
      <c r="D163" s="234" t="s">
        <v>32</v>
      </c>
      <c r="E163" s="281" t="s">
        <v>696</v>
      </c>
      <c r="F163" s="235" t="s">
        <v>719</v>
      </c>
      <c r="G163" s="235" t="s">
        <v>720</v>
      </c>
      <c r="H163" s="236" t="s">
        <v>721</v>
      </c>
      <c r="I163" s="234" t="s">
        <v>118</v>
      </c>
      <c r="J163" s="234" t="s">
        <v>38</v>
      </c>
      <c r="K163" s="234" t="s">
        <v>28</v>
      </c>
      <c r="L163" s="234" t="s">
        <v>28</v>
      </c>
      <c r="M163" s="234" t="s">
        <v>38</v>
      </c>
      <c r="N163" s="297">
        <v>0</v>
      </c>
      <c r="O163" s="234" t="s">
        <v>28</v>
      </c>
      <c r="P163" s="299">
        <v>0</v>
      </c>
      <c r="Q163" s="234" t="s">
        <v>28</v>
      </c>
      <c r="R163" s="299">
        <v>935000000.00000012</v>
      </c>
      <c r="S163" s="237">
        <v>42544</v>
      </c>
      <c r="T163" s="298">
        <v>0</v>
      </c>
      <c r="U163" s="237" t="s">
        <v>28</v>
      </c>
      <c r="V163" s="199">
        <f t="shared" si="9"/>
        <v>0</v>
      </c>
      <c r="W163" s="234" t="s">
        <v>28</v>
      </c>
      <c r="X163" s="199">
        <f t="shared" si="10"/>
        <v>0</v>
      </c>
      <c r="Y163" s="234" t="s">
        <v>28</v>
      </c>
      <c r="Z163" s="199">
        <f t="shared" si="11"/>
        <v>935000000.00000012</v>
      </c>
      <c r="AA163" s="237">
        <v>42544</v>
      </c>
      <c r="AB163" s="199">
        <f t="shared" si="12"/>
        <v>0</v>
      </c>
      <c r="AC163" s="237" t="s">
        <v>28</v>
      </c>
      <c r="AD163" s="235" t="s">
        <v>700</v>
      </c>
      <c r="AE163" s="238" t="s">
        <v>880</v>
      </c>
      <c r="AF163" s="239" t="s">
        <v>887</v>
      </c>
      <c r="AG163" s="240" t="s">
        <v>68</v>
      </c>
      <c r="AH163" s="241" t="s">
        <v>887</v>
      </c>
      <c r="AI163" s="21" t="s">
        <v>887</v>
      </c>
      <c r="AJ163" s="202" t="s">
        <v>1254</v>
      </c>
      <c r="AK163" s="203" t="s">
        <v>1148</v>
      </c>
      <c r="AL163" s="198" t="s">
        <v>1277</v>
      </c>
      <c r="AM163" s="198" t="s">
        <v>1278</v>
      </c>
      <c r="AN163" s="198" t="s">
        <v>1279</v>
      </c>
      <c r="AO163" s="204">
        <v>1</v>
      </c>
      <c r="AP163" s="200" t="s">
        <v>1201</v>
      </c>
      <c r="AQ163" s="198"/>
      <c r="AR163" s="198"/>
    </row>
    <row r="164" spans="1:44">
      <c r="A164" s="232">
        <v>246</v>
      </c>
      <c r="B164" s="233" t="s">
        <v>25</v>
      </c>
      <c r="C164" s="233" t="s">
        <v>26</v>
      </c>
      <c r="D164" s="234" t="s">
        <v>32</v>
      </c>
      <c r="E164" s="281" t="s">
        <v>696</v>
      </c>
      <c r="F164" s="235" t="s">
        <v>722</v>
      </c>
      <c r="G164" s="235" t="s">
        <v>723</v>
      </c>
      <c r="H164" s="236" t="s">
        <v>724</v>
      </c>
      <c r="I164" s="234" t="s">
        <v>118</v>
      </c>
      <c r="J164" s="234" t="s">
        <v>38</v>
      </c>
      <c r="K164" s="234" t="s">
        <v>28</v>
      </c>
      <c r="L164" s="234" t="s">
        <v>28</v>
      </c>
      <c r="M164" s="234" t="s">
        <v>38</v>
      </c>
      <c r="N164" s="297">
        <v>0</v>
      </c>
      <c r="O164" s="234" t="s">
        <v>28</v>
      </c>
      <c r="P164" s="299">
        <v>946894000</v>
      </c>
      <c r="Q164" s="300">
        <v>40556</v>
      </c>
      <c r="R164" s="299">
        <v>0</v>
      </c>
      <c r="S164" s="237" t="s">
        <v>28</v>
      </c>
      <c r="T164" s="298">
        <v>0</v>
      </c>
      <c r="U164" s="237" t="s">
        <v>28</v>
      </c>
      <c r="V164" s="199">
        <f t="shared" si="9"/>
        <v>0</v>
      </c>
      <c r="W164" s="234" t="s">
        <v>28</v>
      </c>
      <c r="X164" s="199">
        <f t="shared" si="10"/>
        <v>946894000</v>
      </c>
      <c r="Y164" s="300">
        <v>40556</v>
      </c>
      <c r="Z164" s="199">
        <f t="shared" si="11"/>
        <v>0</v>
      </c>
      <c r="AA164" s="237" t="s">
        <v>28</v>
      </c>
      <c r="AB164" s="199">
        <f t="shared" si="12"/>
        <v>0</v>
      </c>
      <c r="AC164" s="237" t="s">
        <v>28</v>
      </c>
      <c r="AD164" s="235" t="s">
        <v>700</v>
      </c>
      <c r="AE164" s="238" t="s">
        <v>880</v>
      </c>
      <c r="AF164" s="239" t="s">
        <v>68</v>
      </c>
      <c r="AG164" s="240" t="s">
        <v>68</v>
      </c>
      <c r="AH164" s="241" t="s">
        <v>887</v>
      </c>
      <c r="AI164" s="21" t="s">
        <v>887</v>
      </c>
      <c r="AJ164" s="202" t="s">
        <v>1159</v>
      </c>
      <c r="AK164" s="203" t="s">
        <v>1160</v>
      </c>
      <c r="AL164" s="198" t="s">
        <v>1280</v>
      </c>
      <c r="AM164" s="198" t="s">
        <v>1281</v>
      </c>
      <c r="AN164" s="198" t="s">
        <v>1282</v>
      </c>
      <c r="AO164" s="204">
        <v>1</v>
      </c>
      <c r="AP164" s="200" t="s">
        <v>1164</v>
      </c>
      <c r="AQ164" s="198"/>
      <c r="AR164" s="198"/>
    </row>
    <row r="165" spans="1:44">
      <c r="A165" s="232">
        <v>247</v>
      </c>
      <c r="B165" s="233" t="s">
        <v>25</v>
      </c>
      <c r="C165" s="233" t="s">
        <v>26</v>
      </c>
      <c r="D165" s="234" t="s">
        <v>32</v>
      </c>
      <c r="E165" s="281" t="s">
        <v>696</v>
      </c>
      <c r="F165" s="235" t="s">
        <v>725</v>
      </c>
      <c r="G165" s="235" t="s">
        <v>726</v>
      </c>
      <c r="H165" s="236" t="s">
        <v>727</v>
      </c>
      <c r="I165" s="234" t="s">
        <v>43</v>
      </c>
      <c r="J165" s="234" t="s">
        <v>38</v>
      </c>
      <c r="K165" s="234" t="s">
        <v>28</v>
      </c>
      <c r="L165" s="234" t="s">
        <v>28</v>
      </c>
      <c r="M165" s="234" t="s">
        <v>38</v>
      </c>
      <c r="N165" s="297">
        <v>0</v>
      </c>
      <c r="O165" s="234" t="s">
        <v>28</v>
      </c>
      <c r="P165" s="299">
        <v>0</v>
      </c>
      <c r="Q165" s="234" t="s">
        <v>28</v>
      </c>
      <c r="R165" s="299">
        <v>1815913000.0000002</v>
      </c>
      <c r="S165" s="237">
        <v>42884</v>
      </c>
      <c r="T165" s="298">
        <v>0</v>
      </c>
      <c r="U165" s="237" t="s">
        <v>28</v>
      </c>
      <c r="V165" s="199">
        <f t="shared" si="9"/>
        <v>0</v>
      </c>
      <c r="W165" s="234" t="s">
        <v>28</v>
      </c>
      <c r="X165" s="199">
        <f t="shared" si="10"/>
        <v>0</v>
      </c>
      <c r="Y165" s="234" t="s">
        <v>28</v>
      </c>
      <c r="Z165" s="199">
        <f t="shared" si="11"/>
        <v>1815913000.0000002</v>
      </c>
      <c r="AA165" s="237">
        <v>42884</v>
      </c>
      <c r="AB165" s="199">
        <f t="shared" si="12"/>
        <v>0</v>
      </c>
      <c r="AC165" s="237" t="s">
        <v>28</v>
      </c>
      <c r="AD165" s="235" t="s">
        <v>700</v>
      </c>
      <c r="AE165" s="238" t="s">
        <v>880</v>
      </c>
      <c r="AF165" s="239" t="s">
        <v>887</v>
      </c>
      <c r="AG165" s="240" t="s">
        <v>68</v>
      </c>
      <c r="AH165" s="241" t="s">
        <v>887</v>
      </c>
      <c r="AI165" s="21" t="s">
        <v>887</v>
      </c>
      <c r="AJ165" s="202" t="s">
        <v>1233</v>
      </c>
      <c r="AK165" s="203" t="s">
        <v>1234</v>
      </c>
      <c r="AL165" s="198" t="s">
        <v>1265</v>
      </c>
      <c r="AM165" s="198" t="s">
        <v>1266</v>
      </c>
      <c r="AN165" s="198" t="s">
        <v>1267</v>
      </c>
      <c r="AO165" s="204">
        <v>1</v>
      </c>
      <c r="AP165" s="198" t="s">
        <v>1238</v>
      </c>
      <c r="AQ165" s="198"/>
      <c r="AR165" s="198"/>
    </row>
    <row r="166" spans="1:44">
      <c r="A166" s="232">
        <v>249</v>
      </c>
      <c r="B166" s="233" t="s">
        <v>25</v>
      </c>
      <c r="C166" s="233" t="s">
        <v>26</v>
      </c>
      <c r="D166" s="234" t="s">
        <v>32</v>
      </c>
      <c r="E166" s="281" t="s">
        <v>696</v>
      </c>
      <c r="F166" s="235" t="s">
        <v>731</v>
      </c>
      <c r="G166" s="235" t="s">
        <v>732</v>
      </c>
      <c r="H166" s="236" t="s">
        <v>733</v>
      </c>
      <c r="I166" s="234" t="s">
        <v>118</v>
      </c>
      <c r="J166" s="234" t="s">
        <v>38</v>
      </c>
      <c r="K166" s="234" t="s">
        <v>28</v>
      </c>
      <c r="L166" s="234" t="s">
        <v>28</v>
      </c>
      <c r="M166" s="234" t="s">
        <v>38</v>
      </c>
      <c r="N166" s="297">
        <v>0</v>
      </c>
      <c r="O166" s="234" t="s">
        <v>28</v>
      </c>
      <c r="P166" s="299">
        <v>0</v>
      </c>
      <c r="Q166" s="234" t="s">
        <v>28</v>
      </c>
      <c r="R166" s="299">
        <v>1241273880</v>
      </c>
      <c r="S166" s="237">
        <v>43154</v>
      </c>
      <c r="T166" s="298">
        <v>0</v>
      </c>
      <c r="U166" s="237" t="s">
        <v>28</v>
      </c>
      <c r="V166" s="199">
        <f t="shared" si="9"/>
        <v>0</v>
      </c>
      <c r="W166" s="234" t="s">
        <v>28</v>
      </c>
      <c r="X166" s="199">
        <f t="shared" si="10"/>
        <v>0</v>
      </c>
      <c r="Y166" s="234" t="s">
        <v>28</v>
      </c>
      <c r="Z166" s="199">
        <f t="shared" si="11"/>
        <v>1241273880</v>
      </c>
      <c r="AA166" s="237">
        <v>43154</v>
      </c>
      <c r="AB166" s="199">
        <f t="shared" si="12"/>
        <v>0</v>
      </c>
      <c r="AC166" s="237" t="s">
        <v>28</v>
      </c>
      <c r="AD166" s="235" t="s">
        <v>700</v>
      </c>
      <c r="AE166" s="238" t="s">
        <v>880</v>
      </c>
      <c r="AF166" s="239" t="s">
        <v>887</v>
      </c>
      <c r="AG166" s="240" t="s">
        <v>68</v>
      </c>
      <c r="AH166" s="241" t="s">
        <v>887</v>
      </c>
      <c r="AI166" s="21" t="s">
        <v>887</v>
      </c>
      <c r="AJ166" s="202" t="s">
        <v>1121</v>
      </c>
      <c r="AK166" s="203" t="s">
        <v>1144</v>
      </c>
      <c r="AL166" s="198"/>
      <c r="AM166" s="198" t="s">
        <v>1123</v>
      </c>
      <c r="AN166" s="198" t="s">
        <v>1124</v>
      </c>
      <c r="AO166" s="204">
        <v>1</v>
      </c>
      <c r="AP166" s="198" t="s">
        <v>1112</v>
      </c>
      <c r="AQ166" s="198"/>
      <c r="AR166" s="198"/>
    </row>
    <row r="167" spans="1:44">
      <c r="A167" s="232">
        <v>250</v>
      </c>
      <c r="B167" s="233" t="s">
        <v>25</v>
      </c>
      <c r="C167" s="233" t="s">
        <v>26</v>
      </c>
      <c r="D167" s="234" t="s">
        <v>32</v>
      </c>
      <c r="E167" s="281" t="s">
        <v>696</v>
      </c>
      <c r="F167" s="235" t="s">
        <v>734</v>
      </c>
      <c r="G167" s="235" t="s">
        <v>735</v>
      </c>
      <c r="H167" s="236" t="s">
        <v>736</v>
      </c>
      <c r="I167" s="234" t="s">
        <v>43</v>
      </c>
      <c r="J167" s="234" t="s">
        <v>38</v>
      </c>
      <c r="K167" s="234" t="s">
        <v>28</v>
      </c>
      <c r="L167" s="234" t="s">
        <v>28</v>
      </c>
      <c r="M167" s="234" t="s">
        <v>38</v>
      </c>
      <c r="N167" s="297">
        <v>0</v>
      </c>
      <c r="O167" s="234" t="s">
        <v>28</v>
      </c>
      <c r="P167" s="299">
        <v>0</v>
      </c>
      <c r="Q167" s="234" t="s">
        <v>28</v>
      </c>
      <c r="R167" s="299">
        <v>1596608200.0000002</v>
      </c>
      <c r="S167" s="237">
        <v>42853</v>
      </c>
      <c r="T167" s="298">
        <v>0</v>
      </c>
      <c r="U167" s="237" t="s">
        <v>28</v>
      </c>
      <c r="V167" s="199">
        <f t="shared" si="9"/>
        <v>0</v>
      </c>
      <c r="W167" s="234" t="s">
        <v>28</v>
      </c>
      <c r="X167" s="199">
        <f t="shared" si="10"/>
        <v>0</v>
      </c>
      <c r="Y167" s="234" t="s">
        <v>28</v>
      </c>
      <c r="Z167" s="199">
        <f t="shared" si="11"/>
        <v>1596608200.0000002</v>
      </c>
      <c r="AA167" s="237">
        <v>42853</v>
      </c>
      <c r="AB167" s="199">
        <f t="shared" si="12"/>
        <v>0</v>
      </c>
      <c r="AC167" s="237" t="s">
        <v>28</v>
      </c>
      <c r="AD167" s="235" t="s">
        <v>700</v>
      </c>
      <c r="AE167" s="238" t="s">
        <v>880</v>
      </c>
      <c r="AF167" s="239" t="s">
        <v>887</v>
      </c>
      <c r="AG167" s="240" t="s">
        <v>68</v>
      </c>
      <c r="AH167" s="241" t="s">
        <v>887</v>
      </c>
      <c r="AI167" s="21" t="s">
        <v>887</v>
      </c>
      <c r="AJ167" s="202" t="s">
        <v>1196</v>
      </c>
      <c r="AK167" s="203" t="s">
        <v>1283</v>
      </c>
      <c r="AL167" s="198" t="s">
        <v>1284</v>
      </c>
      <c r="AM167" s="198" t="s">
        <v>1285</v>
      </c>
      <c r="AN167" s="198" t="s">
        <v>1286</v>
      </c>
      <c r="AO167" s="204">
        <v>1</v>
      </c>
      <c r="AP167" s="200" t="s">
        <v>1201</v>
      </c>
      <c r="AQ167" s="198"/>
      <c r="AR167" s="198"/>
    </row>
    <row r="168" spans="1:44">
      <c r="A168" s="232">
        <v>251</v>
      </c>
      <c r="B168" s="233" t="s">
        <v>25</v>
      </c>
      <c r="C168" s="233" t="s">
        <v>26</v>
      </c>
      <c r="D168" s="234" t="s">
        <v>32</v>
      </c>
      <c r="E168" s="281" t="s">
        <v>696</v>
      </c>
      <c r="F168" s="235" t="s">
        <v>737</v>
      </c>
      <c r="G168" s="235" t="s">
        <v>738</v>
      </c>
      <c r="H168" s="236" t="s">
        <v>739</v>
      </c>
      <c r="I168" s="234" t="s">
        <v>118</v>
      </c>
      <c r="J168" s="234" t="s">
        <v>38</v>
      </c>
      <c r="K168" s="234" t="s">
        <v>28</v>
      </c>
      <c r="L168" s="234" t="s">
        <v>28</v>
      </c>
      <c r="M168" s="234" t="s">
        <v>38</v>
      </c>
      <c r="N168" s="297">
        <v>0</v>
      </c>
      <c r="O168" s="234" t="s">
        <v>28</v>
      </c>
      <c r="P168" s="299">
        <v>0</v>
      </c>
      <c r="Q168" s="234" t="s">
        <v>28</v>
      </c>
      <c r="R168" s="299">
        <v>221789700.00000003</v>
      </c>
      <c r="S168" s="237">
        <v>42418</v>
      </c>
      <c r="T168" s="298">
        <v>0</v>
      </c>
      <c r="U168" s="237" t="s">
        <v>28</v>
      </c>
      <c r="V168" s="199">
        <f t="shared" si="9"/>
        <v>0</v>
      </c>
      <c r="W168" s="234" t="s">
        <v>28</v>
      </c>
      <c r="X168" s="199">
        <f t="shared" si="10"/>
        <v>0</v>
      </c>
      <c r="Y168" s="234" t="s">
        <v>28</v>
      </c>
      <c r="Z168" s="199">
        <f t="shared" si="11"/>
        <v>221789700.00000003</v>
      </c>
      <c r="AA168" s="237">
        <v>42418</v>
      </c>
      <c r="AB168" s="199">
        <f t="shared" si="12"/>
        <v>0</v>
      </c>
      <c r="AC168" s="237" t="s">
        <v>28</v>
      </c>
      <c r="AD168" s="235" t="s">
        <v>700</v>
      </c>
      <c r="AE168" s="238" t="s">
        <v>880</v>
      </c>
      <c r="AF168" s="239" t="s">
        <v>887</v>
      </c>
      <c r="AG168" s="240" t="s">
        <v>68</v>
      </c>
      <c r="AH168" s="241" t="s">
        <v>887</v>
      </c>
      <c r="AI168" s="21" t="s">
        <v>887</v>
      </c>
      <c r="AJ168" s="202" t="s">
        <v>1121</v>
      </c>
      <c r="AK168" s="203" t="s">
        <v>1122</v>
      </c>
      <c r="AL168" s="198"/>
      <c r="AM168" s="198" t="s">
        <v>1123</v>
      </c>
      <c r="AN168" s="198" t="s">
        <v>1124</v>
      </c>
      <c r="AO168" s="204">
        <v>1</v>
      </c>
      <c r="AP168" s="198" t="s">
        <v>1112</v>
      </c>
      <c r="AQ168" s="198"/>
      <c r="AR168" s="198"/>
    </row>
    <row r="169" spans="1:44">
      <c r="A169" s="232">
        <v>252</v>
      </c>
      <c r="B169" s="233" t="s">
        <v>25</v>
      </c>
      <c r="C169" s="233" t="s">
        <v>26</v>
      </c>
      <c r="D169" s="234" t="s">
        <v>32</v>
      </c>
      <c r="E169" s="281" t="s">
        <v>696</v>
      </c>
      <c r="F169" s="235" t="s">
        <v>740</v>
      </c>
      <c r="G169" s="235" t="s">
        <v>741</v>
      </c>
      <c r="H169" s="236" t="s">
        <v>742</v>
      </c>
      <c r="I169" s="234" t="s">
        <v>118</v>
      </c>
      <c r="J169" s="234" t="s">
        <v>38</v>
      </c>
      <c r="K169" s="234" t="s">
        <v>28</v>
      </c>
      <c r="L169" s="234" t="s">
        <v>28</v>
      </c>
      <c r="M169" s="234" t="s">
        <v>38</v>
      </c>
      <c r="N169" s="297">
        <v>0</v>
      </c>
      <c r="O169" s="234" t="s">
        <v>28</v>
      </c>
      <c r="P169" s="299">
        <v>0</v>
      </c>
      <c r="Q169" s="234" t="s">
        <v>28</v>
      </c>
      <c r="R169" s="299">
        <v>528713450.10000002</v>
      </c>
      <c r="S169" s="237">
        <v>42591</v>
      </c>
      <c r="T169" s="298">
        <v>0</v>
      </c>
      <c r="U169" s="237" t="s">
        <v>28</v>
      </c>
      <c r="V169" s="199">
        <f t="shared" si="9"/>
        <v>0</v>
      </c>
      <c r="W169" s="234" t="s">
        <v>28</v>
      </c>
      <c r="X169" s="199">
        <f t="shared" si="10"/>
        <v>0</v>
      </c>
      <c r="Y169" s="234" t="s">
        <v>28</v>
      </c>
      <c r="Z169" s="199">
        <f t="shared" si="11"/>
        <v>528713450.10000002</v>
      </c>
      <c r="AA169" s="237">
        <v>42591</v>
      </c>
      <c r="AB169" s="199">
        <f t="shared" si="12"/>
        <v>0</v>
      </c>
      <c r="AC169" s="237" t="s">
        <v>28</v>
      </c>
      <c r="AD169" s="235" t="s">
        <v>700</v>
      </c>
      <c r="AE169" s="238" t="s">
        <v>880</v>
      </c>
      <c r="AF169" s="239" t="s">
        <v>887</v>
      </c>
      <c r="AG169" s="240" t="s">
        <v>68</v>
      </c>
      <c r="AH169" s="241" t="s">
        <v>887</v>
      </c>
      <c r="AI169" s="21" t="s">
        <v>887</v>
      </c>
      <c r="AJ169" s="202" t="s">
        <v>1121</v>
      </c>
      <c r="AK169" s="203" t="s">
        <v>1144</v>
      </c>
      <c r="AL169" s="198"/>
      <c r="AM169" s="198" t="s">
        <v>1123</v>
      </c>
      <c r="AN169" s="198" t="s">
        <v>1124</v>
      </c>
      <c r="AO169" s="204">
        <v>1</v>
      </c>
      <c r="AP169" s="198" t="s">
        <v>1112</v>
      </c>
      <c r="AQ169" s="198"/>
      <c r="AR169" s="198"/>
    </row>
    <row r="170" spans="1:44">
      <c r="A170" s="232">
        <v>253</v>
      </c>
      <c r="B170" s="233" t="s">
        <v>25</v>
      </c>
      <c r="C170" s="233" t="s">
        <v>26</v>
      </c>
      <c r="D170" s="234" t="s">
        <v>32</v>
      </c>
      <c r="E170" s="281" t="s">
        <v>696</v>
      </c>
      <c r="F170" s="235" t="s">
        <v>743</v>
      </c>
      <c r="G170" s="235" t="s">
        <v>744</v>
      </c>
      <c r="H170" s="236" t="s">
        <v>745</v>
      </c>
      <c r="I170" s="234" t="s">
        <v>118</v>
      </c>
      <c r="J170" s="234" t="s">
        <v>38</v>
      </c>
      <c r="K170" s="234" t="s">
        <v>28</v>
      </c>
      <c r="L170" s="234" t="s">
        <v>28</v>
      </c>
      <c r="M170" s="234" t="s">
        <v>38</v>
      </c>
      <c r="N170" s="297">
        <v>0</v>
      </c>
      <c r="O170" s="234" t="s">
        <v>28</v>
      </c>
      <c r="P170" s="299">
        <v>0</v>
      </c>
      <c r="Q170" s="234" t="s">
        <v>28</v>
      </c>
      <c r="R170" s="299">
        <v>357132600</v>
      </c>
      <c r="S170" s="237">
        <v>42825</v>
      </c>
      <c r="T170" s="298">
        <v>0</v>
      </c>
      <c r="U170" s="237" t="s">
        <v>28</v>
      </c>
      <c r="V170" s="199">
        <f t="shared" si="9"/>
        <v>0</v>
      </c>
      <c r="W170" s="234" t="s">
        <v>28</v>
      </c>
      <c r="X170" s="199">
        <f t="shared" si="10"/>
        <v>0</v>
      </c>
      <c r="Y170" s="234" t="s">
        <v>28</v>
      </c>
      <c r="Z170" s="199">
        <f t="shared" si="11"/>
        <v>357132600</v>
      </c>
      <c r="AA170" s="237">
        <v>42825</v>
      </c>
      <c r="AB170" s="199">
        <f t="shared" si="12"/>
        <v>0</v>
      </c>
      <c r="AC170" s="237" t="s">
        <v>28</v>
      </c>
      <c r="AD170" s="235" t="s">
        <v>700</v>
      </c>
      <c r="AE170" s="238" t="s">
        <v>880</v>
      </c>
      <c r="AF170" s="239" t="s">
        <v>887</v>
      </c>
      <c r="AG170" s="240" t="s">
        <v>68</v>
      </c>
      <c r="AH170" s="241" t="s">
        <v>887</v>
      </c>
      <c r="AI170" s="21" t="s">
        <v>887</v>
      </c>
      <c r="AJ170" s="202" t="s">
        <v>1254</v>
      </c>
      <c r="AK170" s="203" t="s">
        <v>1144</v>
      </c>
      <c r="AL170" s="198"/>
      <c r="AM170" s="198" t="s">
        <v>1123</v>
      </c>
      <c r="AN170" s="198" t="s">
        <v>1124</v>
      </c>
      <c r="AO170" s="204">
        <v>1</v>
      </c>
      <c r="AP170" s="198" t="s">
        <v>1114</v>
      </c>
      <c r="AQ170" s="198"/>
      <c r="AR170" s="198"/>
    </row>
    <row r="171" spans="1:44">
      <c r="A171" s="232">
        <v>254</v>
      </c>
      <c r="B171" s="233" t="s">
        <v>25</v>
      </c>
      <c r="C171" s="233" t="s">
        <v>26</v>
      </c>
      <c r="D171" s="234" t="s">
        <v>32</v>
      </c>
      <c r="E171" s="281" t="s">
        <v>696</v>
      </c>
      <c r="F171" s="235" t="s">
        <v>746</v>
      </c>
      <c r="G171" s="235" t="s">
        <v>747</v>
      </c>
      <c r="H171" s="236" t="s">
        <v>748</v>
      </c>
      <c r="I171" s="234" t="s">
        <v>43</v>
      </c>
      <c r="J171" s="234" t="s">
        <v>38</v>
      </c>
      <c r="K171" s="234" t="s">
        <v>28</v>
      </c>
      <c r="L171" s="234" t="s">
        <v>28</v>
      </c>
      <c r="M171" s="234" t="s">
        <v>38</v>
      </c>
      <c r="N171" s="297">
        <v>0</v>
      </c>
      <c r="O171" s="234" t="s">
        <v>28</v>
      </c>
      <c r="P171" s="299">
        <v>0</v>
      </c>
      <c r="Q171" s="234" t="s">
        <v>28</v>
      </c>
      <c r="R171" s="299">
        <v>930710000.00000012</v>
      </c>
      <c r="S171" s="237">
        <v>42580</v>
      </c>
      <c r="T171" s="298">
        <v>0</v>
      </c>
      <c r="U171" s="237" t="s">
        <v>28</v>
      </c>
      <c r="V171" s="199">
        <f t="shared" si="9"/>
        <v>0</v>
      </c>
      <c r="W171" s="234" t="s">
        <v>28</v>
      </c>
      <c r="X171" s="199">
        <f t="shared" si="10"/>
        <v>0</v>
      </c>
      <c r="Y171" s="234" t="s">
        <v>28</v>
      </c>
      <c r="Z171" s="199">
        <f t="shared" si="11"/>
        <v>930710000.00000012</v>
      </c>
      <c r="AA171" s="237">
        <v>42580</v>
      </c>
      <c r="AB171" s="199">
        <f t="shared" si="12"/>
        <v>0</v>
      </c>
      <c r="AC171" s="237" t="s">
        <v>28</v>
      </c>
      <c r="AD171" s="235" t="s">
        <v>700</v>
      </c>
      <c r="AE171" s="238" t="s">
        <v>880</v>
      </c>
      <c r="AF171" s="239" t="s">
        <v>887</v>
      </c>
      <c r="AG171" s="240" t="s">
        <v>68</v>
      </c>
      <c r="AH171" s="241" t="s">
        <v>887</v>
      </c>
      <c r="AI171" s="21" t="s">
        <v>887</v>
      </c>
      <c r="AJ171" s="202" t="s">
        <v>1121</v>
      </c>
      <c r="AK171" s="203" t="s">
        <v>1144</v>
      </c>
      <c r="AL171" s="198"/>
      <c r="AM171" s="198" t="s">
        <v>1123</v>
      </c>
      <c r="AN171" s="198" t="s">
        <v>1124</v>
      </c>
      <c r="AO171" s="204">
        <v>1</v>
      </c>
      <c r="AP171" s="198" t="s">
        <v>1112</v>
      </c>
      <c r="AQ171" s="198"/>
      <c r="AR171" s="198"/>
    </row>
    <row r="172" spans="1:44">
      <c r="A172" s="232">
        <v>255</v>
      </c>
      <c r="B172" s="233" t="s">
        <v>25</v>
      </c>
      <c r="C172" s="233" t="s">
        <v>26</v>
      </c>
      <c r="D172" s="234" t="s">
        <v>32</v>
      </c>
      <c r="E172" s="281" t="s">
        <v>696</v>
      </c>
      <c r="F172" s="235" t="s">
        <v>749</v>
      </c>
      <c r="G172" s="235" t="s">
        <v>750</v>
      </c>
      <c r="H172" s="236" t="s">
        <v>751</v>
      </c>
      <c r="I172" s="234" t="s">
        <v>118</v>
      </c>
      <c r="J172" s="234" t="s">
        <v>38</v>
      </c>
      <c r="K172" s="234" t="s">
        <v>28</v>
      </c>
      <c r="L172" s="234" t="s">
        <v>28</v>
      </c>
      <c r="M172" s="234" t="s">
        <v>38</v>
      </c>
      <c r="N172" s="297">
        <v>0</v>
      </c>
      <c r="O172" s="234" t="s">
        <v>28</v>
      </c>
      <c r="P172" s="299">
        <v>0</v>
      </c>
      <c r="Q172" s="234" t="s">
        <v>28</v>
      </c>
      <c r="R172" s="299">
        <v>312757500</v>
      </c>
      <c r="S172" s="237">
        <v>42753</v>
      </c>
      <c r="T172" s="298">
        <v>0</v>
      </c>
      <c r="U172" s="237" t="s">
        <v>28</v>
      </c>
      <c r="V172" s="199">
        <f t="shared" si="9"/>
        <v>0</v>
      </c>
      <c r="W172" s="234" t="s">
        <v>28</v>
      </c>
      <c r="X172" s="199">
        <f t="shared" si="10"/>
        <v>0</v>
      </c>
      <c r="Y172" s="234" t="s">
        <v>28</v>
      </c>
      <c r="Z172" s="199">
        <f t="shared" si="11"/>
        <v>312757500</v>
      </c>
      <c r="AA172" s="237">
        <v>42753</v>
      </c>
      <c r="AB172" s="199">
        <f t="shared" si="12"/>
        <v>0</v>
      </c>
      <c r="AC172" s="237" t="s">
        <v>28</v>
      </c>
      <c r="AD172" s="235" t="s">
        <v>700</v>
      </c>
      <c r="AE172" s="238" t="s">
        <v>880</v>
      </c>
      <c r="AF172" s="239" t="s">
        <v>887</v>
      </c>
      <c r="AG172" s="240" t="s">
        <v>68</v>
      </c>
      <c r="AH172" s="241" t="s">
        <v>887</v>
      </c>
      <c r="AI172" s="21" t="s">
        <v>887</v>
      </c>
      <c r="AJ172" s="202" t="s">
        <v>1121</v>
      </c>
      <c r="AK172" s="203" t="s">
        <v>1144</v>
      </c>
      <c r="AL172" s="198"/>
      <c r="AM172" s="198" t="s">
        <v>1123</v>
      </c>
      <c r="AN172" s="198" t="s">
        <v>1124</v>
      </c>
      <c r="AO172" s="204">
        <v>1</v>
      </c>
      <c r="AP172" s="198" t="s">
        <v>1112</v>
      </c>
      <c r="AQ172" s="198"/>
      <c r="AR172" s="198"/>
    </row>
    <row r="173" spans="1:44">
      <c r="A173" s="232">
        <v>256</v>
      </c>
      <c r="B173" s="233" t="s">
        <v>25</v>
      </c>
      <c r="C173" s="233" t="s">
        <v>26</v>
      </c>
      <c r="D173" s="234" t="s">
        <v>32</v>
      </c>
      <c r="E173" s="281" t="s">
        <v>696</v>
      </c>
      <c r="F173" s="235" t="s">
        <v>752</v>
      </c>
      <c r="G173" s="235" t="s">
        <v>753</v>
      </c>
      <c r="H173" s="236" t="s">
        <v>754</v>
      </c>
      <c r="I173" s="234" t="s">
        <v>43</v>
      </c>
      <c r="J173" s="234" t="s">
        <v>38</v>
      </c>
      <c r="K173" s="234" t="s">
        <v>28</v>
      </c>
      <c r="L173" s="234" t="s">
        <v>28</v>
      </c>
      <c r="M173" s="234" t="s">
        <v>38</v>
      </c>
      <c r="N173" s="297">
        <v>0</v>
      </c>
      <c r="O173" s="234" t="s">
        <v>28</v>
      </c>
      <c r="P173" s="299">
        <v>0</v>
      </c>
      <c r="Q173" s="234" t="s">
        <v>28</v>
      </c>
      <c r="R173" s="299">
        <v>1465402400</v>
      </c>
      <c r="S173" s="237">
        <v>43112</v>
      </c>
      <c r="T173" s="298">
        <v>0</v>
      </c>
      <c r="U173" s="237" t="s">
        <v>28</v>
      </c>
      <c r="V173" s="199">
        <f t="shared" si="9"/>
        <v>0</v>
      </c>
      <c r="W173" s="234" t="s">
        <v>28</v>
      </c>
      <c r="X173" s="199">
        <f t="shared" si="10"/>
        <v>0</v>
      </c>
      <c r="Y173" s="234" t="s">
        <v>28</v>
      </c>
      <c r="Z173" s="199">
        <f t="shared" si="11"/>
        <v>1465402400</v>
      </c>
      <c r="AA173" s="237">
        <v>43112</v>
      </c>
      <c r="AB173" s="199">
        <f t="shared" si="12"/>
        <v>0</v>
      </c>
      <c r="AC173" s="237" t="s">
        <v>28</v>
      </c>
      <c r="AD173" s="235" t="s">
        <v>700</v>
      </c>
      <c r="AE173" s="238" t="s">
        <v>880</v>
      </c>
      <c r="AF173" s="239" t="s">
        <v>887</v>
      </c>
      <c r="AG173" s="240" t="s">
        <v>68</v>
      </c>
      <c r="AH173" s="241" t="s">
        <v>887</v>
      </c>
      <c r="AI173" s="21" t="s">
        <v>887</v>
      </c>
      <c r="AJ173" s="202" t="s">
        <v>1196</v>
      </c>
      <c r="AK173" s="203" t="s">
        <v>1283</v>
      </c>
      <c r="AL173" s="198" t="s">
        <v>1287</v>
      </c>
      <c r="AM173" s="198" t="s">
        <v>1288</v>
      </c>
      <c r="AN173" s="198" t="s">
        <v>1289</v>
      </c>
      <c r="AO173" s="204">
        <v>1</v>
      </c>
      <c r="AP173" s="200" t="s">
        <v>1201</v>
      </c>
      <c r="AQ173" s="198"/>
      <c r="AR173" s="198"/>
    </row>
    <row r="174" spans="1:44" s="278" customFormat="1">
      <c r="A174" s="232">
        <v>257</v>
      </c>
      <c r="B174" s="243" t="s">
        <v>25</v>
      </c>
      <c r="C174" s="243" t="s">
        <v>26</v>
      </c>
      <c r="D174" s="244" t="s">
        <v>32</v>
      </c>
      <c r="E174" s="282" t="s">
        <v>696</v>
      </c>
      <c r="F174" s="245" t="s">
        <v>755</v>
      </c>
      <c r="G174" s="245" t="s">
        <v>756</v>
      </c>
      <c r="H174" s="246" t="s">
        <v>757</v>
      </c>
      <c r="I174" s="244" t="s">
        <v>57</v>
      </c>
      <c r="J174" s="244" t="s">
        <v>38</v>
      </c>
      <c r="K174" s="244" t="s">
        <v>28</v>
      </c>
      <c r="L174" s="244" t="s">
        <v>28</v>
      </c>
      <c r="M174" s="244" t="s">
        <v>38</v>
      </c>
      <c r="N174" s="301">
        <v>0</v>
      </c>
      <c r="O174" s="244" t="s">
        <v>28</v>
      </c>
      <c r="P174" s="302">
        <v>0</v>
      </c>
      <c r="Q174" s="244" t="s">
        <v>28</v>
      </c>
      <c r="R174" s="302">
        <v>486063380.00000006</v>
      </c>
      <c r="S174" s="247">
        <v>42558</v>
      </c>
      <c r="T174" s="303">
        <v>0</v>
      </c>
      <c r="U174" s="247" t="s">
        <v>28</v>
      </c>
      <c r="V174" s="199">
        <f t="shared" si="9"/>
        <v>0</v>
      </c>
      <c r="W174" s="244" t="s">
        <v>28</v>
      </c>
      <c r="X174" s="199">
        <f t="shared" si="10"/>
        <v>0</v>
      </c>
      <c r="Y174" s="244" t="s">
        <v>28</v>
      </c>
      <c r="Z174" s="199">
        <f t="shared" si="11"/>
        <v>486063380.00000006</v>
      </c>
      <c r="AA174" s="247">
        <v>42558</v>
      </c>
      <c r="AB174" s="199">
        <f t="shared" si="12"/>
        <v>0</v>
      </c>
      <c r="AC174" s="247" t="s">
        <v>28</v>
      </c>
      <c r="AD174" s="245" t="s">
        <v>700</v>
      </c>
      <c r="AE174" s="248" t="s">
        <v>880</v>
      </c>
      <c r="AF174" s="249" t="s">
        <v>887</v>
      </c>
      <c r="AG174" s="250" t="s">
        <v>68</v>
      </c>
      <c r="AH174" s="251" t="s">
        <v>887</v>
      </c>
      <c r="AI174" s="230" t="s">
        <v>887</v>
      </c>
      <c r="AJ174" s="202" t="s">
        <v>1147</v>
      </c>
      <c r="AK174" s="207" t="s">
        <v>1148</v>
      </c>
      <c r="AL174" s="277" t="s">
        <v>1193</v>
      </c>
      <c r="AM174" s="277" t="s">
        <v>1194</v>
      </c>
      <c r="AN174" s="277" t="s">
        <v>1195</v>
      </c>
      <c r="AO174" s="204">
        <v>1</v>
      </c>
      <c r="AP174" s="198" t="s">
        <v>1120</v>
      </c>
      <c r="AQ174" s="277"/>
      <c r="AR174" s="277"/>
    </row>
    <row r="175" spans="1:44">
      <c r="A175" s="232">
        <v>258</v>
      </c>
      <c r="B175" s="233" t="s">
        <v>25</v>
      </c>
      <c r="C175" s="233" t="s">
        <v>26</v>
      </c>
      <c r="D175" s="234" t="s">
        <v>32</v>
      </c>
      <c r="E175" s="281" t="s">
        <v>696</v>
      </c>
      <c r="F175" s="235" t="s">
        <v>758</v>
      </c>
      <c r="G175" s="235" t="s">
        <v>759</v>
      </c>
      <c r="H175" s="236" t="s">
        <v>760</v>
      </c>
      <c r="I175" s="234" t="s">
        <v>118</v>
      </c>
      <c r="J175" s="234" t="s">
        <v>38</v>
      </c>
      <c r="K175" s="234" t="s">
        <v>28</v>
      </c>
      <c r="L175" s="234" t="s">
        <v>28</v>
      </c>
      <c r="M175" s="234" t="s">
        <v>38</v>
      </c>
      <c r="N175" s="297">
        <v>0</v>
      </c>
      <c r="O175" s="234" t="s">
        <v>28</v>
      </c>
      <c r="P175" s="299">
        <v>0</v>
      </c>
      <c r="Q175" s="234" t="s">
        <v>28</v>
      </c>
      <c r="R175" s="299">
        <v>125400000.00000001</v>
      </c>
      <c r="S175" s="237">
        <v>42835</v>
      </c>
      <c r="T175" s="298">
        <v>0</v>
      </c>
      <c r="U175" s="237" t="s">
        <v>28</v>
      </c>
      <c r="V175" s="199">
        <f t="shared" si="9"/>
        <v>0</v>
      </c>
      <c r="W175" s="234" t="s">
        <v>28</v>
      </c>
      <c r="X175" s="199">
        <f t="shared" si="10"/>
        <v>0</v>
      </c>
      <c r="Y175" s="234" t="s">
        <v>28</v>
      </c>
      <c r="Z175" s="199">
        <f t="shared" si="11"/>
        <v>125400000.00000001</v>
      </c>
      <c r="AA175" s="237">
        <v>42835</v>
      </c>
      <c r="AB175" s="199">
        <f t="shared" si="12"/>
        <v>0</v>
      </c>
      <c r="AC175" s="237" t="s">
        <v>28</v>
      </c>
      <c r="AD175" s="235" t="s">
        <v>700</v>
      </c>
      <c r="AE175" s="238" t="s">
        <v>880</v>
      </c>
      <c r="AF175" s="239" t="s">
        <v>887</v>
      </c>
      <c r="AG175" s="240" t="s">
        <v>68</v>
      </c>
      <c r="AH175" s="241" t="s">
        <v>887</v>
      </c>
      <c r="AI175" s="21" t="s">
        <v>887</v>
      </c>
      <c r="AJ175" s="202" t="s">
        <v>1121</v>
      </c>
      <c r="AK175" s="203" t="s">
        <v>1144</v>
      </c>
      <c r="AL175" s="198"/>
      <c r="AM175" s="198" t="s">
        <v>1123</v>
      </c>
      <c r="AN175" s="198" t="s">
        <v>1124</v>
      </c>
      <c r="AO175" s="204">
        <v>1</v>
      </c>
      <c r="AP175" s="198" t="s">
        <v>1112</v>
      </c>
      <c r="AQ175" s="198"/>
      <c r="AR175" s="198"/>
    </row>
    <row r="176" spans="1:44">
      <c r="A176" s="232">
        <v>260</v>
      </c>
      <c r="B176" s="233" t="s">
        <v>25</v>
      </c>
      <c r="C176" s="233" t="s">
        <v>26</v>
      </c>
      <c r="D176" s="234" t="s">
        <v>32</v>
      </c>
      <c r="E176" s="281" t="s">
        <v>696</v>
      </c>
      <c r="F176" s="235" t="s">
        <v>764</v>
      </c>
      <c r="G176" s="235" t="s">
        <v>765</v>
      </c>
      <c r="H176" s="236" t="s">
        <v>766</v>
      </c>
      <c r="I176" s="234" t="s">
        <v>118</v>
      </c>
      <c r="J176" s="234" t="s">
        <v>38</v>
      </c>
      <c r="K176" s="234" t="s">
        <v>28</v>
      </c>
      <c r="L176" s="234" t="s">
        <v>28</v>
      </c>
      <c r="M176" s="234" t="s">
        <v>38</v>
      </c>
      <c r="N176" s="297">
        <v>0</v>
      </c>
      <c r="O176" s="234" t="s">
        <v>28</v>
      </c>
      <c r="P176" s="299">
        <v>0</v>
      </c>
      <c r="Q176" s="234" t="s">
        <v>28</v>
      </c>
      <c r="R176" s="299">
        <v>899545900.00000012</v>
      </c>
      <c r="S176" s="237">
        <v>42586</v>
      </c>
      <c r="T176" s="298">
        <v>0</v>
      </c>
      <c r="U176" s="237" t="s">
        <v>28</v>
      </c>
      <c r="V176" s="199">
        <f t="shared" si="9"/>
        <v>0</v>
      </c>
      <c r="W176" s="234" t="s">
        <v>28</v>
      </c>
      <c r="X176" s="199">
        <f t="shared" si="10"/>
        <v>0</v>
      </c>
      <c r="Y176" s="234" t="s">
        <v>28</v>
      </c>
      <c r="Z176" s="199">
        <f t="shared" si="11"/>
        <v>899545900.00000012</v>
      </c>
      <c r="AA176" s="237">
        <v>42586</v>
      </c>
      <c r="AB176" s="199">
        <f t="shared" si="12"/>
        <v>0</v>
      </c>
      <c r="AC176" s="237" t="s">
        <v>28</v>
      </c>
      <c r="AD176" s="235" t="s">
        <v>700</v>
      </c>
      <c r="AE176" s="238" t="s">
        <v>881</v>
      </c>
      <c r="AF176" s="239" t="s">
        <v>887</v>
      </c>
      <c r="AG176" s="240" t="s">
        <v>68</v>
      </c>
      <c r="AH176" s="241" t="s">
        <v>887</v>
      </c>
      <c r="AI176" s="21" t="s">
        <v>887</v>
      </c>
      <c r="AJ176" s="202" t="s">
        <v>1196</v>
      </c>
      <c r="AK176" s="203" t="s">
        <v>1283</v>
      </c>
      <c r="AL176" s="198" t="s">
        <v>1284</v>
      </c>
      <c r="AM176" s="198" t="s">
        <v>1285</v>
      </c>
      <c r="AN176" s="198" t="s">
        <v>1286</v>
      </c>
      <c r="AO176" s="204">
        <v>1</v>
      </c>
      <c r="AP176" s="200" t="s">
        <v>1201</v>
      </c>
      <c r="AQ176" s="198"/>
      <c r="AR176" s="198"/>
    </row>
    <row r="177" spans="1:44" s="231" customFormat="1">
      <c r="A177" s="232">
        <v>262</v>
      </c>
      <c r="B177" s="243" t="s">
        <v>25</v>
      </c>
      <c r="C177" s="243" t="s">
        <v>26</v>
      </c>
      <c r="D177" s="244" t="s">
        <v>32</v>
      </c>
      <c r="E177" s="282" t="s">
        <v>696</v>
      </c>
      <c r="F177" s="245" t="s">
        <v>770</v>
      </c>
      <c r="G177" s="245" t="s">
        <v>771</v>
      </c>
      <c r="H177" s="246" t="s">
        <v>772</v>
      </c>
      <c r="I177" s="244" t="s">
        <v>125</v>
      </c>
      <c r="J177" s="244" t="s">
        <v>38</v>
      </c>
      <c r="K177" s="244" t="s">
        <v>28</v>
      </c>
      <c r="L177" s="244" t="s">
        <v>28</v>
      </c>
      <c r="M177" s="244" t="s">
        <v>38</v>
      </c>
      <c r="N177" s="301">
        <v>0</v>
      </c>
      <c r="O177" s="244" t="s">
        <v>28</v>
      </c>
      <c r="P177" s="302">
        <v>1061588385</v>
      </c>
      <c r="Q177" s="247">
        <v>41389</v>
      </c>
      <c r="R177" s="302">
        <v>0</v>
      </c>
      <c r="S177" s="247" t="s">
        <v>28</v>
      </c>
      <c r="T177" s="303">
        <v>0</v>
      </c>
      <c r="U177" s="247" t="s">
        <v>28</v>
      </c>
      <c r="V177" s="199">
        <f t="shared" si="9"/>
        <v>0</v>
      </c>
      <c r="W177" s="244" t="s">
        <v>28</v>
      </c>
      <c r="X177" s="199">
        <f t="shared" si="10"/>
        <v>530794192.5</v>
      </c>
      <c r="Y177" s="247">
        <v>41389</v>
      </c>
      <c r="Z177" s="199">
        <f t="shared" si="11"/>
        <v>0</v>
      </c>
      <c r="AA177" s="247" t="s">
        <v>28</v>
      </c>
      <c r="AB177" s="199">
        <f t="shared" si="12"/>
        <v>0</v>
      </c>
      <c r="AC177" s="247" t="s">
        <v>28</v>
      </c>
      <c r="AD177" s="245" t="s">
        <v>700</v>
      </c>
      <c r="AE177" s="248" t="s">
        <v>882</v>
      </c>
      <c r="AF177" s="249" t="s">
        <v>887</v>
      </c>
      <c r="AG177" s="250" t="s">
        <v>896</v>
      </c>
      <c r="AH177" s="251" t="s">
        <v>887</v>
      </c>
      <c r="AI177" s="230" t="s">
        <v>887</v>
      </c>
      <c r="AJ177" s="202" t="s">
        <v>1147</v>
      </c>
      <c r="AK177" s="207" t="s">
        <v>1148</v>
      </c>
      <c r="AL177" s="198" t="s">
        <v>1193</v>
      </c>
      <c r="AM177" s="198" t="s">
        <v>1194</v>
      </c>
      <c r="AN177" s="198" t="s">
        <v>1195</v>
      </c>
      <c r="AO177" s="204">
        <v>0.5</v>
      </c>
      <c r="AP177" s="198" t="s">
        <v>1120</v>
      </c>
      <c r="AQ177" s="198"/>
      <c r="AR177" s="198"/>
    </row>
    <row r="178" spans="1:44">
      <c r="A178" s="232">
        <v>263</v>
      </c>
      <c r="B178" s="233" t="s">
        <v>25</v>
      </c>
      <c r="C178" s="233" t="s">
        <v>26</v>
      </c>
      <c r="D178" s="234" t="s">
        <v>32</v>
      </c>
      <c r="E178" s="281" t="s">
        <v>696</v>
      </c>
      <c r="F178" s="235" t="s">
        <v>773</v>
      </c>
      <c r="G178" s="235" t="s">
        <v>774</v>
      </c>
      <c r="H178" s="236" t="s">
        <v>775</v>
      </c>
      <c r="I178" s="234" t="s">
        <v>125</v>
      </c>
      <c r="J178" s="234" t="s">
        <v>38</v>
      </c>
      <c r="K178" s="234" t="s">
        <v>28</v>
      </c>
      <c r="L178" s="234" t="s">
        <v>28</v>
      </c>
      <c r="M178" s="234" t="s">
        <v>38</v>
      </c>
      <c r="N178" s="297">
        <v>0</v>
      </c>
      <c r="O178" s="234" t="s">
        <v>28</v>
      </c>
      <c r="P178" s="299">
        <v>0</v>
      </c>
      <c r="Q178" s="234" t="s">
        <v>28</v>
      </c>
      <c r="R178" s="299">
        <v>1219581341</v>
      </c>
      <c r="S178" s="237">
        <v>42751</v>
      </c>
      <c r="T178" s="298">
        <v>0</v>
      </c>
      <c r="U178" s="237" t="s">
        <v>28</v>
      </c>
      <c r="V178" s="199">
        <f t="shared" si="9"/>
        <v>0</v>
      </c>
      <c r="W178" s="234" t="s">
        <v>28</v>
      </c>
      <c r="X178" s="199">
        <f t="shared" si="10"/>
        <v>0</v>
      </c>
      <c r="Y178" s="234" t="s">
        <v>28</v>
      </c>
      <c r="Z178" s="199">
        <f t="shared" si="11"/>
        <v>1219581341</v>
      </c>
      <c r="AA178" s="237">
        <v>42751</v>
      </c>
      <c r="AB178" s="199">
        <f t="shared" si="12"/>
        <v>0</v>
      </c>
      <c r="AC178" s="237" t="s">
        <v>28</v>
      </c>
      <c r="AD178" s="235" t="s">
        <v>700</v>
      </c>
      <c r="AE178" s="238" t="s">
        <v>882</v>
      </c>
      <c r="AF178" s="239" t="s">
        <v>887</v>
      </c>
      <c r="AG178" s="240" t="s">
        <v>68</v>
      </c>
      <c r="AH178" s="241" t="s">
        <v>887</v>
      </c>
      <c r="AI178" s="21" t="s">
        <v>887</v>
      </c>
      <c r="AJ178" s="202" t="s">
        <v>1184</v>
      </c>
      <c r="AK178" s="203" t="s">
        <v>1144</v>
      </c>
      <c r="AL178" s="198"/>
      <c r="AM178" s="198" t="s">
        <v>1123</v>
      </c>
      <c r="AN178" s="198" t="s">
        <v>1124</v>
      </c>
      <c r="AO178" s="204">
        <v>1</v>
      </c>
      <c r="AP178" s="198" t="s">
        <v>1114</v>
      </c>
      <c r="AQ178" s="198"/>
      <c r="AR178" s="198"/>
    </row>
    <row r="179" spans="1:44" s="231" customFormat="1">
      <c r="A179" s="232">
        <v>264</v>
      </c>
      <c r="B179" s="243" t="s">
        <v>25</v>
      </c>
      <c r="C179" s="243" t="s">
        <v>26</v>
      </c>
      <c r="D179" s="244" t="s">
        <v>32</v>
      </c>
      <c r="E179" s="282" t="s">
        <v>696</v>
      </c>
      <c r="F179" s="245" t="s">
        <v>776</v>
      </c>
      <c r="G179" s="245" t="s">
        <v>777</v>
      </c>
      <c r="H179" s="246" t="s">
        <v>778</v>
      </c>
      <c r="I179" s="244" t="s">
        <v>57</v>
      </c>
      <c r="J179" s="244" t="s">
        <v>38</v>
      </c>
      <c r="K179" s="244" t="s">
        <v>28</v>
      </c>
      <c r="L179" s="244" t="s">
        <v>28</v>
      </c>
      <c r="M179" s="244" t="s">
        <v>38</v>
      </c>
      <c r="N179" s="301">
        <v>18252300000</v>
      </c>
      <c r="O179" s="247">
        <v>40198</v>
      </c>
      <c r="P179" s="302">
        <v>0</v>
      </c>
      <c r="Q179" s="244" t="s">
        <v>28</v>
      </c>
      <c r="R179" s="301">
        <v>14212000000</v>
      </c>
      <c r="S179" s="247">
        <v>43214</v>
      </c>
      <c r="T179" s="303">
        <v>0</v>
      </c>
      <c r="U179" s="247" t="s">
        <v>28</v>
      </c>
      <c r="V179" s="199">
        <f t="shared" si="9"/>
        <v>9126150000</v>
      </c>
      <c r="W179" s="247">
        <v>40198</v>
      </c>
      <c r="X179" s="199">
        <f t="shared" si="10"/>
        <v>0</v>
      </c>
      <c r="Y179" s="244" t="s">
        <v>28</v>
      </c>
      <c r="Z179" s="199">
        <f t="shared" si="11"/>
        <v>7106000000</v>
      </c>
      <c r="AA179" s="247">
        <v>43214</v>
      </c>
      <c r="AB179" s="199">
        <f t="shared" si="12"/>
        <v>0</v>
      </c>
      <c r="AC179" s="247" t="s">
        <v>28</v>
      </c>
      <c r="AD179" s="245" t="s">
        <v>700</v>
      </c>
      <c r="AE179" s="248" t="s">
        <v>882</v>
      </c>
      <c r="AF179" s="249" t="s">
        <v>887</v>
      </c>
      <c r="AG179" s="250" t="s">
        <v>896</v>
      </c>
      <c r="AH179" s="251" t="s">
        <v>887</v>
      </c>
      <c r="AI179" s="230" t="s">
        <v>887</v>
      </c>
      <c r="AJ179" s="202" t="s">
        <v>1184</v>
      </c>
      <c r="AK179" s="207" t="s">
        <v>1148</v>
      </c>
      <c r="AL179" s="198" t="s">
        <v>1149</v>
      </c>
      <c r="AM179" s="198" t="s">
        <v>1150</v>
      </c>
      <c r="AN179" s="198" t="s">
        <v>1151</v>
      </c>
      <c r="AO179" s="204">
        <v>0.5</v>
      </c>
      <c r="AP179" s="198" t="s">
        <v>1120</v>
      </c>
      <c r="AQ179" s="198"/>
      <c r="AR179" s="198"/>
    </row>
    <row r="180" spans="1:44" s="231" customFormat="1">
      <c r="A180" s="232">
        <v>265</v>
      </c>
      <c r="B180" s="243" t="s">
        <v>25</v>
      </c>
      <c r="C180" s="243" t="s">
        <v>26</v>
      </c>
      <c r="D180" s="244" t="s">
        <v>32</v>
      </c>
      <c r="E180" s="282" t="s">
        <v>696</v>
      </c>
      <c r="F180" s="245" t="s">
        <v>779</v>
      </c>
      <c r="G180" s="245" t="s">
        <v>780</v>
      </c>
      <c r="H180" s="246" t="s">
        <v>781</v>
      </c>
      <c r="I180" s="244" t="s">
        <v>37</v>
      </c>
      <c r="J180" s="244" t="s">
        <v>38</v>
      </c>
      <c r="K180" s="244" t="s">
        <v>28</v>
      </c>
      <c r="L180" s="244" t="s">
        <v>28</v>
      </c>
      <c r="M180" s="244" t="s">
        <v>38</v>
      </c>
      <c r="N180" s="301">
        <v>10334500000</v>
      </c>
      <c r="O180" s="247">
        <v>40064</v>
      </c>
      <c r="P180" s="301">
        <v>8176300000</v>
      </c>
      <c r="Q180" s="247">
        <v>40868</v>
      </c>
      <c r="R180" s="301">
        <v>16180000000</v>
      </c>
      <c r="S180" s="247">
        <v>43287</v>
      </c>
      <c r="T180" s="303">
        <v>0</v>
      </c>
      <c r="U180" s="247" t="s">
        <v>28</v>
      </c>
      <c r="V180" s="199">
        <f t="shared" si="9"/>
        <v>5167250000</v>
      </c>
      <c r="W180" s="247">
        <v>40064</v>
      </c>
      <c r="X180" s="199">
        <f t="shared" si="10"/>
        <v>4088150000</v>
      </c>
      <c r="Y180" s="247">
        <v>40868</v>
      </c>
      <c r="Z180" s="199">
        <f t="shared" si="11"/>
        <v>8090000000</v>
      </c>
      <c r="AA180" s="247">
        <v>43287</v>
      </c>
      <c r="AB180" s="199">
        <f t="shared" si="12"/>
        <v>0</v>
      </c>
      <c r="AC180" s="247" t="s">
        <v>28</v>
      </c>
      <c r="AD180" s="245" t="s">
        <v>700</v>
      </c>
      <c r="AE180" s="248" t="s">
        <v>882</v>
      </c>
      <c r="AF180" s="249" t="s">
        <v>887</v>
      </c>
      <c r="AG180" s="250" t="s">
        <v>1290</v>
      </c>
      <c r="AH180" s="251" t="s">
        <v>887</v>
      </c>
      <c r="AI180" s="230" t="s">
        <v>887</v>
      </c>
      <c r="AJ180" s="202" t="s">
        <v>1147</v>
      </c>
      <c r="AK180" s="207" t="s">
        <v>1148</v>
      </c>
      <c r="AL180" s="198" t="s">
        <v>1193</v>
      </c>
      <c r="AM180" s="198" t="s">
        <v>1194</v>
      </c>
      <c r="AN180" s="198" t="s">
        <v>1195</v>
      </c>
      <c r="AO180" s="204">
        <v>0.5</v>
      </c>
      <c r="AP180" s="198" t="s">
        <v>1120</v>
      </c>
      <c r="AQ180" s="198"/>
      <c r="AR180" s="198"/>
    </row>
    <row r="181" spans="1:44">
      <c r="A181" s="232">
        <v>266</v>
      </c>
      <c r="B181" s="233" t="s">
        <v>25</v>
      </c>
      <c r="C181" s="233" t="s">
        <v>26</v>
      </c>
      <c r="D181" s="234" t="s">
        <v>32</v>
      </c>
      <c r="E181" s="281" t="s">
        <v>696</v>
      </c>
      <c r="F181" s="235" t="s">
        <v>782</v>
      </c>
      <c r="G181" s="235" t="s">
        <v>783</v>
      </c>
      <c r="H181" s="236" t="s">
        <v>784</v>
      </c>
      <c r="I181" s="234" t="s">
        <v>125</v>
      </c>
      <c r="J181" s="234" t="s">
        <v>38</v>
      </c>
      <c r="K181" s="234" t="s">
        <v>28</v>
      </c>
      <c r="L181" s="234" t="s">
        <v>28</v>
      </c>
      <c r="M181" s="234" t="s">
        <v>38</v>
      </c>
      <c r="N181" s="297">
        <v>0</v>
      </c>
      <c r="O181" s="234" t="s">
        <v>28</v>
      </c>
      <c r="P181" s="299">
        <v>0</v>
      </c>
      <c r="Q181" s="234" t="s">
        <v>28</v>
      </c>
      <c r="R181" s="299">
        <v>2226441800</v>
      </c>
      <c r="S181" s="237">
        <v>42704</v>
      </c>
      <c r="T181" s="298">
        <v>0</v>
      </c>
      <c r="U181" s="237" t="s">
        <v>28</v>
      </c>
      <c r="V181" s="199">
        <f t="shared" si="9"/>
        <v>0</v>
      </c>
      <c r="W181" s="234" t="s">
        <v>28</v>
      </c>
      <c r="X181" s="199">
        <f t="shared" si="10"/>
        <v>0</v>
      </c>
      <c r="Y181" s="234" t="s">
        <v>28</v>
      </c>
      <c r="Z181" s="199">
        <f t="shared" si="11"/>
        <v>2226441800</v>
      </c>
      <c r="AA181" s="237">
        <v>42704</v>
      </c>
      <c r="AB181" s="199">
        <f t="shared" si="12"/>
        <v>0</v>
      </c>
      <c r="AC181" s="237" t="s">
        <v>28</v>
      </c>
      <c r="AD181" s="235" t="s">
        <v>700</v>
      </c>
      <c r="AE181" s="238" t="s">
        <v>882</v>
      </c>
      <c r="AF181" s="239" t="s">
        <v>887</v>
      </c>
      <c r="AG181" s="240" t="s">
        <v>68</v>
      </c>
      <c r="AH181" s="241" t="s">
        <v>887</v>
      </c>
      <c r="AI181" s="21" t="s">
        <v>887</v>
      </c>
      <c r="AJ181" s="206" t="s">
        <v>1115</v>
      </c>
      <c r="AK181" s="207" t="s">
        <v>1155</v>
      </c>
      <c r="AL181" s="198" t="s">
        <v>1175</v>
      </c>
      <c r="AM181" s="198" t="s">
        <v>1176</v>
      </c>
      <c r="AN181" s="198" t="s">
        <v>1177</v>
      </c>
      <c r="AO181" s="204">
        <v>1</v>
      </c>
      <c r="AP181" s="198" t="s">
        <v>1120</v>
      </c>
      <c r="AQ181" s="198"/>
      <c r="AR181" s="198"/>
    </row>
    <row r="182" spans="1:44">
      <c r="A182" s="232">
        <v>267</v>
      </c>
      <c r="B182" s="233" t="s">
        <v>25</v>
      </c>
      <c r="C182" s="233" t="s">
        <v>26</v>
      </c>
      <c r="D182" s="234" t="s">
        <v>32</v>
      </c>
      <c r="E182" s="281" t="s">
        <v>696</v>
      </c>
      <c r="F182" s="235" t="s">
        <v>785</v>
      </c>
      <c r="G182" s="235" t="s">
        <v>786</v>
      </c>
      <c r="H182" s="236" t="s">
        <v>787</v>
      </c>
      <c r="I182" s="234" t="s">
        <v>125</v>
      </c>
      <c r="J182" s="234" t="s">
        <v>38</v>
      </c>
      <c r="K182" s="234" t="s">
        <v>28</v>
      </c>
      <c r="L182" s="234" t="s">
        <v>28</v>
      </c>
      <c r="M182" s="234" t="s">
        <v>38</v>
      </c>
      <c r="N182" s="297">
        <v>0</v>
      </c>
      <c r="O182" s="234" t="s">
        <v>28</v>
      </c>
      <c r="P182" s="299">
        <v>0</v>
      </c>
      <c r="Q182" s="234" t="s">
        <v>28</v>
      </c>
      <c r="R182" s="299">
        <v>1021500000.4000001</v>
      </c>
      <c r="S182" s="237">
        <v>42642</v>
      </c>
      <c r="T182" s="298">
        <v>1624461999.6000001</v>
      </c>
      <c r="U182" s="237">
        <v>45528</v>
      </c>
      <c r="V182" s="199">
        <f t="shared" si="9"/>
        <v>0</v>
      </c>
      <c r="W182" s="234" t="s">
        <v>28</v>
      </c>
      <c r="X182" s="199">
        <f t="shared" si="10"/>
        <v>0</v>
      </c>
      <c r="Y182" s="234" t="s">
        <v>28</v>
      </c>
      <c r="Z182" s="199">
        <f t="shared" si="11"/>
        <v>1021500000.4000001</v>
      </c>
      <c r="AA182" s="237">
        <v>42642</v>
      </c>
      <c r="AB182" s="199">
        <f t="shared" si="12"/>
        <v>1624461999.6000001</v>
      </c>
      <c r="AC182" s="237">
        <v>45528</v>
      </c>
      <c r="AD182" s="235" t="s">
        <v>700</v>
      </c>
      <c r="AE182" s="238" t="s">
        <v>883</v>
      </c>
      <c r="AF182" s="239" t="s">
        <v>887</v>
      </c>
      <c r="AG182" s="240" t="s">
        <v>68</v>
      </c>
      <c r="AH182" s="241" t="s">
        <v>887</v>
      </c>
      <c r="AI182" s="21" t="s">
        <v>887</v>
      </c>
      <c r="AJ182" s="202" t="s">
        <v>1184</v>
      </c>
      <c r="AK182" s="203" t="s">
        <v>1144</v>
      </c>
      <c r="AL182" s="198"/>
      <c r="AM182" s="198" t="s">
        <v>1123</v>
      </c>
      <c r="AN182" s="198" t="s">
        <v>1124</v>
      </c>
      <c r="AO182" s="204">
        <v>1</v>
      </c>
      <c r="AP182" s="198" t="s">
        <v>1114</v>
      </c>
      <c r="AQ182" s="198"/>
      <c r="AR182" s="198"/>
    </row>
    <row r="183" spans="1:44">
      <c r="A183" s="232">
        <v>268</v>
      </c>
      <c r="B183" s="233" t="s">
        <v>25</v>
      </c>
      <c r="C183" s="233" t="s">
        <v>26</v>
      </c>
      <c r="D183" s="234" t="s">
        <v>32</v>
      </c>
      <c r="E183" s="281" t="s">
        <v>696</v>
      </c>
      <c r="F183" s="235" t="s">
        <v>788</v>
      </c>
      <c r="G183" s="235" t="s">
        <v>789</v>
      </c>
      <c r="H183" s="236" t="s">
        <v>790</v>
      </c>
      <c r="I183" s="234" t="s">
        <v>125</v>
      </c>
      <c r="J183" s="234" t="s">
        <v>38</v>
      </c>
      <c r="K183" s="234" t="s">
        <v>28</v>
      </c>
      <c r="L183" s="234" t="s">
        <v>28</v>
      </c>
      <c r="M183" s="234" t="s">
        <v>38</v>
      </c>
      <c r="N183" s="297">
        <v>0</v>
      </c>
      <c r="O183" s="234" t="s">
        <v>28</v>
      </c>
      <c r="P183" s="299">
        <v>0</v>
      </c>
      <c r="Q183" s="234" t="s">
        <v>28</v>
      </c>
      <c r="R183" s="299">
        <v>1291340600</v>
      </c>
      <c r="S183" s="237">
        <v>42696</v>
      </c>
      <c r="T183" s="298">
        <v>1584297000.0000002</v>
      </c>
      <c r="U183" s="237">
        <v>45667</v>
      </c>
      <c r="V183" s="199">
        <f t="shared" si="9"/>
        <v>0</v>
      </c>
      <c r="W183" s="234" t="s">
        <v>28</v>
      </c>
      <c r="X183" s="199">
        <f t="shared" si="10"/>
        <v>0</v>
      </c>
      <c r="Y183" s="234" t="s">
        <v>28</v>
      </c>
      <c r="Z183" s="199">
        <f t="shared" si="11"/>
        <v>1291340600</v>
      </c>
      <c r="AA183" s="237">
        <v>42696</v>
      </c>
      <c r="AB183" s="199">
        <f t="shared" si="12"/>
        <v>1584297000.0000002</v>
      </c>
      <c r="AC183" s="237">
        <v>45667</v>
      </c>
      <c r="AD183" s="235" t="s">
        <v>700</v>
      </c>
      <c r="AE183" s="238" t="s">
        <v>883</v>
      </c>
      <c r="AF183" s="239" t="s">
        <v>887</v>
      </c>
      <c r="AG183" s="240" t="s">
        <v>68</v>
      </c>
      <c r="AH183" s="241" t="s">
        <v>887</v>
      </c>
      <c r="AI183" s="21" t="s">
        <v>887</v>
      </c>
      <c r="AJ183" s="202" t="s">
        <v>1196</v>
      </c>
      <c r="AK183" s="203" t="s">
        <v>1197</v>
      </c>
      <c r="AL183" s="198" t="s">
        <v>1291</v>
      </c>
      <c r="AM183" s="198" t="s">
        <v>1292</v>
      </c>
      <c r="AN183" s="198" t="s">
        <v>1293</v>
      </c>
      <c r="AO183" s="204">
        <v>1</v>
      </c>
      <c r="AP183" s="200" t="s">
        <v>1201</v>
      </c>
      <c r="AQ183" s="198"/>
      <c r="AR183" s="198"/>
    </row>
    <row r="184" spans="1:44">
      <c r="A184" s="232">
        <v>269</v>
      </c>
      <c r="B184" s="233" t="s">
        <v>25</v>
      </c>
      <c r="C184" s="233" t="s">
        <v>26</v>
      </c>
      <c r="D184" s="234" t="s">
        <v>32</v>
      </c>
      <c r="E184" s="281" t="s">
        <v>696</v>
      </c>
      <c r="F184" s="235" t="s">
        <v>791</v>
      </c>
      <c r="G184" s="235" t="s">
        <v>792</v>
      </c>
      <c r="H184" s="236" t="s">
        <v>793</v>
      </c>
      <c r="I184" s="234" t="s">
        <v>57</v>
      </c>
      <c r="J184" s="234" t="s">
        <v>38</v>
      </c>
      <c r="K184" s="234" t="s">
        <v>28</v>
      </c>
      <c r="L184" s="234" t="s">
        <v>28</v>
      </c>
      <c r="M184" s="234" t="s">
        <v>38</v>
      </c>
      <c r="N184" s="297">
        <v>0</v>
      </c>
      <c r="O184" s="234" t="s">
        <v>28</v>
      </c>
      <c r="P184" s="299">
        <v>0</v>
      </c>
      <c r="Q184" s="234" t="s">
        <v>28</v>
      </c>
      <c r="R184" s="297">
        <v>5829000000</v>
      </c>
      <c r="S184" s="237">
        <v>42792</v>
      </c>
      <c r="T184" s="298">
        <v>0</v>
      </c>
      <c r="U184" s="237" t="s">
        <v>28</v>
      </c>
      <c r="V184" s="199">
        <f t="shared" si="9"/>
        <v>0</v>
      </c>
      <c r="W184" s="234" t="s">
        <v>28</v>
      </c>
      <c r="X184" s="199">
        <f t="shared" si="10"/>
        <v>0</v>
      </c>
      <c r="Y184" s="234" t="s">
        <v>28</v>
      </c>
      <c r="Z184" s="199">
        <f t="shared" si="11"/>
        <v>5829000000</v>
      </c>
      <c r="AA184" s="237">
        <v>42792</v>
      </c>
      <c r="AB184" s="199">
        <f t="shared" si="12"/>
        <v>0</v>
      </c>
      <c r="AC184" s="237" t="s">
        <v>28</v>
      </c>
      <c r="AD184" s="235" t="s">
        <v>700</v>
      </c>
      <c r="AE184" s="238" t="s">
        <v>883</v>
      </c>
      <c r="AF184" s="239" t="s">
        <v>887</v>
      </c>
      <c r="AG184" s="240" t="s">
        <v>68</v>
      </c>
      <c r="AH184" s="241" t="s">
        <v>887</v>
      </c>
      <c r="AI184" s="21" t="s">
        <v>887</v>
      </c>
      <c r="AJ184" s="202" t="s">
        <v>1121</v>
      </c>
      <c r="AK184" s="203" t="s">
        <v>1144</v>
      </c>
      <c r="AL184" s="198"/>
      <c r="AM184" s="198" t="s">
        <v>1123</v>
      </c>
      <c r="AN184" s="198" t="s">
        <v>1124</v>
      </c>
      <c r="AO184" s="204">
        <v>1</v>
      </c>
      <c r="AP184" s="198" t="s">
        <v>1112</v>
      </c>
      <c r="AQ184" s="198"/>
      <c r="AR184" s="198"/>
    </row>
    <row r="185" spans="1:44">
      <c r="A185" s="232">
        <v>270</v>
      </c>
      <c r="B185" s="233" t="s">
        <v>25</v>
      </c>
      <c r="C185" s="233" t="s">
        <v>26</v>
      </c>
      <c r="D185" s="234" t="s">
        <v>32</v>
      </c>
      <c r="E185" s="281" t="s">
        <v>696</v>
      </c>
      <c r="F185" s="235" t="s">
        <v>794</v>
      </c>
      <c r="G185" s="235" t="s">
        <v>795</v>
      </c>
      <c r="H185" s="236" t="s">
        <v>796</v>
      </c>
      <c r="I185" s="234" t="s">
        <v>528</v>
      </c>
      <c r="J185" s="234" t="s">
        <v>38</v>
      </c>
      <c r="K185" s="234" t="s">
        <v>28</v>
      </c>
      <c r="L185" s="234" t="s">
        <v>28</v>
      </c>
      <c r="M185" s="234" t="s">
        <v>38</v>
      </c>
      <c r="N185" s="297">
        <v>0</v>
      </c>
      <c r="O185" s="234" t="s">
        <v>28</v>
      </c>
      <c r="P185" s="299">
        <v>0</v>
      </c>
      <c r="Q185" s="234" t="s">
        <v>28</v>
      </c>
      <c r="R185" s="299">
        <v>383791826.00000006</v>
      </c>
      <c r="S185" s="237">
        <v>42510</v>
      </c>
      <c r="T185" s="298">
        <v>0</v>
      </c>
      <c r="U185" s="237" t="s">
        <v>28</v>
      </c>
      <c r="V185" s="199">
        <f t="shared" si="9"/>
        <v>0</v>
      </c>
      <c r="W185" s="234" t="s">
        <v>28</v>
      </c>
      <c r="X185" s="199">
        <f t="shared" si="10"/>
        <v>0</v>
      </c>
      <c r="Y185" s="234" t="s">
        <v>28</v>
      </c>
      <c r="Z185" s="199">
        <f t="shared" si="11"/>
        <v>383791826.00000006</v>
      </c>
      <c r="AA185" s="237">
        <v>42510</v>
      </c>
      <c r="AB185" s="199">
        <f t="shared" si="12"/>
        <v>0</v>
      </c>
      <c r="AC185" s="237" t="s">
        <v>28</v>
      </c>
      <c r="AD185" s="235" t="s">
        <v>700</v>
      </c>
      <c r="AE185" s="238" t="s">
        <v>883</v>
      </c>
      <c r="AF185" s="239" t="s">
        <v>887</v>
      </c>
      <c r="AG185" s="240" t="s">
        <v>68</v>
      </c>
      <c r="AH185" s="241" t="s">
        <v>887</v>
      </c>
      <c r="AI185" s="21" t="s">
        <v>887</v>
      </c>
      <c r="AJ185" s="202" t="s">
        <v>1196</v>
      </c>
      <c r="AK185" s="203" t="s">
        <v>1283</v>
      </c>
      <c r="AL185" s="198" t="s">
        <v>1287</v>
      </c>
      <c r="AM185" s="198" t="s">
        <v>1288</v>
      </c>
      <c r="AN185" s="198" t="s">
        <v>1289</v>
      </c>
      <c r="AO185" s="204">
        <v>1</v>
      </c>
      <c r="AP185" s="200" t="s">
        <v>1201</v>
      </c>
      <c r="AQ185" s="198"/>
      <c r="AR185" s="198"/>
    </row>
    <row r="186" spans="1:44">
      <c r="A186" s="232">
        <v>271</v>
      </c>
      <c r="B186" s="233" t="s">
        <v>25</v>
      </c>
      <c r="C186" s="233" t="s">
        <v>26</v>
      </c>
      <c r="D186" s="234" t="s">
        <v>32</v>
      </c>
      <c r="E186" s="281" t="s">
        <v>696</v>
      </c>
      <c r="F186" s="235" t="s">
        <v>797</v>
      </c>
      <c r="G186" s="235" t="s">
        <v>798</v>
      </c>
      <c r="H186" s="236" t="s">
        <v>799</v>
      </c>
      <c r="I186" s="234" t="s">
        <v>53</v>
      </c>
      <c r="J186" s="234" t="s">
        <v>38</v>
      </c>
      <c r="K186" s="234" t="s">
        <v>28</v>
      </c>
      <c r="L186" s="234" t="s">
        <v>28</v>
      </c>
      <c r="M186" s="234" t="s">
        <v>38</v>
      </c>
      <c r="N186" s="297">
        <v>0</v>
      </c>
      <c r="O186" s="234" t="s">
        <v>28</v>
      </c>
      <c r="P186" s="299">
        <v>0</v>
      </c>
      <c r="Q186" s="234" t="s">
        <v>28</v>
      </c>
      <c r="R186" s="299">
        <v>742892700.00000012</v>
      </c>
      <c r="S186" s="237">
        <v>42559</v>
      </c>
      <c r="T186" s="298">
        <v>0</v>
      </c>
      <c r="U186" s="237" t="s">
        <v>28</v>
      </c>
      <c r="V186" s="199">
        <f t="shared" si="9"/>
        <v>0</v>
      </c>
      <c r="W186" s="234" t="s">
        <v>28</v>
      </c>
      <c r="X186" s="199">
        <f t="shared" si="10"/>
        <v>0</v>
      </c>
      <c r="Y186" s="234" t="s">
        <v>28</v>
      </c>
      <c r="Z186" s="199">
        <f t="shared" si="11"/>
        <v>742892700.00000012</v>
      </c>
      <c r="AA186" s="237">
        <v>42559</v>
      </c>
      <c r="AB186" s="199">
        <f t="shared" si="12"/>
        <v>0</v>
      </c>
      <c r="AC186" s="237" t="s">
        <v>28</v>
      </c>
      <c r="AD186" s="235" t="s">
        <v>700</v>
      </c>
      <c r="AE186" s="238" t="s">
        <v>880</v>
      </c>
      <c r="AF186" s="239" t="s">
        <v>887</v>
      </c>
      <c r="AG186" s="240" t="s">
        <v>68</v>
      </c>
      <c r="AH186" s="241" t="s">
        <v>887</v>
      </c>
      <c r="AI186" s="21" t="s">
        <v>887</v>
      </c>
      <c r="AJ186" s="202" t="s">
        <v>1196</v>
      </c>
      <c r="AK186" s="203" t="s">
        <v>1283</v>
      </c>
      <c r="AL186" s="198" t="s">
        <v>1287</v>
      </c>
      <c r="AM186" s="198" t="s">
        <v>1288</v>
      </c>
      <c r="AN186" s="198" t="s">
        <v>1289</v>
      </c>
      <c r="AO186" s="204">
        <v>1</v>
      </c>
      <c r="AP186" s="200" t="s">
        <v>1201</v>
      </c>
      <c r="AQ186" s="198"/>
      <c r="AR186" s="198"/>
    </row>
    <row r="187" spans="1:44">
      <c r="A187" s="232">
        <v>272</v>
      </c>
      <c r="B187" s="233" t="s">
        <v>25</v>
      </c>
      <c r="C187" s="233" t="s">
        <v>26</v>
      </c>
      <c r="D187" s="234" t="s">
        <v>32</v>
      </c>
      <c r="E187" s="281" t="s">
        <v>696</v>
      </c>
      <c r="F187" s="235" t="s">
        <v>800</v>
      </c>
      <c r="G187" s="235" t="s">
        <v>801</v>
      </c>
      <c r="H187" s="236" t="s">
        <v>802</v>
      </c>
      <c r="I187" s="234" t="s">
        <v>53</v>
      </c>
      <c r="J187" s="234" t="s">
        <v>38</v>
      </c>
      <c r="K187" s="234" t="s">
        <v>28</v>
      </c>
      <c r="L187" s="234" t="s">
        <v>28</v>
      </c>
      <c r="M187" s="234" t="s">
        <v>38</v>
      </c>
      <c r="N187" s="297">
        <v>0</v>
      </c>
      <c r="O187" s="234" t="s">
        <v>28</v>
      </c>
      <c r="P187" s="299">
        <v>0</v>
      </c>
      <c r="Q187" s="234" t="s">
        <v>28</v>
      </c>
      <c r="R187" s="297">
        <v>6611000000</v>
      </c>
      <c r="S187" s="237">
        <v>43714</v>
      </c>
      <c r="T187" s="298">
        <v>0</v>
      </c>
      <c r="U187" s="237" t="s">
        <v>28</v>
      </c>
      <c r="V187" s="199">
        <f t="shared" si="9"/>
        <v>0</v>
      </c>
      <c r="W187" s="234" t="s">
        <v>28</v>
      </c>
      <c r="X187" s="199">
        <f t="shared" si="10"/>
        <v>0</v>
      </c>
      <c r="Y187" s="234" t="s">
        <v>28</v>
      </c>
      <c r="Z187" s="199">
        <f t="shared" si="11"/>
        <v>6611000000</v>
      </c>
      <c r="AA187" s="237">
        <v>43714</v>
      </c>
      <c r="AB187" s="199">
        <f t="shared" si="12"/>
        <v>0</v>
      </c>
      <c r="AC187" s="237" t="s">
        <v>28</v>
      </c>
      <c r="AD187" s="235" t="s">
        <v>700</v>
      </c>
      <c r="AE187" s="238" t="s">
        <v>880</v>
      </c>
      <c r="AF187" s="239" t="s">
        <v>887</v>
      </c>
      <c r="AG187" s="240" t="s">
        <v>68</v>
      </c>
      <c r="AH187" s="241" t="s">
        <v>887</v>
      </c>
      <c r="AI187" s="21" t="s">
        <v>887</v>
      </c>
      <c r="AJ187" s="202" t="s">
        <v>1196</v>
      </c>
      <c r="AK187" s="203" t="s">
        <v>1283</v>
      </c>
      <c r="AL187" s="198" t="s">
        <v>1287</v>
      </c>
      <c r="AM187" s="198" t="s">
        <v>1288</v>
      </c>
      <c r="AN187" s="198" t="s">
        <v>1289</v>
      </c>
      <c r="AO187" s="204">
        <v>1</v>
      </c>
      <c r="AP187" s="200" t="s">
        <v>1201</v>
      </c>
      <c r="AQ187" s="198"/>
      <c r="AR187" s="198"/>
    </row>
    <row r="188" spans="1:44">
      <c r="A188" s="232">
        <v>273</v>
      </c>
      <c r="B188" s="233" t="s">
        <v>25</v>
      </c>
      <c r="C188" s="233" t="s">
        <v>26</v>
      </c>
      <c r="D188" s="234" t="s">
        <v>32</v>
      </c>
      <c r="E188" s="281" t="s">
        <v>696</v>
      </c>
      <c r="F188" s="235" t="s">
        <v>803</v>
      </c>
      <c r="G188" s="235" t="s">
        <v>804</v>
      </c>
      <c r="H188" s="236" t="s">
        <v>805</v>
      </c>
      <c r="I188" s="234" t="s">
        <v>53</v>
      </c>
      <c r="J188" s="234" t="s">
        <v>38</v>
      </c>
      <c r="K188" s="234" t="s">
        <v>28</v>
      </c>
      <c r="L188" s="234" t="s">
        <v>28</v>
      </c>
      <c r="M188" s="234" t="s">
        <v>38</v>
      </c>
      <c r="N188" s="297">
        <v>0</v>
      </c>
      <c r="O188" s="234" t="s">
        <v>28</v>
      </c>
      <c r="P188" s="299">
        <v>0</v>
      </c>
      <c r="Q188" s="234" t="s">
        <v>28</v>
      </c>
      <c r="R188" s="299">
        <v>3349500000.0000005</v>
      </c>
      <c r="S188" s="237">
        <v>42873</v>
      </c>
      <c r="T188" s="298">
        <v>0</v>
      </c>
      <c r="U188" s="237" t="s">
        <v>28</v>
      </c>
      <c r="V188" s="199">
        <f t="shared" si="9"/>
        <v>0</v>
      </c>
      <c r="W188" s="234" t="s">
        <v>28</v>
      </c>
      <c r="X188" s="199">
        <f t="shared" si="10"/>
        <v>0</v>
      </c>
      <c r="Y188" s="234" t="s">
        <v>28</v>
      </c>
      <c r="Z188" s="199">
        <f t="shared" si="11"/>
        <v>3349500000.0000005</v>
      </c>
      <c r="AA188" s="237">
        <v>42873</v>
      </c>
      <c r="AB188" s="199">
        <f t="shared" si="12"/>
        <v>0</v>
      </c>
      <c r="AC188" s="237" t="s">
        <v>28</v>
      </c>
      <c r="AD188" s="235" t="s">
        <v>700</v>
      </c>
      <c r="AE188" s="238" t="s">
        <v>880</v>
      </c>
      <c r="AF188" s="239" t="s">
        <v>887</v>
      </c>
      <c r="AG188" s="240" t="s">
        <v>68</v>
      </c>
      <c r="AH188" s="241" t="s">
        <v>887</v>
      </c>
      <c r="AI188" s="21" t="s">
        <v>887</v>
      </c>
      <c r="AJ188" s="202" t="s">
        <v>1121</v>
      </c>
      <c r="AK188" s="203" t="s">
        <v>1154</v>
      </c>
      <c r="AL188" s="198"/>
      <c r="AM188" s="198" t="s">
        <v>1123</v>
      </c>
      <c r="AN188" s="198" t="s">
        <v>1124</v>
      </c>
      <c r="AO188" s="204">
        <v>1</v>
      </c>
      <c r="AP188" s="198" t="s">
        <v>1112</v>
      </c>
      <c r="AQ188" s="198"/>
      <c r="AR188" s="198"/>
    </row>
    <row r="189" spans="1:44">
      <c r="A189" s="205">
        <v>282</v>
      </c>
      <c r="B189" s="8" t="s">
        <v>25</v>
      </c>
      <c r="C189" s="8" t="s">
        <v>821</v>
      </c>
      <c r="D189" s="8" t="s">
        <v>822</v>
      </c>
      <c r="E189" s="7" t="s">
        <v>28</v>
      </c>
      <c r="F189" s="7" t="s">
        <v>28</v>
      </c>
      <c r="G189" s="11" t="s">
        <v>823</v>
      </c>
      <c r="H189" s="11" t="s">
        <v>823</v>
      </c>
      <c r="I189" s="7" t="s">
        <v>28</v>
      </c>
      <c r="J189" s="7" t="s">
        <v>28</v>
      </c>
      <c r="K189" s="12" t="s">
        <v>38</v>
      </c>
      <c r="L189" s="7" t="s">
        <v>28</v>
      </c>
      <c r="M189" s="7" t="s">
        <v>28</v>
      </c>
      <c r="N189" s="14">
        <v>0</v>
      </c>
      <c r="O189" s="10" t="s">
        <v>28</v>
      </c>
      <c r="P189" s="14">
        <v>7210000000</v>
      </c>
      <c r="Q189" s="10">
        <v>42067</v>
      </c>
      <c r="R189" s="14">
        <v>12169000000</v>
      </c>
      <c r="S189" s="10">
        <v>44246</v>
      </c>
      <c r="T189" s="14">
        <v>0</v>
      </c>
      <c r="U189" s="10" t="s">
        <v>28</v>
      </c>
      <c r="V189" s="199">
        <f t="shared" si="9"/>
        <v>0</v>
      </c>
      <c r="W189" s="10" t="s">
        <v>28</v>
      </c>
      <c r="X189" s="199">
        <f t="shared" si="10"/>
        <v>7210000000</v>
      </c>
      <c r="Y189" s="10">
        <v>42067</v>
      </c>
      <c r="Z189" s="199">
        <f t="shared" si="11"/>
        <v>12169000000</v>
      </c>
      <c r="AA189" s="10">
        <v>44246</v>
      </c>
      <c r="AB189" s="199">
        <f t="shared" si="12"/>
        <v>0</v>
      </c>
      <c r="AC189" s="10" t="s">
        <v>28</v>
      </c>
      <c r="AD189" s="15" t="s">
        <v>68</v>
      </c>
      <c r="AE189" s="15" t="s">
        <v>885</v>
      </c>
      <c r="AF189" s="21" t="s">
        <v>887</v>
      </c>
      <c r="AG189" s="67" t="s">
        <v>68</v>
      </c>
      <c r="AH189" s="33" t="s">
        <v>887</v>
      </c>
      <c r="AI189" s="21" t="s">
        <v>887</v>
      </c>
      <c r="AJ189" s="202" t="s">
        <v>1196</v>
      </c>
      <c r="AK189" s="203" t="s">
        <v>1283</v>
      </c>
      <c r="AL189" s="198" t="s">
        <v>1294</v>
      </c>
      <c r="AM189" s="198" t="s">
        <v>1295</v>
      </c>
      <c r="AN189" s="198" t="s">
        <v>1296</v>
      </c>
      <c r="AO189" s="204">
        <v>1</v>
      </c>
      <c r="AP189" s="200" t="s">
        <v>1201</v>
      </c>
      <c r="AQ189" s="198"/>
      <c r="AR189" s="198"/>
    </row>
    <row r="190" spans="1:44">
      <c r="A190" s="205">
        <v>283</v>
      </c>
      <c r="B190" s="8" t="s">
        <v>25</v>
      </c>
      <c r="C190" s="8" t="s">
        <v>821</v>
      </c>
      <c r="D190" s="8" t="s">
        <v>822</v>
      </c>
      <c r="E190" s="7" t="s">
        <v>28</v>
      </c>
      <c r="F190" s="7" t="s">
        <v>28</v>
      </c>
      <c r="G190" s="11" t="s">
        <v>824</v>
      </c>
      <c r="H190" s="11" t="s">
        <v>824</v>
      </c>
      <c r="I190" s="7" t="s">
        <v>28</v>
      </c>
      <c r="J190" s="7" t="s">
        <v>28</v>
      </c>
      <c r="K190" s="12" t="s">
        <v>38</v>
      </c>
      <c r="L190" s="7" t="s">
        <v>28</v>
      </c>
      <c r="M190" s="7" t="s">
        <v>28</v>
      </c>
      <c r="N190" s="9">
        <v>0</v>
      </c>
      <c r="O190" s="10" t="s">
        <v>28</v>
      </c>
      <c r="P190" s="9">
        <v>5263000000</v>
      </c>
      <c r="Q190" s="10">
        <v>41787</v>
      </c>
      <c r="R190" s="45">
        <v>0</v>
      </c>
      <c r="S190" s="46" t="s">
        <v>28</v>
      </c>
      <c r="T190" s="9">
        <v>0</v>
      </c>
      <c r="U190" s="10" t="s">
        <v>28</v>
      </c>
      <c r="V190" s="199">
        <f t="shared" si="9"/>
        <v>0</v>
      </c>
      <c r="W190" s="10" t="s">
        <v>28</v>
      </c>
      <c r="X190" s="199">
        <f t="shared" si="10"/>
        <v>5263000000</v>
      </c>
      <c r="Y190" s="10">
        <v>41787</v>
      </c>
      <c r="Z190" s="199">
        <f t="shared" si="11"/>
        <v>0</v>
      </c>
      <c r="AA190" s="46" t="s">
        <v>28</v>
      </c>
      <c r="AB190" s="199">
        <f t="shared" si="12"/>
        <v>0</v>
      </c>
      <c r="AC190" s="10" t="s">
        <v>28</v>
      </c>
      <c r="AD190" s="15" t="s">
        <v>68</v>
      </c>
      <c r="AE190" s="15" t="s">
        <v>885</v>
      </c>
      <c r="AF190" s="21" t="s">
        <v>68</v>
      </c>
      <c r="AG190" s="67" t="s">
        <v>68</v>
      </c>
      <c r="AH190" s="33" t="s">
        <v>887</v>
      </c>
      <c r="AI190" s="21" t="s">
        <v>887</v>
      </c>
      <c r="AJ190" s="202" t="s">
        <v>1121</v>
      </c>
      <c r="AK190" s="203" t="s">
        <v>1144</v>
      </c>
      <c r="AL190" s="198"/>
      <c r="AM190" s="198" t="s">
        <v>1123</v>
      </c>
      <c r="AN190" s="198" t="s">
        <v>1124</v>
      </c>
      <c r="AO190" s="204">
        <v>1</v>
      </c>
      <c r="AP190" s="198" t="s">
        <v>1112</v>
      </c>
      <c r="AQ190" s="198"/>
      <c r="AR190" s="198"/>
    </row>
    <row r="191" spans="1:44">
      <c r="A191" s="205">
        <v>295</v>
      </c>
      <c r="B191" s="8" t="s">
        <v>837</v>
      </c>
      <c r="C191" s="8" t="s">
        <v>838</v>
      </c>
      <c r="D191" s="8" t="s">
        <v>839</v>
      </c>
      <c r="E191" s="7" t="s">
        <v>28</v>
      </c>
      <c r="F191" s="7" t="s">
        <v>28</v>
      </c>
      <c r="G191" s="11" t="s">
        <v>840</v>
      </c>
      <c r="H191" s="11" t="s">
        <v>840</v>
      </c>
      <c r="I191" s="7" t="s">
        <v>28</v>
      </c>
      <c r="J191" s="7" t="s">
        <v>28</v>
      </c>
      <c r="K191" s="12" t="s">
        <v>28</v>
      </c>
      <c r="L191" s="7" t="s">
        <v>28</v>
      </c>
      <c r="M191" s="7" t="s">
        <v>28</v>
      </c>
      <c r="N191" s="9">
        <v>293300700000</v>
      </c>
      <c r="O191" s="10">
        <v>38957</v>
      </c>
      <c r="P191" s="9">
        <v>329437900000</v>
      </c>
      <c r="Q191" s="10">
        <v>39962</v>
      </c>
      <c r="R191" s="47">
        <v>431500000000</v>
      </c>
      <c r="S191" s="48">
        <v>41740</v>
      </c>
      <c r="T191" s="9">
        <v>467202000000</v>
      </c>
      <c r="U191" s="10">
        <v>42447</v>
      </c>
      <c r="V191" s="199">
        <f t="shared" si="9"/>
        <v>293300700000</v>
      </c>
      <c r="W191" s="10">
        <v>38957</v>
      </c>
      <c r="X191" s="199">
        <f t="shared" si="10"/>
        <v>329437900000</v>
      </c>
      <c r="Y191" s="10">
        <v>39962</v>
      </c>
      <c r="Z191" s="199">
        <f t="shared" si="11"/>
        <v>431500000000</v>
      </c>
      <c r="AA191" s="48">
        <v>41740</v>
      </c>
      <c r="AB191" s="199">
        <f t="shared" si="12"/>
        <v>467202000000</v>
      </c>
      <c r="AC191" s="10">
        <v>42447</v>
      </c>
      <c r="AD191" s="15" t="s">
        <v>876</v>
      </c>
      <c r="AE191" s="15" t="s">
        <v>886</v>
      </c>
      <c r="AF191" s="21" t="s">
        <v>68</v>
      </c>
      <c r="AG191" s="67" t="s">
        <v>68</v>
      </c>
      <c r="AH191" s="33" t="s">
        <v>887</v>
      </c>
      <c r="AI191" s="21" t="s">
        <v>887</v>
      </c>
      <c r="AJ191" s="202" t="s">
        <v>1121</v>
      </c>
      <c r="AK191" s="203" t="s">
        <v>1144</v>
      </c>
      <c r="AL191" s="198"/>
      <c r="AM191" s="198" t="s">
        <v>1123</v>
      </c>
      <c r="AN191" s="198" t="s">
        <v>1124</v>
      </c>
      <c r="AO191" s="204">
        <v>1</v>
      </c>
      <c r="AP191" s="198" t="s">
        <v>1112</v>
      </c>
      <c r="AQ191" s="198"/>
      <c r="AR191" s="198"/>
    </row>
    <row r="192" spans="1:44">
      <c r="A192" s="205">
        <v>296</v>
      </c>
      <c r="B192" s="8" t="s">
        <v>837</v>
      </c>
      <c r="C192" s="8" t="s">
        <v>838</v>
      </c>
      <c r="D192" s="8" t="s">
        <v>841</v>
      </c>
      <c r="E192" s="7" t="s">
        <v>28</v>
      </c>
      <c r="F192" s="7" t="s">
        <v>28</v>
      </c>
      <c r="G192" s="11" t="s">
        <v>842</v>
      </c>
      <c r="H192" s="11" t="s">
        <v>842</v>
      </c>
      <c r="I192" s="7" t="s">
        <v>28</v>
      </c>
      <c r="J192" s="7" t="s">
        <v>28</v>
      </c>
      <c r="K192" s="12" t="s">
        <v>38</v>
      </c>
      <c r="L192" s="7" t="s">
        <v>28</v>
      </c>
      <c r="M192" s="7" t="s">
        <v>28</v>
      </c>
      <c r="N192" s="14">
        <v>0</v>
      </c>
      <c r="O192" s="10" t="s">
        <v>28</v>
      </c>
      <c r="P192" s="14">
        <v>11165000000</v>
      </c>
      <c r="Q192" s="10">
        <v>41060</v>
      </c>
      <c r="R192" s="14">
        <v>16237000000</v>
      </c>
      <c r="S192" s="10">
        <v>42793</v>
      </c>
      <c r="T192" s="14">
        <v>0</v>
      </c>
      <c r="U192" s="10" t="s">
        <v>28</v>
      </c>
      <c r="V192" s="199">
        <f t="shared" si="9"/>
        <v>0</v>
      </c>
      <c r="W192" s="10" t="s">
        <v>28</v>
      </c>
      <c r="X192" s="199">
        <f t="shared" si="10"/>
        <v>11165000000</v>
      </c>
      <c r="Y192" s="10">
        <v>41060</v>
      </c>
      <c r="Z192" s="199">
        <f t="shared" si="11"/>
        <v>16237000000</v>
      </c>
      <c r="AA192" s="10">
        <v>42793</v>
      </c>
      <c r="AB192" s="199">
        <f t="shared" si="12"/>
        <v>0</v>
      </c>
      <c r="AC192" s="10" t="s">
        <v>28</v>
      </c>
      <c r="AD192" s="15" t="s">
        <v>876</v>
      </c>
      <c r="AE192" s="15" t="s">
        <v>885</v>
      </c>
      <c r="AF192" s="21" t="s">
        <v>68</v>
      </c>
      <c r="AG192" s="67" t="s">
        <v>68</v>
      </c>
      <c r="AH192" s="33" t="s">
        <v>887</v>
      </c>
      <c r="AI192" s="21" t="s">
        <v>887</v>
      </c>
      <c r="AJ192" s="202" t="s">
        <v>1121</v>
      </c>
      <c r="AK192" s="203" t="s">
        <v>1144</v>
      </c>
      <c r="AL192" s="198"/>
      <c r="AM192" s="198" t="s">
        <v>1123</v>
      </c>
      <c r="AN192" s="198" t="s">
        <v>1124</v>
      </c>
      <c r="AO192" s="204">
        <v>1</v>
      </c>
      <c r="AP192" s="198" t="s">
        <v>1112</v>
      </c>
      <c r="AQ192" s="198"/>
      <c r="AR192" s="198"/>
    </row>
    <row r="193" spans="1:43">
      <c r="A193" s="205">
        <v>297</v>
      </c>
      <c r="B193" s="8" t="s">
        <v>837</v>
      </c>
      <c r="C193" s="8" t="s">
        <v>838</v>
      </c>
      <c r="D193" s="8" t="s">
        <v>841</v>
      </c>
      <c r="E193" s="7" t="s">
        <v>28</v>
      </c>
      <c r="F193" s="7" t="s">
        <v>28</v>
      </c>
      <c r="G193" s="11" t="s">
        <v>843</v>
      </c>
      <c r="H193" s="11" t="s">
        <v>843</v>
      </c>
      <c r="I193" s="7" t="s">
        <v>28</v>
      </c>
      <c r="J193" s="7" t="s">
        <v>28</v>
      </c>
      <c r="K193" s="12" t="s">
        <v>38</v>
      </c>
      <c r="L193" s="7" t="s">
        <v>28</v>
      </c>
      <c r="M193" s="7" t="s">
        <v>28</v>
      </c>
      <c r="N193" s="14">
        <v>0</v>
      </c>
      <c r="O193" s="10" t="s">
        <v>28</v>
      </c>
      <c r="P193" s="14">
        <v>28884000000</v>
      </c>
      <c r="Q193" s="10">
        <v>42067</v>
      </c>
      <c r="R193" s="14">
        <v>46517000000</v>
      </c>
      <c r="S193" s="10">
        <v>44224</v>
      </c>
      <c r="T193" s="14">
        <v>0</v>
      </c>
      <c r="U193" s="10" t="s">
        <v>28</v>
      </c>
      <c r="V193" s="199">
        <f t="shared" si="9"/>
        <v>0</v>
      </c>
      <c r="W193" s="10" t="s">
        <v>28</v>
      </c>
      <c r="X193" s="199">
        <f t="shared" si="10"/>
        <v>28884000000</v>
      </c>
      <c r="Y193" s="10">
        <v>42067</v>
      </c>
      <c r="Z193" s="199">
        <f t="shared" si="11"/>
        <v>46517000000</v>
      </c>
      <c r="AA193" s="10">
        <v>44224</v>
      </c>
      <c r="AB193" s="199">
        <f t="shared" si="12"/>
        <v>0</v>
      </c>
      <c r="AC193" s="10" t="s">
        <v>28</v>
      </c>
      <c r="AD193" s="15" t="s">
        <v>876</v>
      </c>
      <c r="AE193" s="15" t="s">
        <v>885</v>
      </c>
      <c r="AF193" s="21" t="s">
        <v>68</v>
      </c>
      <c r="AG193" s="67" t="s">
        <v>68</v>
      </c>
      <c r="AH193" s="33" t="s">
        <v>887</v>
      </c>
      <c r="AI193" s="21" t="s">
        <v>887</v>
      </c>
      <c r="AJ193" s="202" t="s">
        <v>1121</v>
      </c>
      <c r="AK193" s="203" t="s">
        <v>1144</v>
      </c>
      <c r="AL193" s="198"/>
      <c r="AM193" s="198" t="s">
        <v>1123</v>
      </c>
      <c r="AN193" s="198" t="s">
        <v>1124</v>
      </c>
      <c r="AO193" s="204">
        <v>1</v>
      </c>
      <c r="AP193" s="198" t="s">
        <v>1112</v>
      </c>
      <c r="AQ193" s="198"/>
    </row>
    <row r="194" spans="1:43">
      <c r="A194" s="205">
        <v>298</v>
      </c>
      <c r="B194" s="8" t="s">
        <v>837</v>
      </c>
      <c r="C194" s="8" t="s">
        <v>838</v>
      </c>
      <c r="D194" s="8" t="s">
        <v>841</v>
      </c>
      <c r="E194" s="7" t="s">
        <v>28</v>
      </c>
      <c r="F194" s="7" t="s">
        <v>28</v>
      </c>
      <c r="G194" s="11" t="s">
        <v>844</v>
      </c>
      <c r="H194" s="11" t="s">
        <v>844</v>
      </c>
      <c r="I194" s="7" t="s">
        <v>28</v>
      </c>
      <c r="J194" s="7" t="s">
        <v>28</v>
      </c>
      <c r="K194" s="12" t="s">
        <v>38</v>
      </c>
      <c r="L194" s="7" t="s">
        <v>28</v>
      </c>
      <c r="M194" s="7" t="s">
        <v>28</v>
      </c>
      <c r="N194" s="9">
        <v>0</v>
      </c>
      <c r="O194" s="10" t="s">
        <v>28</v>
      </c>
      <c r="P194" s="9">
        <v>13180200000.000002</v>
      </c>
      <c r="Q194" s="10">
        <v>40149</v>
      </c>
      <c r="R194" s="45">
        <v>0</v>
      </c>
      <c r="S194" s="46" t="s">
        <v>28</v>
      </c>
      <c r="T194" s="9">
        <v>26692000000</v>
      </c>
      <c r="U194" s="10">
        <v>45351</v>
      </c>
      <c r="V194" s="199">
        <f t="shared" si="9"/>
        <v>0</v>
      </c>
      <c r="W194" s="10" t="s">
        <v>28</v>
      </c>
      <c r="X194" s="199">
        <f t="shared" si="10"/>
        <v>13180200000.000002</v>
      </c>
      <c r="Y194" s="10">
        <v>40149</v>
      </c>
      <c r="Z194" s="199">
        <f t="shared" si="11"/>
        <v>0</v>
      </c>
      <c r="AA194" s="46" t="s">
        <v>28</v>
      </c>
      <c r="AB194" s="199">
        <f t="shared" si="12"/>
        <v>26692000000</v>
      </c>
      <c r="AC194" s="10">
        <v>45351</v>
      </c>
      <c r="AD194" s="15" t="s">
        <v>876</v>
      </c>
      <c r="AE194" s="15" t="s">
        <v>885</v>
      </c>
      <c r="AF194" s="21" t="s">
        <v>68</v>
      </c>
      <c r="AG194" s="67" t="s">
        <v>68</v>
      </c>
      <c r="AH194" s="33" t="s">
        <v>887</v>
      </c>
      <c r="AI194" s="21" t="s">
        <v>887</v>
      </c>
      <c r="AJ194" s="202" t="s">
        <v>1121</v>
      </c>
      <c r="AK194" s="203" t="s">
        <v>1144</v>
      </c>
      <c r="AL194" s="198"/>
      <c r="AM194" s="198" t="s">
        <v>1123</v>
      </c>
      <c r="AN194" s="198" t="s">
        <v>1124</v>
      </c>
      <c r="AO194" s="204">
        <v>1</v>
      </c>
      <c r="AP194" s="198" t="s">
        <v>1112</v>
      </c>
      <c r="AQ194" s="198"/>
    </row>
    <row r="195" spans="1:43" ht="51.75">
      <c r="V195" s="199">
        <f t="shared" ref="V195" si="13">N195*$AO195</f>
        <v>0</v>
      </c>
      <c r="X195" s="199">
        <f t="shared" ref="X195" si="14">P195*$AO195</f>
        <v>0</v>
      </c>
      <c r="Z195" s="199">
        <f t="shared" ref="Z195" si="15">R195*$AO195</f>
        <v>0</v>
      </c>
      <c r="AB195" s="199">
        <f t="shared" ref="AB195" si="16">T195*$AO195</f>
        <v>0</v>
      </c>
      <c r="AK195" s="284"/>
      <c r="AP195" s="286" t="s">
        <v>1297</v>
      </c>
    </row>
  </sheetData>
  <phoneticPr fontId="2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F56B9-9A7A-452A-A4DD-AEBA206A6133}">
  <dimension ref="A1:Z305"/>
  <sheetViews>
    <sheetView workbookViewId="0">
      <selection activeCell="P6" sqref="P6"/>
    </sheetView>
  </sheetViews>
  <sheetFormatPr defaultRowHeight="17.25"/>
  <cols>
    <col min="16" max="16" width="16.33203125" bestFit="1" customWidth="1"/>
  </cols>
  <sheetData>
    <row r="1" spans="1:26" ht="18" thickBot="1">
      <c r="A1" s="17" t="s">
        <v>4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  <c r="L1" s="17" t="s">
        <v>13</v>
      </c>
      <c r="M1" s="17" t="s">
        <v>15</v>
      </c>
      <c r="N1" s="18" t="s">
        <v>16</v>
      </c>
      <c r="O1" s="17" t="s">
        <v>17</v>
      </c>
      <c r="P1" s="18" t="s">
        <v>18</v>
      </c>
      <c r="Q1" s="17" t="s">
        <v>19</v>
      </c>
      <c r="R1" s="19" t="s">
        <v>20</v>
      </c>
      <c r="S1" s="17" t="s">
        <v>21</v>
      </c>
      <c r="T1" s="19" t="s">
        <v>22</v>
      </c>
      <c r="U1" s="17" t="s">
        <v>23</v>
      </c>
      <c r="V1" s="17" t="s">
        <v>24</v>
      </c>
      <c r="W1" s="16" t="s">
        <v>891</v>
      </c>
      <c r="X1" s="16" t="s">
        <v>890</v>
      </c>
      <c r="Y1" s="65" t="s">
        <v>892</v>
      </c>
      <c r="Z1" s="62" t="s">
        <v>893</v>
      </c>
    </row>
    <row r="2" spans="1:26">
      <c r="A2" s="22">
        <v>1</v>
      </c>
      <c r="B2" s="23" t="s">
        <v>25</v>
      </c>
      <c r="C2" s="23" t="s">
        <v>26</v>
      </c>
      <c r="D2" s="23" t="s">
        <v>27</v>
      </c>
      <c r="E2" s="24" t="s">
        <v>28</v>
      </c>
      <c r="F2" s="24" t="s">
        <v>28</v>
      </c>
      <c r="G2" s="25" t="s">
        <v>27</v>
      </c>
      <c r="H2" s="25" t="s">
        <v>27</v>
      </c>
      <c r="I2" s="24" t="s">
        <v>28</v>
      </c>
      <c r="J2" s="24" t="s">
        <v>28</v>
      </c>
      <c r="K2" s="24" t="s">
        <v>28</v>
      </c>
      <c r="L2" s="24" t="s">
        <v>28</v>
      </c>
      <c r="M2" s="24" t="s">
        <v>28</v>
      </c>
      <c r="N2" s="26">
        <v>100000000000</v>
      </c>
      <c r="O2" s="27">
        <v>38957</v>
      </c>
      <c r="P2" s="26">
        <v>100000000000</v>
      </c>
      <c r="Q2" s="27">
        <v>40025</v>
      </c>
      <c r="R2" s="26">
        <v>100000000000</v>
      </c>
      <c r="S2" s="27">
        <v>41879</v>
      </c>
      <c r="T2" s="26">
        <v>100000000000</v>
      </c>
      <c r="U2" s="27">
        <v>45380</v>
      </c>
      <c r="V2" s="28" t="s">
        <v>29</v>
      </c>
      <c r="W2" s="63" t="s">
        <v>882</v>
      </c>
      <c r="X2" s="29" t="s">
        <v>887</v>
      </c>
      <c r="Y2" s="66" t="s">
        <v>68</v>
      </c>
      <c r="Z2" s="30" t="s">
        <v>68</v>
      </c>
    </row>
    <row r="3" spans="1:26">
      <c r="A3" s="31">
        <v>2</v>
      </c>
      <c r="B3" s="8" t="s">
        <v>25</v>
      </c>
      <c r="C3" s="8" t="s">
        <v>26</v>
      </c>
      <c r="D3" s="8" t="s">
        <v>30</v>
      </c>
      <c r="E3" s="7" t="s">
        <v>28</v>
      </c>
      <c r="F3" s="7" t="s">
        <v>28</v>
      </c>
      <c r="G3" s="32" t="s">
        <v>30</v>
      </c>
      <c r="H3" s="32" t="s">
        <v>30</v>
      </c>
      <c r="I3" s="7" t="s">
        <v>28</v>
      </c>
      <c r="J3" s="7" t="s">
        <v>28</v>
      </c>
      <c r="K3" s="7" t="s">
        <v>28</v>
      </c>
      <c r="L3" s="7" t="s">
        <v>28</v>
      </c>
      <c r="M3" s="7" t="s">
        <v>28</v>
      </c>
      <c r="N3" s="9">
        <v>245408900000.00003</v>
      </c>
      <c r="O3" s="10">
        <v>38957</v>
      </c>
      <c r="P3" s="9">
        <v>475737900000.00006</v>
      </c>
      <c r="Q3" s="10">
        <v>39987</v>
      </c>
      <c r="R3" s="9">
        <v>456122000000</v>
      </c>
      <c r="S3" s="10">
        <v>41879</v>
      </c>
      <c r="T3" s="9">
        <v>585244000000</v>
      </c>
      <c r="U3" s="10">
        <v>45380</v>
      </c>
      <c r="V3" s="11" t="s">
        <v>31</v>
      </c>
      <c r="W3" s="15" t="s">
        <v>883</v>
      </c>
      <c r="X3" s="21" t="s">
        <v>887</v>
      </c>
      <c r="Y3" s="67" t="s">
        <v>68</v>
      </c>
      <c r="Z3" s="33" t="s">
        <v>68</v>
      </c>
    </row>
    <row r="4" spans="1:26">
      <c r="A4" s="31">
        <v>3</v>
      </c>
      <c r="B4" s="8" t="s">
        <v>25</v>
      </c>
      <c r="C4" s="8" t="s">
        <v>26</v>
      </c>
      <c r="D4" s="12" t="s">
        <v>32</v>
      </c>
      <c r="E4" s="12" t="s">
        <v>33</v>
      </c>
      <c r="F4" s="34" t="s">
        <v>34</v>
      </c>
      <c r="G4" s="11" t="s">
        <v>35</v>
      </c>
      <c r="H4" s="11" t="s">
        <v>36</v>
      </c>
      <c r="I4" s="7" t="s">
        <v>37</v>
      </c>
      <c r="J4" s="12" t="s">
        <v>38</v>
      </c>
      <c r="K4" s="12" t="s">
        <v>28</v>
      </c>
      <c r="L4" s="12" t="s">
        <v>28</v>
      </c>
      <c r="M4" s="12" t="s">
        <v>38</v>
      </c>
      <c r="N4" s="9">
        <v>23645600000.000004</v>
      </c>
      <c r="O4" s="10">
        <v>39419</v>
      </c>
      <c r="P4" s="35">
        <v>0</v>
      </c>
      <c r="Q4" s="12" t="s">
        <v>28</v>
      </c>
      <c r="R4" s="9">
        <v>30942000000</v>
      </c>
      <c r="S4" s="10">
        <v>42200</v>
      </c>
      <c r="T4" s="9">
        <v>36650000000</v>
      </c>
      <c r="U4" s="10">
        <v>45230</v>
      </c>
      <c r="V4" s="11" t="s">
        <v>39</v>
      </c>
      <c r="W4" s="64" t="s">
        <v>879</v>
      </c>
      <c r="X4" s="21" t="s">
        <v>68</v>
      </c>
      <c r="Y4" s="67" t="s">
        <v>68</v>
      </c>
      <c r="Z4" s="33" t="s">
        <v>887</v>
      </c>
    </row>
    <row r="5" spans="1:26">
      <c r="A5" s="31">
        <v>4</v>
      </c>
      <c r="B5" s="8" t="s">
        <v>25</v>
      </c>
      <c r="C5" s="8" t="s">
        <v>26</v>
      </c>
      <c r="D5" s="12" t="s">
        <v>32</v>
      </c>
      <c r="E5" s="12" t="s">
        <v>33</v>
      </c>
      <c r="F5" s="34" t="s">
        <v>40</v>
      </c>
      <c r="G5" s="34" t="s">
        <v>41</v>
      </c>
      <c r="H5" s="36" t="s">
        <v>42</v>
      </c>
      <c r="I5" s="12" t="s">
        <v>43</v>
      </c>
      <c r="J5" s="12" t="s">
        <v>38</v>
      </c>
      <c r="K5" s="12" t="s">
        <v>28</v>
      </c>
      <c r="L5" s="12" t="s">
        <v>28</v>
      </c>
      <c r="M5" s="12" t="s">
        <v>38</v>
      </c>
      <c r="N5" s="9">
        <v>33513700000.000004</v>
      </c>
      <c r="O5" s="10">
        <v>39254</v>
      </c>
      <c r="P5" s="9">
        <v>44972098600</v>
      </c>
      <c r="Q5" s="10">
        <v>40632</v>
      </c>
      <c r="R5" s="9">
        <v>45098000000</v>
      </c>
      <c r="S5" s="10">
        <v>42251</v>
      </c>
      <c r="T5" s="9">
        <v>61733000000</v>
      </c>
      <c r="U5" s="10">
        <v>45282</v>
      </c>
      <c r="V5" s="11" t="s">
        <v>39</v>
      </c>
      <c r="W5" s="64" t="s">
        <v>879</v>
      </c>
      <c r="X5" s="21" t="s">
        <v>68</v>
      </c>
      <c r="Y5" s="67" t="s">
        <v>68</v>
      </c>
      <c r="Z5" s="33" t="s">
        <v>887</v>
      </c>
    </row>
    <row r="6" spans="1:26">
      <c r="A6" s="31">
        <v>5</v>
      </c>
      <c r="B6" s="8" t="s">
        <v>25</v>
      </c>
      <c r="C6" s="8" t="s">
        <v>26</v>
      </c>
      <c r="D6" s="12" t="s">
        <v>32</v>
      </c>
      <c r="E6" s="12" t="s">
        <v>33</v>
      </c>
      <c r="F6" s="34" t="s">
        <v>44</v>
      </c>
      <c r="G6" s="34" t="s">
        <v>45</v>
      </c>
      <c r="H6" s="36" t="s">
        <v>46</v>
      </c>
      <c r="I6" s="12" t="s">
        <v>37</v>
      </c>
      <c r="J6" s="12" t="s">
        <v>38</v>
      </c>
      <c r="K6" s="12" t="s">
        <v>28</v>
      </c>
      <c r="L6" s="12" t="s">
        <v>28</v>
      </c>
      <c r="M6" s="12" t="s">
        <v>38</v>
      </c>
      <c r="N6" s="9">
        <v>35998600000</v>
      </c>
      <c r="O6" s="10">
        <v>39409</v>
      </c>
      <c r="P6" s="9">
        <v>58219000000</v>
      </c>
      <c r="Q6" s="10">
        <v>41051</v>
      </c>
      <c r="R6" s="9">
        <v>58560000000</v>
      </c>
      <c r="S6" s="10">
        <v>42401</v>
      </c>
      <c r="T6" s="9">
        <v>82313000000</v>
      </c>
      <c r="U6" s="10">
        <v>45280</v>
      </c>
      <c r="V6" s="11" t="s">
        <v>39</v>
      </c>
      <c r="W6" s="64" t="s">
        <v>879</v>
      </c>
      <c r="X6" s="21" t="s">
        <v>68</v>
      </c>
      <c r="Y6" s="67" t="s">
        <v>68</v>
      </c>
      <c r="Z6" s="33" t="s">
        <v>887</v>
      </c>
    </row>
    <row r="7" spans="1:26">
      <c r="A7" s="31">
        <v>6</v>
      </c>
      <c r="B7" s="8" t="s">
        <v>25</v>
      </c>
      <c r="C7" s="8" t="s">
        <v>26</v>
      </c>
      <c r="D7" s="12" t="s">
        <v>32</v>
      </c>
      <c r="E7" s="12" t="s">
        <v>33</v>
      </c>
      <c r="F7" s="34" t="s">
        <v>47</v>
      </c>
      <c r="G7" s="34" t="s">
        <v>48</v>
      </c>
      <c r="H7" s="36" t="s">
        <v>49</v>
      </c>
      <c r="I7" s="12" t="s">
        <v>37</v>
      </c>
      <c r="J7" s="12" t="s">
        <v>38</v>
      </c>
      <c r="K7" s="12" t="s">
        <v>28</v>
      </c>
      <c r="L7" s="12" t="s">
        <v>28</v>
      </c>
      <c r="M7" s="12" t="s">
        <v>38</v>
      </c>
      <c r="N7" s="9">
        <v>39430600000</v>
      </c>
      <c r="O7" s="10">
        <v>39409</v>
      </c>
      <c r="P7" s="9">
        <v>71640000000</v>
      </c>
      <c r="Q7" s="10">
        <v>41051</v>
      </c>
      <c r="R7" s="9">
        <v>74285000000</v>
      </c>
      <c r="S7" s="10">
        <v>42415</v>
      </c>
      <c r="T7" s="9">
        <v>114986000000</v>
      </c>
      <c r="U7" s="10">
        <v>45280</v>
      </c>
      <c r="V7" s="11" t="s">
        <v>39</v>
      </c>
      <c r="W7" s="64" t="s">
        <v>879</v>
      </c>
      <c r="X7" s="21" t="s">
        <v>68</v>
      </c>
      <c r="Y7" s="67" t="s">
        <v>68</v>
      </c>
      <c r="Z7" s="33" t="s">
        <v>887</v>
      </c>
    </row>
    <row r="8" spans="1:26">
      <c r="A8" s="31">
        <v>7</v>
      </c>
      <c r="B8" s="8" t="s">
        <v>25</v>
      </c>
      <c r="C8" s="8" t="s">
        <v>26</v>
      </c>
      <c r="D8" s="12" t="s">
        <v>32</v>
      </c>
      <c r="E8" s="12" t="s">
        <v>33</v>
      </c>
      <c r="F8" s="34" t="s">
        <v>50</v>
      </c>
      <c r="G8" s="34" t="s">
        <v>51</v>
      </c>
      <c r="H8" s="36" t="s">
        <v>52</v>
      </c>
      <c r="I8" s="12" t="s">
        <v>53</v>
      </c>
      <c r="J8" s="12" t="s">
        <v>38</v>
      </c>
      <c r="K8" s="12" t="s">
        <v>28</v>
      </c>
      <c r="L8" s="12" t="s">
        <v>28</v>
      </c>
      <c r="M8" s="12" t="s">
        <v>38</v>
      </c>
      <c r="N8" s="9">
        <v>2104300000.0000002</v>
      </c>
      <c r="O8" s="10">
        <v>39409</v>
      </c>
      <c r="P8" s="35">
        <v>0</v>
      </c>
      <c r="Q8" s="12" t="s">
        <v>28</v>
      </c>
      <c r="R8" s="35">
        <v>0</v>
      </c>
      <c r="S8" s="10" t="s">
        <v>28</v>
      </c>
      <c r="T8" s="37">
        <v>0</v>
      </c>
      <c r="U8" s="10" t="s">
        <v>28</v>
      </c>
      <c r="V8" s="11" t="s">
        <v>39</v>
      </c>
      <c r="W8" s="64" t="s">
        <v>879</v>
      </c>
      <c r="X8" s="21" t="s">
        <v>68</v>
      </c>
      <c r="Y8" s="67" t="s">
        <v>68</v>
      </c>
      <c r="Z8" s="33" t="s">
        <v>887</v>
      </c>
    </row>
    <row r="9" spans="1:26">
      <c r="A9" s="31">
        <v>8</v>
      </c>
      <c r="B9" s="8" t="s">
        <v>25</v>
      </c>
      <c r="C9" s="8" t="s">
        <v>26</v>
      </c>
      <c r="D9" s="12" t="s">
        <v>32</v>
      </c>
      <c r="E9" s="12" t="s">
        <v>33</v>
      </c>
      <c r="F9" s="34" t="s">
        <v>54</v>
      </c>
      <c r="G9" s="34" t="s">
        <v>55</v>
      </c>
      <c r="H9" s="36" t="s">
        <v>56</v>
      </c>
      <c r="I9" s="12" t="s">
        <v>57</v>
      </c>
      <c r="J9" s="12" t="s">
        <v>38</v>
      </c>
      <c r="K9" s="12" t="s">
        <v>28</v>
      </c>
      <c r="L9" s="12" t="s">
        <v>28</v>
      </c>
      <c r="M9" s="12" t="s">
        <v>38</v>
      </c>
      <c r="N9" s="9">
        <v>31672300000.000004</v>
      </c>
      <c r="O9" s="10">
        <v>39443</v>
      </c>
      <c r="P9" s="9">
        <v>23650000000.000004</v>
      </c>
      <c r="Q9" s="10">
        <v>40378</v>
      </c>
      <c r="R9" s="9">
        <v>28704000000</v>
      </c>
      <c r="S9" s="10">
        <v>42605</v>
      </c>
      <c r="T9" s="37">
        <v>0</v>
      </c>
      <c r="U9" s="10" t="s">
        <v>28</v>
      </c>
      <c r="V9" s="11" t="s">
        <v>39</v>
      </c>
      <c r="W9" s="64" t="s">
        <v>879</v>
      </c>
      <c r="X9" s="21" t="s">
        <v>68</v>
      </c>
      <c r="Y9" s="67" t="s">
        <v>68</v>
      </c>
      <c r="Z9" s="33" t="s">
        <v>887</v>
      </c>
    </row>
    <row r="10" spans="1:26">
      <c r="A10" s="31">
        <v>9</v>
      </c>
      <c r="B10" s="8" t="s">
        <v>25</v>
      </c>
      <c r="C10" s="8" t="s">
        <v>26</v>
      </c>
      <c r="D10" s="12" t="s">
        <v>32</v>
      </c>
      <c r="E10" s="12" t="s">
        <v>33</v>
      </c>
      <c r="F10" s="34" t="s">
        <v>58</v>
      </c>
      <c r="G10" s="34" t="s">
        <v>59</v>
      </c>
      <c r="H10" s="36" t="s">
        <v>60</v>
      </c>
      <c r="I10" s="12" t="s">
        <v>61</v>
      </c>
      <c r="J10" s="12" t="s">
        <v>38</v>
      </c>
      <c r="K10" s="12" t="s">
        <v>28</v>
      </c>
      <c r="L10" s="12" t="s">
        <v>28</v>
      </c>
      <c r="M10" s="12" t="s">
        <v>38</v>
      </c>
      <c r="N10" s="9">
        <v>20255400000</v>
      </c>
      <c r="O10" s="10">
        <v>39386</v>
      </c>
      <c r="P10" s="9">
        <v>23221000000</v>
      </c>
      <c r="Q10" s="10">
        <v>40633</v>
      </c>
      <c r="R10" s="9">
        <v>21890000000</v>
      </c>
      <c r="S10" s="10">
        <v>42439</v>
      </c>
      <c r="T10" s="9">
        <v>35749000000</v>
      </c>
      <c r="U10" s="10">
        <v>45362</v>
      </c>
      <c r="V10" s="11" t="s">
        <v>39</v>
      </c>
      <c r="W10" s="64" t="s">
        <v>879</v>
      </c>
      <c r="X10" s="21" t="s">
        <v>68</v>
      </c>
      <c r="Y10" s="67" t="s">
        <v>68</v>
      </c>
      <c r="Z10" s="33" t="s">
        <v>887</v>
      </c>
    </row>
    <row r="11" spans="1:26">
      <c r="A11" s="31">
        <v>10</v>
      </c>
      <c r="B11" s="8" t="s">
        <v>25</v>
      </c>
      <c r="C11" s="8" t="s">
        <v>26</v>
      </c>
      <c r="D11" s="12" t="s">
        <v>32</v>
      </c>
      <c r="E11" s="12" t="s">
        <v>33</v>
      </c>
      <c r="F11" s="34" t="s">
        <v>62</v>
      </c>
      <c r="G11" s="34" t="s">
        <v>63</v>
      </c>
      <c r="H11" s="36" t="s">
        <v>64</v>
      </c>
      <c r="I11" s="12" t="s">
        <v>57</v>
      </c>
      <c r="J11" s="12" t="s">
        <v>38</v>
      </c>
      <c r="K11" s="12" t="s">
        <v>28</v>
      </c>
      <c r="L11" s="12" t="s">
        <v>28</v>
      </c>
      <c r="M11" s="12" t="s">
        <v>38</v>
      </c>
      <c r="N11" s="9">
        <v>29304000000.000004</v>
      </c>
      <c r="O11" s="10">
        <v>39440</v>
      </c>
      <c r="P11" s="35">
        <v>0</v>
      </c>
      <c r="Q11" s="12" t="s">
        <v>28</v>
      </c>
      <c r="R11" s="9">
        <v>21036000000</v>
      </c>
      <c r="S11" s="10">
        <v>42517</v>
      </c>
      <c r="T11" s="37">
        <v>0</v>
      </c>
      <c r="U11" s="10" t="s">
        <v>28</v>
      </c>
      <c r="V11" s="11" t="s">
        <v>65</v>
      </c>
      <c r="W11" s="64" t="s">
        <v>879</v>
      </c>
      <c r="X11" s="21" t="s">
        <v>68</v>
      </c>
      <c r="Y11" s="67" t="s">
        <v>68</v>
      </c>
      <c r="Z11" s="33" t="s">
        <v>887</v>
      </c>
    </row>
    <row r="12" spans="1:26">
      <c r="A12" s="31">
        <v>11</v>
      </c>
      <c r="B12" s="8" t="s">
        <v>25</v>
      </c>
      <c r="C12" s="8" t="s">
        <v>26</v>
      </c>
      <c r="D12" s="12" t="s">
        <v>32</v>
      </c>
      <c r="E12" s="12" t="s">
        <v>33</v>
      </c>
      <c r="F12" s="34" t="s">
        <v>66</v>
      </c>
      <c r="G12" s="34" t="s">
        <v>28</v>
      </c>
      <c r="H12" s="36" t="s">
        <v>67</v>
      </c>
      <c r="I12" s="12" t="s">
        <v>37</v>
      </c>
      <c r="J12" s="12" t="s">
        <v>28</v>
      </c>
      <c r="K12" s="12" t="s">
        <v>28</v>
      </c>
      <c r="L12" s="12" t="s">
        <v>38</v>
      </c>
      <c r="M12" s="12" t="s">
        <v>38</v>
      </c>
      <c r="N12" s="9">
        <v>0</v>
      </c>
      <c r="O12" s="12" t="s">
        <v>28</v>
      </c>
      <c r="P12" s="35">
        <v>0</v>
      </c>
      <c r="Q12" s="12" t="s">
        <v>28</v>
      </c>
      <c r="R12" s="35">
        <v>0</v>
      </c>
      <c r="S12" s="10" t="s">
        <v>28</v>
      </c>
      <c r="T12" s="37">
        <v>0</v>
      </c>
      <c r="U12" s="10" t="s">
        <v>28</v>
      </c>
      <c r="V12" s="11" t="s">
        <v>68</v>
      </c>
      <c r="W12" s="15" t="s">
        <v>68</v>
      </c>
      <c r="X12" s="21" t="s">
        <v>887</v>
      </c>
      <c r="Y12" s="67" t="s">
        <v>68</v>
      </c>
      <c r="Z12" s="33" t="s">
        <v>887</v>
      </c>
    </row>
    <row r="13" spans="1:26">
      <c r="A13" s="31">
        <v>12</v>
      </c>
      <c r="B13" s="8" t="s">
        <v>25</v>
      </c>
      <c r="C13" s="8" t="s">
        <v>26</v>
      </c>
      <c r="D13" s="12" t="s">
        <v>32</v>
      </c>
      <c r="E13" s="12" t="s">
        <v>33</v>
      </c>
      <c r="F13" s="34" t="s">
        <v>69</v>
      </c>
      <c r="G13" s="34" t="s">
        <v>70</v>
      </c>
      <c r="H13" s="36" t="s">
        <v>71</v>
      </c>
      <c r="I13" s="12" t="s">
        <v>53</v>
      </c>
      <c r="J13" s="12" t="s">
        <v>38</v>
      </c>
      <c r="K13" s="12" t="s">
        <v>28</v>
      </c>
      <c r="L13" s="12" t="s">
        <v>28</v>
      </c>
      <c r="M13" s="12" t="s">
        <v>38</v>
      </c>
      <c r="N13" s="9">
        <v>0</v>
      </c>
      <c r="O13" s="12" t="s">
        <v>28</v>
      </c>
      <c r="P13" s="35">
        <v>4967668603</v>
      </c>
      <c r="Q13" s="38">
        <v>41481</v>
      </c>
      <c r="R13" s="9">
        <v>9655000000</v>
      </c>
      <c r="S13" s="10">
        <v>42662</v>
      </c>
      <c r="T13" s="9">
        <v>12209000000</v>
      </c>
      <c r="U13" s="10">
        <v>45282</v>
      </c>
      <c r="V13" s="34" t="s">
        <v>72</v>
      </c>
      <c r="W13" s="15" t="s">
        <v>880</v>
      </c>
      <c r="X13" s="21" t="s">
        <v>887</v>
      </c>
      <c r="Y13" s="67" t="s">
        <v>68</v>
      </c>
      <c r="Z13" s="33" t="s">
        <v>887</v>
      </c>
    </row>
    <row r="14" spans="1:26">
      <c r="A14" s="31">
        <v>13</v>
      </c>
      <c r="B14" s="8" t="s">
        <v>25</v>
      </c>
      <c r="C14" s="8" t="s">
        <v>26</v>
      </c>
      <c r="D14" s="12" t="s">
        <v>32</v>
      </c>
      <c r="E14" s="12" t="s">
        <v>33</v>
      </c>
      <c r="F14" s="34" t="s">
        <v>73</v>
      </c>
      <c r="G14" s="34" t="s">
        <v>74</v>
      </c>
      <c r="H14" s="36" t="s">
        <v>75</v>
      </c>
      <c r="I14" s="12" t="s">
        <v>53</v>
      </c>
      <c r="J14" s="12" t="s">
        <v>38</v>
      </c>
      <c r="K14" s="12" t="s">
        <v>28</v>
      </c>
      <c r="L14" s="12" t="s">
        <v>28</v>
      </c>
      <c r="M14" s="12" t="s">
        <v>38</v>
      </c>
      <c r="N14" s="9">
        <v>0</v>
      </c>
      <c r="O14" s="12" t="s">
        <v>28</v>
      </c>
      <c r="P14" s="35">
        <v>0</v>
      </c>
      <c r="Q14" s="12" t="s">
        <v>28</v>
      </c>
      <c r="R14" s="35">
        <v>682000000</v>
      </c>
      <c r="S14" s="10" t="s">
        <v>28</v>
      </c>
      <c r="T14" s="37">
        <v>0</v>
      </c>
      <c r="U14" s="10" t="s">
        <v>28</v>
      </c>
      <c r="V14" s="34" t="s">
        <v>72</v>
      </c>
      <c r="W14" s="15" t="s">
        <v>879</v>
      </c>
      <c r="X14" s="21" t="s">
        <v>887</v>
      </c>
      <c r="Y14" s="67" t="s">
        <v>68</v>
      </c>
      <c r="Z14" s="33" t="s">
        <v>887</v>
      </c>
    </row>
    <row r="15" spans="1:26">
      <c r="A15" s="31">
        <v>14</v>
      </c>
      <c r="B15" s="8" t="s">
        <v>25</v>
      </c>
      <c r="C15" s="8" t="s">
        <v>26</v>
      </c>
      <c r="D15" s="12" t="s">
        <v>32</v>
      </c>
      <c r="E15" s="12" t="s">
        <v>33</v>
      </c>
      <c r="F15" s="34" t="s">
        <v>76</v>
      </c>
      <c r="G15" s="34" t="s">
        <v>77</v>
      </c>
      <c r="H15" s="36" t="s">
        <v>78</v>
      </c>
      <c r="I15" s="12" t="s">
        <v>37</v>
      </c>
      <c r="J15" s="12" t="s">
        <v>38</v>
      </c>
      <c r="K15" s="12" t="s">
        <v>28</v>
      </c>
      <c r="L15" s="12" t="s">
        <v>28</v>
      </c>
      <c r="M15" s="12" t="s">
        <v>38</v>
      </c>
      <c r="N15" s="9">
        <v>0</v>
      </c>
      <c r="O15" s="12" t="s">
        <v>28</v>
      </c>
      <c r="P15" s="9">
        <v>8162000000</v>
      </c>
      <c r="Q15" s="10">
        <v>40739</v>
      </c>
      <c r="R15" s="9">
        <v>6465000000</v>
      </c>
      <c r="S15" s="10">
        <v>42478</v>
      </c>
      <c r="T15" s="9">
        <v>10670000000</v>
      </c>
      <c r="U15" s="10">
        <v>45442</v>
      </c>
      <c r="V15" s="11" t="s">
        <v>79</v>
      </c>
      <c r="W15" s="15" t="s">
        <v>882</v>
      </c>
      <c r="X15" s="21" t="s">
        <v>887</v>
      </c>
      <c r="Y15" s="67" t="s">
        <v>894</v>
      </c>
      <c r="Z15" s="33" t="s">
        <v>887</v>
      </c>
    </row>
    <row r="16" spans="1:26">
      <c r="A16" s="31">
        <v>15</v>
      </c>
      <c r="B16" s="8" t="s">
        <v>25</v>
      </c>
      <c r="C16" s="8" t="s">
        <v>26</v>
      </c>
      <c r="D16" s="12" t="s">
        <v>32</v>
      </c>
      <c r="E16" s="12" t="s">
        <v>33</v>
      </c>
      <c r="F16" s="34" t="s">
        <v>80</v>
      </c>
      <c r="G16" s="34" t="s">
        <v>81</v>
      </c>
      <c r="H16" s="36" t="s">
        <v>82</v>
      </c>
      <c r="I16" s="12" t="s">
        <v>53</v>
      </c>
      <c r="J16" s="12" t="s">
        <v>38</v>
      </c>
      <c r="K16" s="12" t="s">
        <v>28</v>
      </c>
      <c r="L16" s="12" t="s">
        <v>28</v>
      </c>
      <c r="M16" s="12" t="s">
        <v>38</v>
      </c>
      <c r="N16" s="9">
        <v>0</v>
      </c>
      <c r="O16" s="12" t="s">
        <v>28</v>
      </c>
      <c r="P16" s="9">
        <v>5868500000</v>
      </c>
      <c r="Q16" s="10">
        <v>40765</v>
      </c>
      <c r="R16" s="35">
        <v>0</v>
      </c>
      <c r="S16" s="10" t="s">
        <v>28</v>
      </c>
      <c r="T16" s="9">
        <v>8542000000</v>
      </c>
      <c r="U16" s="10">
        <v>45537</v>
      </c>
      <c r="V16" s="11" t="s">
        <v>79</v>
      </c>
      <c r="W16" s="15" t="s">
        <v>883</v>
      </c>
      <c r="X16" s="21" t="s">
        <v>887</v>
      </c>
      <c r="Y16" s="67" t="s">
        <v>68</v>
      </c>
      <c r="Z16" s="33" t="s">
        <v>887</v>
      </c>
    </row>
    <row r="17" spans="1:26">
      <c r="A17" s="31">
        <v>16</v>
      </c>
      <c r="B17" s="8" t="s">
        <v>25</v>
      </c>
      <c r="C17" s="8" t="s">
        <v>26</v>
      </c>
      <c r="D17" s="12" t="s">
        <v>32</v>
      </c>
      <c r="E17" s="12" t="s">
        <v>33</v>
      </c>
      <c r="F17" s="34" t="s">
        <v>83</v>
      </c>
      <c r="G17" s="34" t="s">
        <v>84</v>
      </c>
      <c r="H17" s="36" t="s">
        <v>85</v>
      </c>
      <c r="I17" s="12" t="s">
        <v>61</v>
      </c>
      <c r="J17" s="12" t="s">
        <v>38</v>
      </c>
      <c r="K17" s="12" t="s">
        <v>28</v>
      </c>
      <c r="L17" s="12" t="s">
        <v>28</v>
      </c>
      <c r="M17" s="12" t="s">
        <v>38</v>
      </c>
      <c r="N17" s="9">
        <v>0</v>
      </c>
      <c r="O17" s="12" t="s">
        <v>28</v>
      </c>
      <c r="P17" s="35">
        <v>0</v>
      </c>
      <c r="Q17" s="12" t="s">
        <v>28</v>
      </c>
      <c r="R17" s="35">
        <v>0</v>
      </c>
      <c r="S17" s="10" t="s">
        <v>28</v>
      </c>
      <c r="T17" s="37">
        <v>0</v>
      </c>
      <c r="U17" s="10" t="s">
        <v>28</v>
      </c>
      <c r="V17" s="11" t="s">
        <v>68</v>
      </c>
      <c r="W17" s="15" t="s">
        <v>68</v>
      </c>
      <c r="X17" s="21" t="s">
        <v>887</v>
      </c>
      <c r="Y17" s="67" t="s">
        <v>68</v>
      </c>
      <c r="Z17" s="33" t="s">
        <v>887</v>
      </c>
    </row>
    <row r="18" spans="1:26">
      <c r="A18" s="31">
        <v>17</v>
      </c>
      <c r="B18" s="8" t="s">
        <v>25</v>
      </c>
      <c r="C18" s="8" t="s">
        <v>26</v>
      </c>
      <c r="D18" s="12" t="s">
        <v>32</v>
      </c>
      <c r="E18" s="12" t="s">
        <v>33</v>
      </c>
      <c r="F18" s="34" t="s">
        <v>86</v>
      </c>
      <c r="G18" s="34" t="s">
        <v>87</v>
      </c>
      <c r="H18" s="36" t="s">
        <v>88</v>
      </c>
      <c r="I18" s="12" t="s">
        <v>53</v>
      </c>
      <c r="J18" s="12" t="s">
        <v>38</v>
      </c>
      <c r="K18" s="12" t="s">
        <v>28</v>
      </c>
      <c r="L18" s="12" t="s">
        <v>28</v>
      </c>
      <c r="M18" s="12" t="s">
        <v>38</v>
      </c>
      <c r="N18" s="9">
        <v>0</v>
      </c>
      <c r="O18" s="12" t="s">
        <v>28</v>
      </c>
      <c r="P18" s="35">
        <v>0</v>
      </c>
      <c r="Q18" s="12" t="s">
        <v>28</v>
      </c>
      <c r="R18" s="35">
        <v>0</v>
      </c>
      <c r="S18" s="10" t="s">
        <v>28</v>
      </c>
      <c r="T18" s="37">
        <v>0</v>
      </c>
      <c r="U18" s="10" t="s">
        <v>28</v>
      </c>
      <c r="V18" s="11" t="s">
        <v>68</v>
      </c>
      <c r="W18" s="15" t="s">
        <v>68</v>
      </c>
      <c r="X18" s="21" t="s">
        <v>887</v>
      </c>
      <c r="Y18" s="67" t="s">
        <v>68</v>
      </c>
      <c r="Z18" s="33" t="s">
        <v>887</v>
      </c>
    </row>
    <row r="19" spans="1:26">
      <c r="A19" s="31">
        <v>18</v>
      </c>
      <c r="B19" s="8" t="s">
        <v>25</v>
      </c>
      <c r="C19" s="8" t="s">
        <v>26</v>
      </c>
      <c r="D19" s="12" t="s">
        <v>32</v>
      </c>
      <c r="E19" s="12" t="s">
        <v>33</v>
      </c>
      <c r="F19" s="34" t="s">
        <v>89</v>
      </c>
      <c r="G19" s="34" t="s">
        <v>28</v>
      </c>
      <c r="H19" s="36" t="s">
        <v>90</v>
      </c>
      <c r="I19" s="12" t="s">
        <v>43</v>
      </c>
      <c r="J19" s="12" t="s">
        <v>28</v>
      </c>
      <c r="K19" s="12" t="s">
        <v>28</v>
      </c>
      <c r="L19" s="12" t="s">
        <v>38</v>
      </c>
      <c r="M19" s="12" t="s">
        <v>38</v>
      </c>
      <c r="N19" s="9">
        <v>0</v>
      </c>
      <c r="O19" s="12" t="s">
        <v>28</v>
      </c>
      <c r="P19" s="35">
        <v>0</v>
      </c>
      <c r="Q19" s="12" t="s">
        <v>28</v>
      </c>
      <c r="R19" s="35">
        <v>0</v>
      </c>
      <c r="S19" s="10" t="s">
        <v>28</v>
      </c>
      <c r="T19" s="37">
        <v>0</v>
      </c>
      <c r="U19" s="10" t="s">
        <v>28</v>
      </c>
      <c r="V19" s="11" t="s">
        <v>68</v>
      </c>
      <c r="W19" s="15" t="s">
        <v>68</v>
      </c>
      <c r="X19" s="21" t="s">
        <v>887</v>
      </c>
      <c r="Y19" s="67" t="s">
        <v>68</v>
      </c>
      <c r="Z19" s="33" t="s">
        <v>887</v>
      </c>
    </row>
    <row r="20" spans="1:26">
      <c r="A20" s="31">
        <v>19</v>
      </c>
      <c r="B20" s="8" t="s">
        <v>25</v>
      </c>
      <c r="C20" s="8" t="s">
        <v>26</v>
      </c>
      <c r="D20" s="12" t="s">
        <v>32</v>
      </c>
      <c r="E20" s="12" t="s">
        <v>33</v>
      </c>
      <c r="F20" s="34" t="s">
        <v>91</v>
      </c>
      <c r="G20" s="34" t="s">
        <v>28</v>
      </c>
      <c r="H20" s="36" t="s">
        <v>92</v>
      </c>
      <c r="I20" s="12" t="s">
        <v>37</v>
      </c>
      <c r="J20" s="12" t="s">
        <v>28</v>
      </c>
      <c r="K20" s="12" t="s">
        <v>28</v>
      </c>
      <c r="L20" s="12" t="s">
        <v>38</v>
      </c>
      <c r="M20" s="12" t="s">
        <v>38</v>
      </c>
      <c r="N20" s="9">
        <v>0</v>
      </c>
      <c r="O20" s="12" t="s">
        <v>28</v>
      </c>
      <c r="P20" s="35">
        <v>0</v>
      </c>
      <c r="Q20" s="12" t="s">
        <v>28</v>
      </c>
      <c r="R20" s="35">
        <v>0</v>
      </c>
      <c r="S20" s="10" t="s">
        <v>28</v>
      </c>
      <c r="T20" s="37">
        <v>0</v>
      </c>
      <c r="U20" s="10" t="s">
        <v>28</v>
      </c>
      <c r="V20" s="11" t="s">
        <v>68</v>
      </c>
      <c r="W20" s="15" t="s">
        <v>68</v>
      </c>
      <c r="X20" s="21" t="s">
        <v>887</v>
      </c>
      <c r="Y20" s="67" t="s">
        <v>68</v>
      </c>
      <c r="Z20" s="33" t="s">
        <v>887</v>
      </c>
    </row>
    <row r="21" spans="1:26">
      <c r="A21" s="31">
        <v>20</v>
      </c>
      <c r="B21" s="8" t="s">
        <v>25</v>
      </c>
      <c r="C21" s="8" t="s">
        <v>26</v>
      </c>
      <c r="D21" s="12" t="s">
        <v>32</v>
      </c>
      <c r="E21" s="12" t="s">
        <v>33</v>
      </c>
      <c r="F21" s="34" t="s">
        <v>93</v>
      </c>
      <c r="G21" s="34" t="s">
        <v>28</v>
      </c>
      <c r="H21" s="36" t="s">
        <v>94</v>
      </c>
      <c r="I21" s="12" t="s">
        <v>43</v>
      </c>
      <c r="J21" s="12" t="s">
        <v>28</v>
      </c>
      <c r="K21" s="12" t="s">
        <v>28</v>
      </c>
      <c r="L21" s="12" t="s">
        <v>38</v>
      </c>
      <c r="M21" s="12" t="s">
        <v>38</v>
      </c>
      <c r="N21" s="9">
        <v>0</v>
      </c>
      <c r="O21" s="12" t="s">
        <v>28</v>
      </c>
      <c r="P21" s="35">
        <v>0</v>
      </c>
      <c r="Q21" s="12" t="s">
        <v>28</v>
      </c>
      <c r="R21" s="35">
        <v>0</v>
      </c>
      <c r="S21" s="10" t="s">
        <v>28</v>
      </c>
      <c r="T21" s="37">
        <v>0</v>
      </c>
      <c r="U21" s="10" t="s">
        <v>28</v>
      </c>
      <c r="V21" s="11" t="s">
        <v>68</v>
      </c>
      <c r="W21" s="15" t="s">
        <v>68</v>
      </c>
      <c r="X21" s="21" t="s">
        <v>887</v>
      </c>
      <c r="Y21" s="67" t="s">
        <v>68</v>
      </c>
      <c r="Z21" s="33" t="s">
        <v>887</v>
      </c>
    </row>
    <row r="22" spans="1:26">
      <c r="A22" s="31">
        <v>21</v>
      </c>
      <c r="B22" s="8" t="s">
        <v>25</v>
      </c>
      <c r="C22" s="8" t="s">
        <v>26</v>
      </c>
      <c r="D22" s="12" t="s">
        <v>32</v>
      </c>
      <c r="E22" s="12" t="s">
        <v>33</v>
      </c>
      <c r="F22" s="34" t="s">
        <v>95</v>
      </c>
      <c r="G22" s="34" t="s">
        <v>28</v>
      </c>
      <c r="H22" s="36" t="s">
        <v>96</v>
      </c>
      <c r="I22" s="12" t="s">
        <v>53</v>
      </c>
      <c r="J22" s="12" t="s">
        <v>28</v>
      </c>
      <c r="K22" s="12" t="s">
        <v>28</v>
      </c>
      <c r="L22" s="12" t="s">
        <v>38</v>
      </c>
      <c r="M22" s="12" t="s">
        <v>38</v>
      </c>
      <c r="N22" s="9">
        <v>0</v>
      </c>
      <c r="O22" s="12" t="s">
        <v>28</v>
      </c>
      <c r="P22" s="35">
        <v>0</v>
      </c>
      <c r="Q22" s="12" t="s">
        <v>28</v>
      </c>
      <c r="R22" s="35">
        <v>0</v>
      </c>
      <c r="S22" s="10" t="s">
        <v>28</v>
      </c>
      <c r="T22" s="37">
        <v>0</v>
      </c>
      <c r="U22" s="10" t="s">
        <v>28</v>
      </c>
      <c r="V22" s="11" t="s">
        <v>68</v>
      </c>
      <c r="W22" s="15" t="s">
        <v>68</v>
      </c>
      <c r="X22" s="21" t="s">
        <v>887</v>
      </c>
      <c r="Y22" s="67" t="s">
        <v>68</v>
      </c>
      <c r="Z22" s="33" t="s">
        <v>887</v>
      </c>
    </row>
    <row r="23" spans="1:26">
      <c r="A23" s="31">
        <v>22</v>
      </c>
      <c r="B23" s="8" t="s">
        <v>25</v>
      </c>
      <c r="C23" s="8" t="s">
        <v>26</v>
      </c>
      <c r="D23" s="12" t="s">
        <v>32</v>
      </c>
      <c r="E23" s="12" t="s">
        <v>33</v>
      </c>
      <c r="F23" s="34" t="s">
        <v>97</v>
      </c>
      <c r="G23" s="34" t="s">
        <v>28</v>
      </c>
      <c r="H23" s="36" t="s">
        <v>98</v>
      </c>
      <c r="I23" s="12" t="s">
        <v>53</v>
      </c>
      <c r="J23" s="12" t="s">
        <v>28</v>
      </c>
      <c r="K23" s="12" t="s">
        <v>28</v>
      </c>
      <c r="L23" s="12" t="s">
        <v>38</v>
      </c>
      <c r="M23" s="12" t="s">
        <v>38</v>
      </c>
      <c r="N23" s="9">
        <v>0</v>
      </c>
      <c r="O23" s="12" t="s">
        <v>28</v>
      </c>
      <c r="P23" s="35">
        <v>0</v>
      </c>
      <c r="Q23" s="12" t="s">
        <v>28</v>
      </c>
      <c r="R23" s="35">
        <v>0</v>
      </c>
      <c r="S23" s="10" t="s">
        <v>28</v>
      </c>
      <c r="T23" s="37">
        <v>0</v>
      </c>
      <c r="U23" s="10" t="s">
        <v>28</v>
      </c>
      <c r="V23" s="11" t="s">
        <v>68</v>
      </c>
      <c r="W23" s="15" t="s">
        <v>68</v>
      </c>
      <c r="X23" s="21" t="s">
        <v>887</v>
      </c>
      <c r="Y23" s="67" t="s">
        <v>68</v>
      </c>
      <c r="Z23" s="33" t="s">
        <v>887</v>
      </c>
    </row>
    <row r="24" spans="1:26">
      <c r="A24" s="31">
        <v>23</v>
      </c>
      <c r="B24" s="8" t="s">
        <v>25</v>
      </c>
      <c r="C24" s="8" t="s">
        <v>26</v>
      </c>
      <c r="D24" s="12" t="s">
        <v>32</v>
      </c>
      <c r="E24" s="12" t="s">
        <v>33</v>
      </c>
      <c r="F24" s="34" t="s">
        <v>99</v>
      </c>
      <c r="G24" s="34" t="s">
        <v>28</v>
      </c>
      <c r="H24" s="36" t="s">
        <v>100</v>
      </c>
      <c r="I24" s="12" t="s">
        <v>37</v>
      </c>
      <c r="J24" s="12" t="s">
        <v>28</v>
      </c>
      <c r="K24" s="12" t="s">
        <v>28</v>
      </c>
      <c r="L24" s="12" t="s">
        <v>38</v>
      </c>
      <c r="M24" s="12" t="s">
        <v>38</v>
      </c>
      <c r="N24" s="9">
        <v>0</v>
      </c>
      <c r="O24" s="12" t="s">
        <v>28</v>
      </c>
      <c r="P24" s="35">
        <v>0</v>
      </c>
      <c r="Q24" s="12" t="s">
        <v>28</v>
      </c>
      <c r="R24" s="35">
        <v>0</v>
      </c>
      <c r="S24" s="10" t="s">
        <v>28</v>
      </c>
      <c r="T24" s="37">
        <v>0</v>
      </c>
      <c r="U24" s="10" t="s">
        <v>28</v>
      </c>
      <c r="V24" s="11" t="s">
        <v>68</v>
      </c>
      <c r="W24" s="15" t="s">
        <v>68</v>
      </c>
      <c r="X24" s="21" t="s">
        <v>887</v>
      </c>
      <c r="Y24" s="67" t="s">
        <v>68</v>
      </c>
      <c r="Z24" s="33" t="s">
        <v>887</v>
      </c>
    </row>
    <row r="25" spans="1:26">
      <c r="A25" s="31">
        <v>24</v>
      </c>
      <c r="B25" s="8" t="s">
        <v>25</v>
      </c>
      <c r="C25" s="8" t="s">
        <v>26</v>
      </c>
      <c r="D25" s="12" t="s">
        <v>32</v>
      </c>
      <c r="E25" s="12" t="s">
        <v>33</v>
      </c>
      <c r="F25" s="34" t="s">
        <v>101</v>
      </c>
      <c r="G25" s="34" t="s">
        <v>28</v>
      </c>
      <c r="H25" s="36" t="s">
        <v>102</v>
      </c>
      <c r="I25" s="12" t="s">
        <v>37</v>
      </c>
      <c r="J25" s="12" t="s">
        <v>28</v>
      </c>
      <c r="K25" s="12" t="s">
        <v>28</v>
      </c>
      <c r="L25" s="12" t="s">
        <v>38</v>
      </c>
      <c r="M25" s="12" t="s">
        <v>38</v>
      </c>
      <c r="N25" s="9">
        <v>0</v>
      </c>
      <c r="O25" s="12" t="s">
        <v>28</v>
      </c>
      <c r="P25" s="35">
        <v>0</v>
      </c>
      <c r="Q25" s="12" t="s">
        <v>28</v>
      </c>
      <c r="R25" s="35">
        <v>0</v>
      </c>
      <c r="S25" s="10" t="s">
        <v>28</v>
      </c>
      <c r="T25" s="37">
        <v>0</v>
      </c>
      <c r="U25" s="10" t="s">
        <v>28</v>
      </c>
      <c r="V25" s="11" t="s">
        <v>68</v>
      </c>
      <c r="W25" s="15" t="s">
        <v>68</v>
      </c>
      <c r="X25" s="21" t="s">
        <v>887</v>
      </c>
      <c r="Y25" s="67" t="s">
        <v>68</v>
      </c>
      <c r="Z25" s="33" t="s">
        <v>887</v>
      </c>
    </row>
    <row r="26" spans="1:26">
      <c r="A26" s="31">
        <v>25</v>
      </c>
      <c r="B26" s="8" t="s">
        <v>25</v>
      </c>
      <c r="C26" s="8" t="s">
        <v>26</v>
      </c>
      <c r="D26" s="12" t="s">
        <v>32</v>
      </c>
      <c r="E26" s="12" t="s">
        <v>33</v>
      </c>
      <c r="F26" s="34" t="s">
        <v>103</v>
      </c>
      <c r="G26" s="34" t="s">
        <v>28</v>
      </c>
      <c r="H26" s="36" t="s">
        <v>104</v>
      </c>
      <c r="I26" s="12" t="s">
        <v>43</v>
      </c>
      <c r="J26" s="12" t="s">
        <v>28</v>
      </c>
      <c r="K26" s="12" t="s">
        <v>28</v>
      </c>
      <c r="L26" s="12" t="s">
        <v>38</v>
      </c>
      <c r="M26" s="12" t="s">
        <v>38</v>
      </c>
      <c r="N26" s="9">
        <v>0</v>
      </c>
      <c r="O26" s="12" t="s">
        <v>28</v>
      </c>
      <c r="P26" s="35">
        <v>0</v>
      </c>
      <c r="Q26" s="12" t="s">
        <v>28</v>
      </c>
      <c r="R26" s="35">
        <v>0</v>
      </c>
      <c r="S26" s="10" t="s">
        <v>28</v>
      </c>
      <c r="T26" s="37">
        <v>0</v>
      </c>
      <c r="U26" s="10" t="s">
        <v>28</v>
      </c>
      <c r="V26" s="11" t="s">
        <v>68</v>
      </c>
      <c r="W26" s="15" t="s">
        <v>68</v>
      </c>
      <c r="X26" s="21" t="s">
        <v>887</v>
      </c>
      <c r="Y26" s="67" t="s">
        <v>68</v>
      </c>
      <c r="Z26" s="33" t="s">
        <v>887</v>
      </c>
    </row>
    <row r="27" spans="1:26">
      <c r="A27" s="31">
        <v>26</v>
      </c>
      <c r="B27" s="8" t="s">
        <v>25</v>
      </c>
      <c r="C27" s="8" t="s">
        <v>26</v>
      </c>
      <c r="D27" s="12" t="s">
        <v>32</v>
      </c>
      <c r="E27" s="12" t="s">
        <v>33</v>
      </c>
      <c r="F27" s="34" t="s">
        <v>105</v>
      </c>
      <c r="G27" s="34" t="s">
        <v>28</v>
      </c>
      <c r="H27" s="36" t="s">
        <v>106</v>
      </c>
      <c r="I27" s="12" t="s">
        <v>53</v>
      </c>
      <c r="J27" s="12" t="s">
        <v>28</v>
      </c>
      <c r="K27" s="12" t="s">
        <v>28</v>
      </c>
      <c r="L27" s="12" t="s">
        <v>38</v>
      </c>
      <c r="M27" s="12" t="s">
        <v>38</v>
      </c>
      <c r="N27" s="9">
        <v>0</v>
      </c>
      <c r="O27" s="12" t="s">
        <v>28</v>
      </c>
      <c r="P27" s="35">
        <v>0</v>
      </c>
      <c r="Q27" s="12" t="s">
        <v>28</v>
      </c>
      <c r="R27" s="35">
        <v>0</v>
      </c>
      <c r="S27" s="10" t="s">
        <v>28</v>
      </c>
      <c r="T27" s="37">
        <v>0</v>
      </c>
      <c r="U27" s="10" t="s">
        <v>28</v>
      </c>
      <c r="V27" s="11" t="s">
        <v>68</v>
      </c>
      <c r="W27" s="15" t="s">
        <v>68</v>
      </c>
      <c r="X27" s="21" t="s">
        <v>887</v>
      </c>
      <c r="Y27" s="67" t="s">
        <v>68</v>
      </c>
      <c r="Z27" s="33" t="s">
        <v>887</v>
      </c>
    </row>
    <row r="28" spans="1:26">
      <c r="A28" s="31">
        <v>27</v>
      </c>
      <c r="B28" s="8" t="s">
        <v>25</v>
      </c>
      <c r="C28" s="8" t="s">
        <v>26</v>
      </c>
      <c r="D28" s="12" t="s">
        <v>32</v>
      </c>
      <c r="E28" s="12" t="s">
        <v>33</v>
      </c>
      <c r="F28" s="34" t="s">
        <v>107</v>
      </c>
      <c r="G28" s="34" t="s">
        <v>108</v>
      </c>
      <c r="H28" s="36" t="s">
        <v>109</v>
      </c>
      <c r="I28" s="12" t="s">
        <v>53</v>
      </c>
      <c r="J28" s="12" t="s">
        <v>38</v>
      </c>
      <c r="K28" s="12" t="s">
        <v>28</v>
      </c>
      <c r="L28" s="12" t="s">
        <v>28</v>
      </c>
      <c r="M28" s="12" t="s">
        <v>38</v>
      </c>
      <c r="N28" s="9">
        <v>0</v>
      </c>
      <c r="O28" s="12" t="s">
        <v>28</v>
      </c>
      <c r="P28" s="35">
        <v>0</v>
      </c>
      <c r="Q28" s="12" t="s">
        <v>28</v>
      </c>
      <c r="R28" s="9">
        <v>7065000000</v>
      </c>
      <c r="S28" s="10">
        <v>43752</v>
      </c>
      <c r="T28" s="37">
        <v>0</v>
      </c>
      <c r="U28" s="10" t="s">
        <v>28</v>
      </c>
      <c r="V28" s="11" t="s">
        <v>65</v>
      </c>
      <c r="W28" s="15" t="s">
        <v>879</v>
      </c>
      <c r="X28" s="21" t="s">
        <v>887</v>
      </c>
      <c r="Y28" s="67" t="s">
        <v>68</v>
      </c>
      <c r="Z28" s="33" t="s">
        <v>887</v>
      </c>
    </row>
    <row r="29" spans="1:26">
      <c r="A29" s="31">
        <v>28</v>
      </c>
      <c r="B29" s="8" t="s">
        <v>25</v>
      </c>
      <c r="C29" s="8" t="s">
        <v>26</v>
      </c>
      <c r="D29" s="12" t="s">
        <v>32</v>
      </c>
      <c r="E29" s="12" t="s">
        <v>110</v>
      </c>
      <c r="F29" s="34" t="s">
        <v>111</v>
      </c>
      <c r="G29" s="34" t="s">
        <v>28</v>
      </c>
      <c r="H29" s="36" t="s">
        <v>112</v>
      </c>
      <c r="I29" s="12" t="s">
        <v>53</v>
      </c>
      <c r="J29" s="12" t="s">
        <v>28</v>
      </c>
      <c r="K29" s="12" t="s">
        <v>28</v>
      </c>
      <c r="L29" s="12" t="s">
        <v>38</v>
      </c>
      <c r="M29" s="12" t="s">
        <v>38</v>
      </c>
      <c r="N29" s="9">
        <v>0</v>
      </c>
      <c r="O29" s="12" t="s">
        <v>28</v>
      </c>
      <c r="P29" s="35">
        <v>0</v>
      </c>
      <c r="Q29" s="12" t="s">
        <v>28</v>
      </c>
      <c r="R29" s="35">
        <v>0</v>
      </c>
      <c r="S29" s="10" t="s">
        <v>28</v>
      </c>
      <c r="T29" s="37">
        <v>0</v>
      </c>
      <c r="U29" s="10" t="s">
        <v>28</v>
      </c>
      <c r="V29" s="11" t="s">
        <v>68</v>
      </c>
      <c r="W29" s="15" t="s">
        <v>68</v>
      </c>
      <c r="X29" s="21" t="s">
        <v>887</v>
      </c>
      <c r="Y29" s="67" t="s">
        <v>68</v>
      </c>
      <c r="Z29" s="33" t="s">
        <v>887</v>
      </c>
    </row>
    <row r="30" spans="1:26">
      <c r="A30" s="31">
        <v>29</v>
      </c>
      <c r="B30" s="8" t="s">
        <v>25</v>
      </c>
      <c r="C30" s="8" t="s">
        <v>26</v>
      </c>
      <c r="D30" s="12" t="s">
        <v>32</v>
      </c>
      <c r="E30" s="12" t="s">
        <v>110</v>
      </c>
      <c r="F30" s="34" t="s">
        <v>113</v>
      </c>
      <c r="G30" s="34" t="s">
        <v>114</v>
      </c>
      <c r="H30" s="36" t="s">
        <v>115</v>
      </c>
      <c r="I30" s="12" t="s">
        <v>53</v>
      </c>
      <c r="J30" s="12" t="s">
        <v>38</v>
      </c>
      <c r="K30" s="12" t="s">
        <v>28</v>
      </c>
      <c r="L30" s="12" t="s">
        <v>28</v>
      </c>
      <c r="M30" s="12" t="s">
        <v>38</v>
      </c>
      <c r="N30" s="9">
        <v>0</v>
      </c>
      <c r="O30" s="12" t="s">
        <v>28</v>
      </c>
      <c r="P30" s="35">
        <v>0</v>
      </c>
      <c r="Q30" s="12" t="s">
        <v>28</v>
      </c>
      <c r="R30" s="35">
        <v>2061532000.0000002</v>
      </c>
      <c r="S30" s="10">
        <v>42443</v>
      </c>
      <c r="T30" s="37">
        <v>0</v>
      </c>
      <c r="U30" s="10" t="s">
        <v>28</v>
      </c>
      <c r="V30" s="11" t="s">
        <v>65</v>
      </c>
      <c r="W30" s="15" t="s">
        <v>880</v>
      </c>
      <c r="X30" s="21" t="s">
        <v>887</v>
      </c>
      <c r="Y30" s="67" t="s">
        <v>68</v>
      </c>
      <c r="Z30" s="33" t="s">
        <v>887</v>
      </c>
    </row>
    <row r="31" spans="1:26">
      <c r="A31" s="31">
        <v>30</v>
      </c>
      <c r="B31" s="8" t="s">
        <v>25</v>
      </c>
      <c r="C31" s="8" t="s">
        <v>26</v>
      </c>
      <c r="D31" s="12" t="s">
        <v>32</v>
      </c>
      <c r="E31" s="12" t="s">
        <v>110</v>
      </c>
      <c r="F31" s="34" t="s">
        <v>116</v>
      </c>
      <c r="G31" s="34" t="s">
        <v>28</v>
      </c>
      <c r="H31" s="36" t="s">
        <v>117</v>
      </c>
      <c r="I31" s="12" t="s">
        <v>118</v>
      </c>
      <c r="J31" s="12" t="s">
        <v>28</v>
      </c>
      <c r="K31" s="12" t="s">
        <v>28</v>
      </c>
      <c r="L31" s="12" t="s">
        <v>38</v>
      </c>
      <c r="M31" s="12" t="s">
        <v>38</v>
      </c>
      <c r="N31" s="39">
        <v>0</v>
      </c>
      <c r="O31" s="12" t="s">
        <v>28</v>
      </c>
      <c r="P31" s="35">
        <v>0</v>
      </c>
      <c r="Q31" s="12" t="s">
        <v>28</v>
      </c>
      <c r="R31" s="35">
        <v>0</v>
      </c>
      <c r="S31" s="10" t="s">
        <v>28</v>
      </c>
      <c r="T31" s="37">
        <v>0</v>
      </c>
      <c r="U31" s="10" t="s">
        <v>28</v>
      </c>
      <c r="V31" s="11" t="s">
        <v>68</v>
      </c>
      <c r="W31" s="15" t="s">
        <v>68</v>
      </c>
      <c r="X31" s="21" t="s">
        <v>887</v>
      </c>
      <c r="Y31" s="67" t="s">
        <v>68</v>
      </c>
      <c r="Z31" s="33" t="s">
        <v>887</v>
      </c>
    </row>
    <row r="32" spans="1:26">
      <c r="A32" s="31">
        <v>31</v>
      </c>
      <c r="B32" s="8" t="s">
        <v>25</v>
      </c>
      <c r="C32" s="8" t="s">
        <v>26</v>
      </c>
      <c r="D32" s="12" t="s">
        <v>32</v>
      </c>
      <c r="E32" s="12" t="s">
        <v>110</v>
      </c>
      <c r="F32" s="34" t="s">
        <v>119</v>
      </c>
      <c r="G32" s="34" t="s">
        <v>28</v>
      </c>
      <c r="H32" s="36" t="s">
        <v>120</v>
      </c>
      <c r="I32" s="12" t="s">
        <v>118</v>
      </c>
      <c r="J32" s="12" t="s">
        <v>28</v>
      </c>
      <c r="K32" s="12" t="s">
        <v>28</v>
      </c>
      <c r="L32" s="12" t="s">
        <v>38</v>
      </c>
      <c r="M32" s="12" t="s">
        <v>38</v>
      </c>
      <c r="N32" s="9">
        <v>0</v>
      </c>
      <c r="O32" s="12" t="s">
        <v>28</v>
      </c>
      <c r="P32" s="35">
        <v>0</v>
      </c>
      <c r="Q32" s="12" t="s">
        <v>28</v>
      </c>
      <c r="R32" s="35">
        <v>0</v>
      </c>
      <c r="S32" s="10" t="s">
        <v>28</v>
      </c>
      <c r="T32" s="37">
        <v>0</v>
      </c>
      <c r="U32" s="10" t="s">
        <v>28</v>
      </c>
      <c r="V32" s="11" t="s">
        <v>68</v>
      </c>
      <c r="W32" s="15" t="s">
        <v>68</v>
      </c>
      <c r="X32" s="21" t="s">
        <v>887</v>
      </c>
      <c r="Y32" s="67" t="s">
        <v>68</v>
      </c>
      <c r="Z32" s="33" t="s">
        <v>887</v>
      </c>
    </row>
    <row r="33" spans="1:26">
      <c r="A33" s="31">
        <v>32</v>
      </c>
      <c r="B33" s="8" t="s">
        <v>25</v>
      </c>
      <c r="C33" s="8" t="s">
        <v>26</v>
      </c>
      <c r="D33" s="12" t="s">
        <v>32</v>
      </c>
      <c r="E33" s="12" t="s">
        <v>110</v>
      </c>
      <c r="F33" s="34" t="s">
        <v>121</v>
      </c>
      <c r="G33" s="34" t="s">
        <v>28</v>
      </c>
      <c r="H33" s="36" t="s">
        <v>122</v>
      </c>
      <c r="I33" s="12" t="s">
        <v>118</v>
      </c>
      <c r="J33" s="12" t="s">
        <v>28</v>
      </c>
      <c r="K33" s="12" t="s">
        <v>28</v>
      </c>
      <c r="L33" s="12" t="s">
        <v>38</v>
      </c>
      <c r="M33" s="12" t="s">
        <v>38</v>
      </c>
      <c r="N33" s="9">
        <v>0</v>
      </c>
      <c r="O33" s="12" t="s">
        <v>28</v>
      </c>
      <c r="P33" s="35">
        <v>0</v>
      </c>
      <c r="Q33" s="12" t="s">
        <v>28</v>
      </c>
      <c r="R33" s="35">
        <v>0</v>
      </c>
      <c r="S33" s="10" t="s">
        <v>28</v>
      </c>
      <c r="T33" s="37">
        <v>0</v>
      </c>
      <c r="U33" s="10" t="s">
        <v>28</v>
      </c>
      <c r="V33" s="11" t="s">
        <v>68</v>
      </c>
      <c r="W33" s="15" t="s">
        <v>68</v>
      </c>
      <c r="X33" s="21" t="s">
        <v>887</v>
      </c>
      <c r="Y33" s="67" t="s">
        <v>68</v>
      </c>
      <c r="Z33" s="33" t="s">
        <v>887</v>
      </c>
    </row>
    <row r="34" spans="1:26">
      <c r="A34" s="31">
        <v>33</v>
      </c>
      <c r="B34" s="8" t="s">
        <v>25</v>
      </c>
      <c r="C34" s="8" t="s">
        <v>26</v>
      </c>
      <c r="D34" s="12" t="s">
        <v>32</v>
      </c>
      <c r="E34" s="12" t="s">
        <v>110</v>
      </c>
      <c r="F34" s="34" t="s">
        <v>123</v>
      </c>
      <c r="G34" s="34" t="s">
        <v>28</v>
      </c>
      <c r="H34" s="36" t="s">
        <v>124</v>
      </c>
      <c r="I34" s="12" t="s">
        <v>125</v>
      </c>
      <c r="J34" s="12" t="s">
        <v>28</v>
      </c>
      <c r="K34" s="12" t="s">
        <v>28</v>
      </c>
      <c r="L34" s="12" t="s">
        <v>38</v>
      </c>
      <c r="M34" s="12" t="s">
        <v>38</v>
      </c>
      <c r="N34" s="9">
        <v>0</v>
      </c>
      <c r="O34" s="12" t="s">
        <v>28</v>
      </c>
      <c r="P34" s="35">
        <v>0</v>
      </c>
      <c r="Q34" s="12" t="s">
        <v>28</v>
      </c>
      <c r="R34" s="35">
        <v>0</v>
      </c>
      <c r="S34" s="10" t="s">
        <v>28</v>
      </c>
      <c r="T34" s="37">
        <v>0</v>
      </c>
      <c r="U34" s="10" t="s">
        <v>28</v>
      </c>
      <c r="V34" s="11" t="s">
        <v>68</v>
      </c>
      <c r="W34" s="15" t="s">
        <v>68</v>
      </c>
      <c r="X34" s="21" t="s">
        <v>887</v>
      </c>
      <c r="Y34" s="67" t="s">
        <v>68</v>
      </c>
      <c r="Z34" s="33" t="s">
        <v>887</v>
      </c>
    </row>
    <row r="35" spans="1:26">
      <c r="A35" s="31">
        <v>34</v>
      </c>
      <c r="B35" s="8" t="s">
        <v>25</v>
      </c>
      <c r="C35" s="8" t="s">
        <v>26</v>
      </c>
      <c r="D35" s="12" t="s">
        <v>32</v>
      </c>
      <c r="E35" s="12" t="s">
        <v>110</v>
      </c>
      <c r="F35" s="34" t="s">
        <v>126</v>
      </c>
      <c r="G35" s="34" t="s">
        <v>28</v>
      </c>
      <c r="H35" s="36" t="s">
        <v>127</v>
      </c>
      <c r="I35" s="12" t="s">
        <v>53</v>
      </c>
      <c r="J35" s="12" t="s">
        <v>28</v>
      </c>
      <c r="K35" s="12" t="s">
        <v>28</v>
      </c>
      <c r="L35" s="12" t="s">
        <v>38</v>
      </c>
      <c r="M35" s="12" t="s">
        <v>38</v>
      </c>
      <c r="N35" s="9">
        <v>0</v>
      </c>
      <c r="O35" s="12" t="s">
        <v>28</v>
      </c>
      <c r="P35" s="35">
        <v>0</v>
      </c>
      <c r="Q35" s="12" t="s">
        <v>28</v>
      </c>
      <c r="R35" s="35">
        <v>0</v>
      </c>
      <c r="S35" s="10" t="s">
        <v>28</v>
      </c>
      <c r="T35" s="37">
        <v>0</v>
      </c>
      <c r="U35" s="10" t="s">
        <v>28</v>
      </c>
      <c r="V35" s="11" t="s">
        <v>68</v>
      </c>
      <c r="W35" s="15" t="s">
        <v>68</v>
      </c>
      <c r="X35" s="21" t="s">
        <v>887</v>
      </c>
      <c r="Y35" s="67" t="s">
        <v>68</v>
      </c>
      <c r="Z35" s="33" t="s">
        <v>887</v>
      </c>
    </row>
    <row r="36" spans="1:26">
      <c r="A36" s="31">
        <v>35</v>
      </c>
      <c r="B36" s="8" t="s">
        <v>25</v>
      </c>
      <c r="C36" s="8" t="s">
        <v>26</v>
      </c>
      <c r="D36" s="12" t="s">
        <v>32</v>
      </c>
      <c r="E36" s="12" t="s">
        <v>110</v>
      </c>
      <c r="F36" s="34" t="s">
        <v>128</v>
      </c>
      <c r="G36" s="34" t="s">
        <v>28</v>
      </c>
      <c r="H36" s="36" t="s">
        <v>129</v>
      </c>
      <c r="I36" s="12" t="s">
        <v>53</v>
      </c>
      <c r="J36" s="12" t="s">
        <v>28</v>
      </c>
      <c r="K36" s="12" t="s">
        <v>28</v>
      </c>
      <c r="L36" s="12" t="s">
        <v>38</v>
      </c>
      <c r="M36" s="12" t="s">
        <v>38</v>
      </c>
      <c r="N36" s="9">
        <v>0</v>
      </c>
      <c r="O36" s="12" t="s">
        <v>28</v>
      </c>
      <c r="P36" s="35">
        <v>0</v>
      </c>
      <c r="Q36" s="12" t="s">
        <v>28</v>
      </c>
      <c r="R36" s="35">
        <v>0</v>
      </c>
      <c r="S36" s="10" t="s">
        <v>28</v>
      </c>
      <c r="T36" s="37">
        <v>0</v>
      </c>
      <c r="U36" s="10" t="s">
        <v>28</v>
      </c>
      <c r="V36" s="11" t="s">
        <v>68</v>
      </c>
      <c r="W36" s="15" t="s">
        <v>68</v>
      </c>
      <c r="X36" s="21" t="s">
        <v>887</v>
      </c>
      <c r="Y36" s="67" t="s">
        <v>68</v>
      </c>
      <c r="Z36" s="33" t="s">
        <v>887</v>
      </c>
    </row>
    <row r="37" spans="1:26">
      <c r="A37" s="31">
        <v>36</v>
      </c>
      <c r="B37" s="8" t="s">
        <v>25</v>
      </c>
      <c r="C37" s="8" t="s">
        <v>26</v>
      </c>
      <c r="D37" s="12" t="s">
        <v>32</v>
      </c>
      <c r="E37" s="12" t="s">
        <v>110</v>
      </c>
      <c r="F37" s="34" t="s">
        <v>130</v>
      </c>
      <c r="G37" s="34" t="s">
        <v>28</v>
      </c>
      <c r="H37" s="36" t="s">
        <v>131</v>
      </c>
      <c r="I37" s="12" t="s">
        <v>53</v>
      </c>
      <c r="J37" s="12" t="s">
        <v>28</v>
      </c>
      <c r="K37" s="12" t="s">
        <v>28</v>
      </c>
      <c r="L37" s="12" t="s">
        <v>38</v>
      </c>
      <c r="M37" s="12" t="s">
        <v>38</v>
      </c>
      <c r="N37" s="9">
        <v>0</v>
      </c>
      <c r="O37" s="12" t="s">
        <v>28</v>
      </c>
      <c r="P37" s="35">
        <v>0</v>
      </c>
      <c r="Q37" s="12" t="s">
        <v>28</v>
      </c>
      <c r="R37" s="35">
        <v>0</v>
      </c>
      <c r="S37" s="10" t="s">
        <v>28</v>
      </c>
      <c r="T37" s="37">
        <v>0</v>
      </c>
      <c r="U37" s="10" t="s">
        <v>28</v>
      </c>
      <c r="V37" s="11" t="s">
        <v>68</v>
      </c>
      <c r="W37" s="15" t="s">
        <v>68</v>
      </c>
      <c r="X37" s="21" t="s">
        <v>887</v>
      </c>
      <c r="Y37" s="67" t="s">
        <v>68</v>
      </c>
      <c r="Z37" s="33" t="s">
        <v>887</v>
      </c>
    </row>
    <row r="38" spans="1:26">
      <c r="A38" s="31">
        <v>37</v>
      </c>
      <c r="B38" s="8" t="s">
        <v>25</v>
      </c>
      <c r="C38" s="8" t="s">
        <v>26</v>
      </c>
      <c r="D38" s="12" t="s">
        <v>32</v>
      </c>
      <c r="E38" s="12" t="s">
        <v>110</v>
      </c>
      <c r="F38" s="34" t="s">
        <v>132</v>
      </c>
      <c r="G38" s="34" t="s">
        <v>28</v>
      </c>
      <c r="H38" s="36" t="s">
        <v>133</v>
      </c>
      <c r="I38" s="12" t="s">
        <v>53</v>
      </c>
      <c r="J38" s="12" t="s">
        <v>28</v>
      </c>
      <c r="K38" s="12" t="s">
        <v>28</v>
      </c>
      <c r="L38" s="12" t="s">
        <v>38</v>
      </c>
      <c r="M38" s="12" t="s">
        <v>38</v>
      </c>
      <c r="N38" s="9">
        <v>0</v>
      </c>
      <c r="O38" s="12" t="s">
        <v>28</v>
      </c>
      <c r="P38" s="35">
        <v>0</v>
      </c>
      <c r="Q38" s="12" t="s">
        <v>28</v>
      </c>
      <c r="R38" s="35">
        <v>0</v>
      </c>
      <c r="S38" s="10" t="s">
        <v>28</v>
      </c>
      <c r="T38" s="37">
        <v>0</v>
      </c>
      <c r="U38" s="10" t="s">
        <v>28</v>
      </c>
      <c r="V38" s="11" t="s">
        <v>68</v>
      </c>
      <c r="W38" s="15" t="s">
        <v>68</v>
      </c>
      <c r="X38" s="21" t="s">
        <v>887</v>
      </c>
      <c r="Y38" s="67" t="s">
        <v>68</v>
      </c>
      <c r="Z38" s="33" t="s">
        <v>887</v>
      </c>
    </row>
    <row r="39" spans="1:26">
      <c r="A39" s="31">
        <v>38</v>
      </c>
      <c r="B39" s="8" t="s">
        <v>25</v>
      </c>
      <c r="C39" s="8" t="s">
        <v>26</v>
      </c>
      <c r="D39" s="12" t="s">
        <v>32</v>
      </c>
      <c r="E39" s="12" t="s">
        <v>110</v>
      </c>
      <c r="F39" s="34" t="s">
        <v>134</v>
      </c>
      <c r="G39" s="34" t="s">
        <v>28</v>
      </c>
      <c r="H39" s="36" t="s">
        <v>135</v>
      </c>
      <c r="I39" s="12" t="s">
        <v>53</v>
      </c>
      <c r="J39" s="12" t="s">
        <v>28</v>
      </c>
      <c r="K39" s="12" t="s">
        <v>28</v>
      </c>
      <c r="L39" s="12" t="s">
        <v>38</v>
      </c>
      <c r="M39" s="12" t="s">
        <v>38</v>
      </c>
      <c r="N39" s="9">
        <v>0</v>
      </c>
      <c r="O39" s="12" t="s">
        <v>28</v>
      </c>
      <c r="P39" s="35">
        <v>0</v>
      </c>
      <c r="Q39" s="12" t="s">
        <v>28</v>
      </c>
      <c r="R39" s="35">
        <v>0</v>
      </c>
      <c r="S39" s="10" t="s">
        <v>28</v>
      </c>
      <c r="T39" s="37">
        <v>0</v>
      </c>
      <c r="U39" s="10" t="s">
        <v>28</v>
      </c>
      <c r="V39" s="11" t="s">
        <v>68</v>
      </c>
      <c r="W39" s="15" t="s">
        <v>68</v>
      </c>
      <c r="X39" s="21" t="s">
        <v>887</v>
      </c>
      <c r="Y39" s="67" t="s">
        <v>68</v>
      </c>
      <c r="Z39" s="33" t="s">
        <v>887</v>
      </c>
    </row>
    <row r="40" spans="1:26">
      <c r="A40" s="31">
        <v>39</v>
      </c>
      <c r="B40" s="8" t="s">
        <v>25</v>
      </c>
      <c r="C40" s="8" t="s">
        <v>26</v>
      </c>
      <c r="D40" s="12" t="s">
        <v>32</v>
      </c>
      <c r="E40" s="12" t="s">
        <v>110</v>
      </c>
      <c r="F40" s="34" t="s">
        <v>136</v>
      </c>
      <c r="G40" s="34" t="s">
        <v>28</v>
      </c>
      <c r="H40" s="36" t="s">
        <v>137</v>
      </c>
      <c r="I40" s="12" t="s">
        <v>53</v>
      </c>
      <c r="J40" s="12" t="s">
        <v>28</v>
      </c>
      <c r="K40" s="12" t="s">
        <v>28</v>
      </c>
      <c r="L40" s="12" t="s">
        <v>38</v>
      </c>
      <c r="M40" s="12" t="s">
        <v>38</v>
      </c>
      <c r="N40" s="9">
        <v>0</v>
      </c>
      <c r="O40" s="12" t="s">
        <v>28</v>
      </c>
      <c r="P40" s="35">
        <v>0</v>
      </c>
      <c r="Q40" s="12" t="s">
        <v>28</v>
      </c>
      <c r="R40" s="35">
        <v>0</v>
      </c>
      <c r="S40" s="10" t="s">
        <v>28</v>
      </c>
      <c r="T40" s="37">
        <v>0</v>
      </c>
      <c r="U40" s="10" t="s">
        <v>28</v>
      </c>
      <c r="V40" s="11" t="s">
        <v>68</v>
      </c>
      <c r="W40" s="15" t="s">
        <v>68</v>
      </c>
      <c r="X40" s="21" t="s">
        <v>887</v>
      </c>
      <c r="Y40" s="67" t="s">
        <v>68</v>
      </c>
      <c r="Z40" s="33" t="s">
        <v>887</v>
      </c>
    </row>
    <row r="41" spans="1:26">
      <c r="A41" s="31">
        <v>40</v>
      </c>
      <c r="B41" s="8" t="s">
        <v>25</v>
      </c>
      <c r="C41" s="8" t="s">
        <v>26</v>
      </c>
      <c r="D41" s="12" t="s">
        <v>32</v>
      </c>
      <c r="E41" s="12" t="s">
        <v>110</v>
      </c>
      <c r="F41" s="34" t="s">
        <v>138</v>
      </c>
      <c r="G41" s="34" t="s">
        <v>28</v>
      </c>
      <c r="H41" s="36" t="s">
        <v>139</v>
      </c>
      <c r="I41" s="12" t="s">
        <v>125</v>
      </c>
      <c r="J41" s="12" t="s">
        <v>28</v>
      </c>
      <c r="K41" s="12" t="s">
        <v>28</v>
      </c>
      <c r="L41" s="12" t="s">
        <v>38</v>
      </c>
      <c r="M41" s="12" t="s">
        <v>38</v>
      </c>
      <c r="N41" s="9">
        <v>0</v>
      </c>
      <c r="O41" s="12" t="s">
        <v>28</v>
      </c>
      <c r="P41" s="35">
        <v>0</v>
      </c>
      <c r="Q41" s="12" t="s">
        <v>28</v>
      </c>
      <c r="R41" s="35">
        <v>0</v>
      </c>
      <c r="S41" s="10" t="s">
        <v>28</v>
      </c>
      <c r="T41" s="37">
        <v>0</v>
      </c>
      <c r="U41" s="10" t="s">
        <v>28</v>
      </c>
      <c r="V41" s="11" t="s">
        <v>68</v>
      </c>
      <c r="W41" s="15" t="s">
        <v>68</v>
      </c>
      <c r="X41" s="21" t="s">
        <v>887</v>
      </c>
      <c r="Y41" s="67" t="s">
        <v>68</v>
      </c>
      <c r="Z41" s="33" t="s">
        <v>887</v>
      </c>
    </row>
    <row r="42" spans="1:26">
      <c r="A42" s="31">
        <v>41</v>
      </c>
      <c r="B42" s="8" t="s">
        <v>25</v>
      </c>
      <c r="C42" s="8" t="s">
        <v>26</v>
      </c>
      <c r="D42" s="12" t="s">
        <v>32</v>
      </c>
      <c r="E42" s="12" t="s">
        <v>110</v>
      </c>
      <c r="F42" s="34" t="s">
        <v>140</v>
      </c>
      <c r="G42" s="34" t="s">
        <v>28</v>
      </c>
      <c r="H42" s="36" t="s">
        <v>141</v>
      </c>
      <c r="I42" s="12" t="s">
        <v>118</v>
      </c>
      <c r="J42" s="12" t="s">
        <v>28</v>
      </c>
      <c r="K42" s="12" t="s">
        <v>28</v>
      </c>
      <c r="L42" s="12" t="s">
        <v>38</v>
      </c>
      <c r="M42" s="12" t="s">
        <v>38</v>
      </c>
      <c r="N42" s="9">
        <v>0</v>
      </c>
      <c r="O42" s="12" t="s">
        <v>28</v>
      </c>
      <c r="P42" s="35">
        <v>0</v>
      </c>
      <c r="Q42" s="12" t="s">
        <v>28</v>
      </c>
      <c r="R42" s="35">
        <v>0</v>
      </c>
      <c r="S42" s="10" t="s">
        <v>28</v>
      </c>
      <c r="T42" s="37">
        <v>0</v>
      </c>
      <c r="U42" s="10" t="s">
        <v>28</v>
      </c>
      <c r="V42" s="11" t="s">
        <v>68</v>
      </c>
      <c r="W42" s="15" t="s">
        <v>68</v>
      </c>
      <c r="X42" s="21" t="s">
        <v>887</v>
      </c>
      <c r="Y42" s="67" t="s">
        <v>68</v>
      </c>
      <c r="Z42" s="33" t="s">
        <v>887</v>
      </c>
    </row>
    <row r="43" spans="1:26">
      <c r="A43" s="31">
        <v>42</v>
      </c>
      <c r="B43" s="8" t="s">
        <v>25</v>
      </c>
      <c r="C43" s="8" t="s">
        <v>26</v>
      </c>
      <c r="D43" s="12" t="s">
        <v>32</v>
      </c>
      <c r="E43" s="12" t="s">
        <v>110</v>
      </c>
      <c r="F43" s="34" t="s">
        <v>142</v>
      </c>
      <c r="G43" s="34" t="s">
        <v>28</v>
      </c>
      <c r="H43" s="36" t="s">
        <v>143</v>
      </c>
      <c r="I43" s="12" t="s">
        <v>53</v>
      </c>
      <c r="J43" s="12" t="s">
        <v>28</v>
      </c>
      <c r="K43" s="12" t="s">
        <v>28</v>
      </c>
      <c r="L43" s="12" t="s">
        <v>38</v>
      </c>
      <c r="M43" s="12" t="s">
        <v>38</v>
      </c>
      <c r="N43" s="9">
        <v>0</v>
      </c>
      <c r="O43" s="12" t="s">
        <v>28</v>
      </c>
      <c r="P43" s="35">
        <v>0</v>
      </c>
      <c r="Q43" s="12" t="s">
        <v>28</v>
      </c>
      <c r="R43" s="35">
        <v>0</v>
      </c>
      <c r="S43" s="10" t="s">
        <v>28</v>
      </c>
      <c r="T43" s="37">
        <v>0</v>
      </c>
      <c r="U43" s="10" t="s">
        <v>28</v>
      </c>
      <c r="V43" s="11" t="s">
        <v>68</v>
      </c>
      <c r="W43" s="15" t="s">
        <v>68</v>
      </c>
      <c r="X43" s="21" t="s">
        <v>887</v>
      </c>
      <c r="Y43" s="67" t="s">
        <v>68</v>
      </c>
      <c r="Z43" s="33" t="s">
        <v>887</v>
      </c>
    </row>
    <row r="44" spans="1:26">
      <c r="A44" s="31">
        <v>43</v>
      </c>
      <c r="B44" s="8" t="s">
        <v>25</v>
      </c>
      <c r="C44" s="8" t="s">
        <v>26</v>
      </c>
      <c r="D44" s="12" t="s">
        <v>32</v>
      </c>
      <c r="E44" s="12" t="s">
        <v>110</v>
      </c>
      <c r="F44" s="34" t="s">
        <v>144</v>
      </c>
      <c r="G44" s="34" t="s">
        <v>28</v>
      </c>
      <c r="H44" s="36" t="s">
        <v>145</v>
      </c>
      <c r="I44" s="12" t="s">
        <v>118</v>
      </c>
      <c r="J44" s="12" t="s">
        <v>28</v>
      </c>
      <c r="K44" s="12" t="s">
        <v>28</v>
      </c>
      <c r="L44" s="12" t="s">
        <v>38</v>
      </c>
      <c r="M44" s="12" t="s">
        <v>38</v>
      </c>
      <c r="N44" s="9">
        <v>0</v>
      </c>
      <c r="O44" s="12" t="s">
        <v>28</v>
      </c>
      <c r="P44" s="35">
        <v>0</v>
      </c>
      <c r="Q44" s="12" t="s">
        <v>28</v>
      </c>
      <c r="R44" s="35">
        <v>0</v>
      </c>
      <c r="S44" s="10" t="s">
        <v>28</v>
      </c>
      <c r="T44" s="37">
        <v>0</v>
      </c>
      <c r="U44" s="10" t="s">
        <v>28</v>
      </c>
      <c r="V44" s="11" t="s">
        <v>68</v>
      </c>
      <c r="W44" s="15" t="s">
        <v>68</v>
      </c>
      <c r="X44" s="21" t="s">
        <v>887</v>
      </c>
      <c r="Y44" s="67" t="s">
        <v>68</v>
      </c>
      <c r="Z44" s="33" t="s">
        <v>887</v>
      </c>
    </row>
    <row r="45" spans="1:26">
      <c r="A45" s="31">
        <v>44</v>
      </c>
      <c r="B45" s="8" t="s">
        <v>25</v>
      </c>
      <c r="C45" s="8" t="s">
        <v>26</v>
      </c>
      <c r="D45" s="12" t="s">
        <v>32</v>
      </c>
      <c r="E45" s="12" t="s">
        <v>110</v>
      </c>
      <c r="F45" s="34" t="s">
        <v>146</v>
      </c>
      <c r="G45" s="34" t="s">
        <v>28</v>
      </c>
      <c r="H45" s="36" t="s">
        <v>147</v>
      </c>
      <c r="I45" s="12" t="s">
        <v>125</v>
      </c>
      <c r="J45" s="12" t="s">
        <v>28</v>
      </c>
      <c r="K45" s="12" t="s">
        <v>28</v>
      </c>
      <c r="L45" s="12" t="s">
        <v>38</v>
      </c>
      <c r="M45" s="12" t="s">
        <v>38</v>
      </c>
      <c r="N45" s="9">
        <v>0</v>
      </c>
      <c r="O45" s="12" t="s">
        <v>28</v>
      </c>
      <c r="P45" s="35">
        <v>0</v>
      </c>
      <c r="Q45" s="12" t="s">
        <v>28</v>
      </c>
      <c r="R45" s="35">
        <v>0</v>
      </c>
      <c r="S45" s="10" t="s">
        <v>28</v>
      </c>
      <c r="T45" s="37">
        <v>0</v>
      </c>
      <c r="U45" s="10" t="s">
        <v>28</v>
      </c>
      <c r="V45" s="11" t="s">
        <v>68</v>
      </c>
      <c r="W45" s="15" t="s">
        <v>68</v>
      </c>
      <c r="X45" s="21" t="s">
        <v>887</v>
      </c>
      <c r="Y45" s="67" t="s">
        <v>68</v>
      </c>
      <c r="Z45" s="33" t="s">
        <v>887</v>
      </c>
    </row>
    <row r="46" spans="1:26">
      <c r="A46" s="31">
        <v>45</v>
      </c>
      <c r="B46" s="8" t="s">
        <v>25</v>
      </c>
      <c r="C46" s="8" t="s">
        <v>26</v>
      </c>
      <c r="D46" s="12" t="s">
        <v>32</v>
      </c>
      <c r="E46" s="12" t="s">
        <v>110</v>
      </c>
      <c r="F46" s="34" t="s">
        <v>148</v>
      </c>
      <c r="G46" s="34" t="s">
        <v>149</v>
      </c>
      <c r="H46" s="36" t="s">
        <v>150</v>
      </c>
      <c r="I46" s="12" t="s">
        <v>53</v>
      </c>
      <c r="J46" s="12" t="s">
        <v>38</v>
      </c>
      <c r="K46" s="12" t="s">
        <v>28</v>
      </c>
      <c r="L46" s="12" t="s">
        <v>28</v>
      </c>
      <c r="M46" s="12" t="s">
        <v>38</v>
      </c>
      <c r="N46" s="9">
        <v>0</v>
      </c>
      <c r="O46" s="12" t="s">
        <v>28</v>
      </c>
      <c r="P46" s="35">
        <v>0</v>
      </c>
      <c r="Q46" s="12" t="s">
        <v>28</v>
      </c>
      <c r="R46" s="35">
        <v>308457303</v>
      </c>
      <c r="S46" s="10">
        <v>44028</v>
      </c>
      <c r="T46" s="37">
        <v>0</v>
      </c>
      <c r="U46" s="10" t="s">
        <v>28</v>
      </c>
      <c r="V46" s="34" t="s">
        <v>151</v>
      </c>
      <c r="W46" s="15" t="s">
        <v>880</v>
      </c>
      <c r="X46" s="21" t="s">
        <v>887</v>
      </c>
      <c r="Y46" s="67" t="s">
        <v>68</v>
      </c>
      <c r="Z46" s="33" t="s">
        <v>887</v>
      </c>
    </row>
    <row r="47" spans="1:26">
      <c r="A47" s="31">
        <v>46</v>
      </c>
      <c r="B47" s="8" t="s">
        <v>25</v>
      </c>
      <c r="C47" s="8" t="s">
        <v>26</v>
      </c>
      <c r="D47" s="12" t="s">
        <v>32</v>
      </c>
      <c r="E47" s="12" t="s">
        <v>110</v>
      </c>
      <c r="F47" s="34" t="s">
        <v>152</v>
      </c>
      <c r="G47" s="34" t="s">
        <v>28</v>
      </c>
      <c r="H47" s="36" t="s">
        <v>153</v>
      </c>
      <c r="I47" s="12" t="s">
        <v>53</v>
      </c>
      <c r="J47" s="12" t="s">
        <v>28</v>
      </c>
      <c r="K47" s="12" t="s">
        <v>28</v>
      </c>
      <c r="L47" s="12" t="s">
        <v>38</v>
      </c>
      <c r="M47" s="12" t="s">
        <v>38</v>
      </c>
      <c r="N47" s="9">
        <v>0</v>
      </c>
      <c r="O47" s="12" t="s">
        <v>28</v>
      </c>
      <c r="P47" s="35">
        <v>0</v>
      </c>
      <c r="Q47" s="12" t="s">
        <v>28</v>
      </c>
      <c r="R47" s="35">
        <v>0</v>
      </c>
      <c r="S47" s="10" t="s">
        <v>28</v>
      </c>
      <c r="T47" s="37">
        <v>0</v>
      </c>
      <c r="U47" s="10" t="s">
        <v>28</v>
      </c>
      <c r="V47" s="11" t="s">
        <v>68</v>
      </c>
      <c r="W47" s="15" t="s">
        <v>68</v>
      </c>
      <c r="X47" s="21" t="s">
        <v>887</v>
      </c>
      <c r="Y47" s="67" t="s">
        <v>68</v>
      </c>
      <c r="Z47" s="33" t="s">
        <v>887</v>
      </c>
    </row>
    <row r="48" spans="1:26">
      <c r="A48" s="31">
        <v>47</v>
      </c>
      <c r="B48" s="8" t="s">
        <v>25</v>
      </c>
      <c r="C48" s="8" t="s">
        <v>26</v>
      </c>
      <c r="D48" s="12" t="s">
        <v>32</v>
      </c>
      <c r="E48" s="12" t="s">
        <v>110</v>
      </c>
      <c r="F48" s="34" t="s">
        <v>154</v>
      </c>
      <c r="G48" s="34" t="s">
        <v>28</v>
      </c>
      <c r="H48" s="36" t="s">
        <v>155</v>
      </c>
      <c r="I48" s="12" t="s">
        <v>53</v>
      </c>
      <c r="J48" s="12" t="s">
        <v>28</v>
      </c>
      <c r="K48" s="12" t="s">
        <v>28</v>
      </c>
      <c r="L48" s="12" t="s">
        <v>38</v>
      </c>
      <c r="M48" s="12" t="s">
        <v>38</v>
      </c>
      <c r="N48" s="9">
        <v>0</v>
      </c>
      <c r="O48" s="12" t="s">
        <v>28</v>
      </c>
      <c r="P48" s="35">
        <v>0</v>
      </c>
      <c r="Q48" s="12" t="s">
        <v>28</v>
      </c>
      <c r="R48" s="35">
        <v>0</v>
      </c>
      <c r="S48" s="10" t="s">
        <v>28</v>
      </c>
      <c r="T48" s="37">
        <v>0</v>
      </c>
      <c r="U48" s="10" t="s">
        <v>28</v>
      </c>
      <c r="V48" s="11" t="s">
        <v>68</v>
      </c>
      <c r="W48" s="15" t="s">
        <v>68</v>
      </c>
      <c r="X48" s="21" t="s">
        <v>887</v>
      </c>
      <c r="Y48" s="67" t="s">
        <v>68</v>
      </c>
      <c r="Z48" s="33" t="s">
        <v>887</v>
      </c>
    </row>
    <row r="49" spans="1:26">
      <c r="A49" s="31">
        <v>48</v>
      </c>
      <c r="B49" s="8" t="s">
        <v>25</v>
      </c>
      <c r="C49" s="8" t="s">
        <v>26</v>
      </c>
      <c r="D49" s="12" t="s">
        <v>32</v>
      </c>
      <c r="E49" s="12" t="s">
        <v>110</v>
      </c>
      <c r="F49" s="34" t="s">
        <v>156</v>
      </c>
      <c r="G49" s="34" t="s">
        <v>28</v>
      </c>
      <c r="H49" s="36" t="s">
        <v>157</v>
      </c>
      <c r="I49" s="12" t="s">
        <v>53</v>
      </c>
      <c r="J49" s="12" t="s">
        <v>28</v>
      </c>
      <c r="K49" s="12" t="s">
        <v>28</v>
      </c>
      <c r="L49" s="12" t="s">
        <v>38</v>
      </c>
      <c r="M49" s="12" t="s">
        <v>38</v>
      </c>
      <c r="N49" s="9">
        <v>0</v>
      </c>
      <c r="O49" s="12" t="s">
        <v>28</v>
      </c>
      <c r="P49" s="35">
        <v>0</v>
      </c>
      <c r="Q49" s="12" t="s">
        <v>28</v>
      </c>
      <c r="R49" s="35">
        <v>0</v>
      </c>
      <c r="S49" s="10" t="s">
        <v>28</v>
      </c>
      <c r="T49" s="37">
        <v>0</v>
      </c>
      <c r="U49" s="10" t="s">
        <v>28</v>
      </c>
      <c r="V49" s="11" t="s">
        <v>68</v>
      </c>
      <c r="W49" s="15" t="s">
        <v>68</v>
      </c>
      <c r="X49" s="21" t="s">
        <v>887</v>
      </c>
      <c r="Y49" s="67" t="s">
        <v>68</v>
      </c>
      <c r="Z49" s="33" t="s">
        <v>887</v>
      </c>
    </row>
    <row r="50" spans="1:26">
      <c r="A50" s="31">
        <v>49</v>
      </c>
      <c r="B50" s="8" t="s">
        <v>25</v>
      </c>
      <c r="C50" s="8" t="s">
        <v>26</v>
      </c>
      <c r="D50" s="12" t="s">
        <v>32</v>
      </c>
      <c r="E50" s="12" t="s">
        <v>110</v>
      </c>
      <c r="F50" s="34" t="s">
        <v>158</v>
      </c>
      <c r="G50" s="34" t="s">
        <v>28</v>
      </c>
      <c r="H50" s="36" t="s">
        <v>159</v>
      </c>
      <c r="I50" s="12" t="s">
        <v>118</v>
      </c>
      <c r="J50" s="12" t="s">
        <v>28</v>
      </c>
      <c r="K50" s="12" t="s">
        <v>28</v>
      </c>
      <c r="L50" s="12" t="s">
        <v>38</v>
      </c>
      <c r="M50" s="12" t="s">
        <v>38</v>
      </c>
      <c r="N50" s="9">
        <v>0</v>
      </c>
      <c r="O50" s="12" t="s">
        <v>28</v>
      </c>
      <c r="P50" s="35">
        <v>0</v>
      </c>
      <c r="Q50" s="12" t="s">
        <v>28</v>
      </c>
      <c r="R50" s="35">
        <v>0</v>
      </c>
      <c r="S50" s="10" t="s">
        <v>28</v>
      </c>
      <c r="T50" s="37">
        <v>0</v>
      </c>
      <c r="U50" s="10" t="s">
        <v>28</v>
      </c>
      <c r="V50" s="11" t="s">
        <v>68</v>
      </c>
      <c r="W50" s="15" t="s">
        <v>68</v>
      </c>
      <c r="X50" s="21" t="s">
        <v>887</v>
      </c>
      <c r="Y50" s="67" t="s">
        <v>68</v>
      </c>
      <c r="Z50" s="33" t="s">
        <v>887</v>
      </c>
    </row>
    <row r="51" spans="1:26">
      <c r="A51" s="31">
        <v>50</v>
      </c>
      <c r="B51" s="8" t="s">
        <v>25</v>
      </c>
      <c r="C51" s="8" t="s">
        <v>26</v>
      </c>
      <c r="D51" s="12" t="s">
        <v>32</v>
      </c>
      <c r="E51" s="12" t="s">
        <v>110</v>
      </c>
      <c r="F51" s="34" t="s">
        <v>160</v>
      </c>
      <c r="G51" s="34" t="s">
        <v>28</v>
      </c>
      <c r="H51" s="36" t="s">
        <v>161</v>
      </c>
      <c r="I51" s="12" t="s">
        <v>53</v>
      </c>
      <c r="J51" s="12" t="s">
        <v>28</v>
      </c>
      <c r="K51" s="12" t="s">
        <v>28</v>
      </c>
      <c r="L51" s="12" t="s">
        <v>38</v>
      </c>
      <c r="M51" s="12" t="s">
        <v>38</v>
      </c>
      <c r="N51" s="9">
        <v>0</v>
      </c>
      <c r="O51" s="12" t="s">
        <v>28</v>
      </c>
      <c r="P51" s="35">
        <v>0</v>
      </c>
      <c r="Q51" s="12" t="s">
        <v>28</v>
      </c>
      <c r="R51" s="35">
        <v>0</v>
      </c>
      <c r="S51" s="10" t="s">
        <v>28</v>
      </c>
      <c r="T51" s="37">
        <v>0</v>
      </c>
      <c r="U51" s="10" t="s">
        <v>28</v>
      </c>
      <c r="V51" s="11" t="s">
        <v>68</v>
      </c>
      <c r="W51" s="15" t="s">
        <v>68</v>
      </c>
      <c r="X51" s="21" t="s">
        <v>887</v>
      </c>
      <c r="Y51" s="67" t="s">
        <v>68</v>
      </c>
      <c r="Z51" s="33" t="s">
        <v>887</v>
      </c>
    </row>
    <row r="52" spans="1:26">
      <c r="A52" s="31">
        <v>51</v>
      </c>
      <c r="B52" s="8" t="s">
        <v>25</v>
      </c>
      <c r="C52" s="8" t="s">
        <v>26</v>
      </c>
      <c r="D52" s="12" t="s">
        <v>32</v>
      </c>
      <c r="E52" s="12" t="s">
        <v>110</v>
      </c>
      <c r="F52" s="34" t="s">
        <v>162</v>
      </c>
      <c r="G52" s="34" t="s">
        <v>28</v>
      </c>
      <c r="H52" s="36" t="s">
        <v>163</v>
      </c>
      <c r="I52" s="12" t="s">
        <v>53</v>
      </c>
      <c r="J52" s="12" t="s">
        <v>28</v>
      </c>
      <c r="K52" s="12" t="s">
        <v>28</v>
      </c>
      <c r="L52" s="12" t="s">
        <v>38</v>
      </c>
      <c r="M52" s="12" t="s">
        <v>38</v>
      </c>
      <c r="N52" s="9">
        <v>0</v>
      </c>
      <c r="O52" s="12" t="s">
        <v>28</v>
      </c>
      <c r="P52" s="35">
        <v>0</v>
      </c>
      <c r="Q52" s="12" t="s">
        <v>28</v>
      </c>
      <c r="R52" s="35">
        <v>0</v>
      </c>
      <c r="S52" s="10" t="s">
        <v>28</v>
      </c>
      <c r="T52" s="37">
        <v>0</v>
      </c>
      <c r="U52" s="10" t="s">
        <v>28</v>
      </c>
      <c r="V52" s="11" t="s">
        <v>68</v>
      </c>
      <c r="W52" s="15" t="s">
        <v>68</v>
      </c>
      <c r="X52" s="21" t="s">
        <v>887</v>
      </c>
      <c r="Y52" s="67" t="s">
        <v>68</v>
      </c>
      <c r="Z52" s="33" t="s">
        <v>887</v>
      </c>
    </row>
    <row r="53" spans="1:26">
      <c r="A53" s="31">
        <v>52</v>
      </c>
      <c r="B53" s="8" t="s">
        <v>25</v>
      </c>
      <c r="C53" s="8" t="s">
        <v>26</v>
      </c>
      <c r="D53" s="12" t="s">
        <v>32</v>
      </c>
      <c r="E53" s="12" t="s">
        <v>110</v>
      </c>
      <c r="F53" s="34" t="s">
        <v>164</v>
      </c>
      <c r="G53" s="34" t="s">
        <v>28</v>
      </c>
      <c r="H53" s="36" t="s">
        <v>165</v>
      </c>
      <c r="I53" s="12" t="s">
        <v>53</v>
      </c>
      <c r="J53" s="12" t="s">
        <v>28</v>
      </c>
      <c r="K53" s="12" t="s">
        <v>28</v>
      </c>
      <c r="L53" s="12" t="s">
        <v>38</v>
      </c>
      <c r="M53" s="12" t="s">
        <v>38</v>
      </c>
      <c r="N53" s="9">
        <v>0</v>
      </c>
      <c r="O53" s="12" t="s">
        <v>28</v>
      </c>
      <c r="P53" s="35">
        <v>0</v>
      </c>
      <c r="Q53" s="12" t="s">
        <v>28</v>
      </c>
      <c r="R53" s="35">
        <v>0</v>
      </c>
      <c r="S53" s="10" t="s">
        <v>28</v>
      </c>
      <c r="T53" s="37">
        <v>0</v>
      </c>
      <c r="U53" s="10" t="s">
        <v>28</v>
      </c>
      <c r="V53" s="11" t="s">
        <v>68</v>
      </c>
      <c r="W53" s="15" t="s">
        <v>68</v>
      </c>
      <c r="X53" s="21" t="s">
        <v>887</v>
      </c>
      <c r="Y53" s="67" t="s">
        <v>68</v>
      </c>
      <c r="Z53" s="33" t="s">
        <v>887</v>
      </c>
    </row>
    <row r="54" spans="1:26">
      <c r="A54" s="31">
        <v>53</v>
      </c>
      <c r="B54" s="8" t="s">
        <v>25</v>
      </c>
      <c r="C54" s="8" t="s">
        <v>26</v>
      </c>
      <c r="D54" s="12" t="s">
        <v>32</v>
      </c>
      <c r="E54" s="12" t="s">
        <v>110</v>
      </c>
      <c r="F54" s="34" t="s">
        <v>166</v>
      </c>
      <c r="G54" s="34" t="s">
        <v>28</v>
      </c>
      <c r="H54" s="36" t="s">
        <v>167</v>
      </c>
      <c r="I54" s="12" t="s">
        <v>53</v>
      </c>
      <c r="J54" s="12" t="s">
        <v>28</v>
      </c>
      <c r="K54" s="12" t="s">
        <v>28</v>
      </c>
      <c r="L54" s="12" t="s">
        <v>38</v>
      </c>
      <c r="M54" s="12" t="s">
        <v>38</v>
      </c>
      <c r="N54" s="9">
        <v>0</v>
      </c>
      <c r="O54" s="12" t="s">
        <v>28</v>
      </c>
      <c r="P54" s="35">
        <v>0</v>
      </c>
      <c r="Q54" s="12" t="s">
        <v>28</v>
      </c>
      <c r="R54" s="35">
        <v>0</v>
      </c>
      <c r="S54" s="10" t="s">
        <v>28</v>
      </c>
      <c r="T54" s="37">
        <v>0</v>
      </c>
      <c r="U54" s="10" t="s">
        <v>28</v>
      </c>
      <c r="V54" s="11" t="s">
        <v>68</v>
      </c>
      <c r="W54" s="15" t="s">
        <v>68</v>
      </c>
      <c r="X54" s="21" t="s">
        <v>887</v>
      </c>
      <c r="Y54" s="67" t="s">
        <v>68</v>
      </c>
      <c r="Z54" s="33" t="s">
        <v>887</v>
      </c>
    </row>
    <row r="55" spans="1:26">
      <c r="A55" s="31">
        <v>54</v>
      </c>
      <c r="B55" s="8" t="s">
        <v>25</v>
      </c>
      <c r="C55" s="8" t="s">
        <v>26</v>
      </c>
      <c r="D55" s="12" t="s">
        <v>32</v>
      </c>
      <c r="E55" s="12" t="s">
        <v>110</v>
      </c>
      <c r="F55" s="34" t="s">
        <v>168</v>
      </c>
      <c r="G55" s="34" t="s">
        <v>28</v>
      </c>
      <c r="H55" s="36" t="s">
        <v>169</v>
      </c>
      <c r="I55" s="12" t="s">
        <v>53</v>
      </c>
      <c r="J55" s="12" t="s">
        <v>28</v>
      </c>
      <c r="K55" s="12" t="s">
        <v>28</v>
      </c>
      <c r="L55" s="12" t="s">
        <v>38</v>
      </c>
      <c r="M55" s="12" t="s">
        <v>38</v>
      </c>
      <c r="N55" s="9">
        <v>0</v>
      </c>
      <c r="O55" s="12" t="s">
        <v>28</v>
      </c>
      <c r="P55" s="35">
        <v>0</v>
      </c>
      <c r="Q55" s="12" t="s">
        <v>28</v>
      </c>
      <c r="R55" s="35">
        <v>0</v>
      </c>
      <c r="S55" s="10" t="s">
        <v>28</v>
      </c>
      <c r="T55" s="37">
        <v>0</v>
      </c>
      <c r="U55" s="10" t="s">
        <v>28</v>
      </c>
      <c r="V55" s="11" t="s">
        <v>68</v>
      </c>
      <c r="W55" s="15" t="s">
        <v>68</v>
      </c>
      <c r="X55" s="21" t="s">
        <v>887</v>
      </c>
      <c r="Y55" s="67" t="s">
        <v>68</v>
      </c>
      <c r="Z55" s="33" t="s">
        <v>887</v>
      </c>
    </row>
    <row r="56" spans="1:26">
      <c r="A56" s="31">
        <v>55</v>
      </c>
      <c r="B56" s="8" t="s">
        <v>25</v>
      </c>
      <c r="C56" s="8" t="s">
        <v>26</v>
      </c>
      <c r="D56" s="12" t="s">
        <v>32</v>
      </c>
      <c r="E56" s="12" t="s">
        <v>110</v>
      </c>
      <c r="F56" s="34" t="s">
        <v>170</v>
      </c>
      <c r="G56" s="34" t="s">
        <v>28</v>
      </c>
      <c r="H56" s="36" t="s">
        <v>171</v>
      </c>
      <c r="I56" s="12" t="s">
        <v>53</v>
      </c>
      <c r="J56" s="12" t="s">
        <v>28</v>
      </c>
      <c r="K56" s="12" t="s">
        <v>28</v>
      </c>
      <c r="L56" s="12" t="s">
        <v>38</v>
      </c>
      <c r="M56" s="12" t="s">
        <v>38</v>
      </c>
      <c r="N56" s="9">
        <v>0</v>
      </c>
      <c r="O56" s="12" t="s">
        <v>28</v>
      </c>
      <c r="P56" s="35">
        <v>0</v>
      </c>
      <c r="Q56" s="12" t="s">
        <v>28</v>
      </c>
      <c r="R56" s="35">
        <v>0</v>
      </c>
      <c r="S56" s="10" t="s">
        <v>28</v>
      </c>
      <c r="T56" s="37">
        <v>0</v>
      </c>
      <c r="U56" s="10" t="s">
        <v>28</v>
      </c>
      <c r="V56" s="11" t="s">
        <v>68</v>
      </c>
      <c r="W56" s="15" t="s">
        <v>68</v>
      </c>
      <c r="X56" s="21" t="s">
        <v>887</v>
      </c>
      <c r="Y56" s="67" t="s">
        <v>68</v>
      </c>
      <c r="Z56" s="33" t="s">
        <v>887</v>
      </c>
    </row>
    <row r="57" spans="1:26">
      <c r="A57" s="31">
        <v>56</v>
      </c>
      <c r="B57" s="8" t="s">
        <v>25</v>
      </c>
      <c r="C57" s="8" t="s">
        <v>26</v>
      </c>
      <c r="D57" s="12" t="s">
        <v>32</v>
      </c>
      <c r="E57" s="12" t="s">
        <v>110</v>
      </c>
      <c r="F57" s="34" t="s">
        <v>172</v>
      </c>
      <c r="G57" s="34" t="s">
        <v>28</v>
      </c>
      <c r="H57" s="36" t="s">
        <v>173</v>
      </c>
      <c r="I57" s="12" t="s">
        <v>53</v>
      </c>
      <c r="J57" s="12" t="s">
        <v>28</v>
      </c>
      <c r="K57" s="12" t="s">
        <v>28</v>
      </c>
      <c r="L57" s="12" t="s">
        <v>38</v>
      </c>
      <c r="M57" s="12" t="s">
        <v>38</v>
      </c>
      <c r="N57" s="9">
        <v>0</v>
      </c>
      <c r="O57" s="12" t="s">
        <v>28</v>
      </c>
      <c r="P57" s="35">
        <v>0</v>
      </c>
      <c r="Q57" s="12" t="s">
        <v>28</v>
      </c>
      <c r="R57" s="35">
        <v>0</v>
      </c>
      <c r="S57" s="10" t="s">
        <v>28</v>
      </c>
      <c r="T57" s="37">
        <v>0</v>
      </c>
      <c r="U57" s="10" t="s">
        <v>28</v>
      </c>
      <c r="V57" s="11" t="s">
        <v>68</v>
      </c>
      <c r="W57" s="15" t="s">
        <v>68</v>
      </c>
      <c r="X57" s="21" t="s">
        <v>887</v>
      </c>
      <c r="Y57" s="67" t="s">
        <v>68</v>
      </c>
      <c r="Z57" s="33" t="s">
        <v>887</v>
      </c>
    </row>
    <row r="58" spans="1:26">
      <c r="A58" s="31">
        <v>57</v>
      </c>
      <c r="B58" s="8" t="s">
        <v>25</v>
      </c>
      <c r="C58" s="8" t="s">
        <v>26</v>
      </c>
      <c r="D58" s="12" t="s">
        <v>32</v>
      </c>
      <c r="E58" s="12" t="s">
        <v>110</v>
      </c>
      <c r="F58" s="34" t="s">
        <v>174</v>
      </c>
      <c r="G58" s="34" t="s">
        <v>28</v>
      </c>
      <c r="H58" s="36" t="s">
        <v>175</v>
      </c>
      <c r="I58" s="12" t="s">
        <v>53</v>
      </c>
      <c r="J58" s="12" t="s">
        <v>28</v>
      </c>
      <c r="K58" s="12" t="s">
        <v>28</v>
      </c>
      <c r="L58" s="12" t="s">
        <v>38</v>
      </c>
      <c r="M58" s="12" t="s">
        <v>38</v>
      </c>
      <c r="N58" s="9">
        <v>0</v>
      </c>
      <c r="O58" s="12" t="s">
        <v>28</v>
      </c>
      <c r="P58" s="35">
        <v>0</v>
      </c>
      <c r="Q58" s="12" t="s">
        <v>28</v>
      </c>
      <c r="R58" s="35">
        <v>0</v>
      </c>
      <c r="S58" s="10" t="s">
        <v>28</v>
      </c>
      <c r="T58" s="37">
        <v>0</v>
      </c>
      <c r="U58" s="10" t="s">
        <v>28</v>
      </c>
      <c r="V58" s="11" t="s">
        <v>68</v>
      </c>
      <c r="W58" s="15" t="s">
        <v>68</v>
      </c>
      <c r="X58" s="21" t="s">
        <v>887</v>
      </c>
      <c r="Y58" s="67" t="s">
        <v>68</v>
      </c>
      <c r="Z58" s="33" t="s">
        <v>887</v>
      </c>
    </row>
    <row r="59" spans="1:26">
      <c r="A59" s="31">
        <v>58</v>
      </c>
      <c r="B59" s="8" t="s">
        <v>25</v>
      </c>
      <c r="C59" s="8" t="s">
        <v>26</v>
      </c>
      <c r="D59" s="12" t="s">
        <v>32</v>
      </c>
      <c r="E59" s="12" t="s">
        <v>110</v>
      </c>
      <c r="F59" s="34" t="s">
        <v>176</v>
      </c>
      <c r="G59" s="34" t="s">
        <v>28</v>
      </c>
      <c r="H59" s="36" t="s">
        <v>177</v>
      </c>
      <c r="I59" s="12" t="s">
        <v>61</v>
      </c>
      <c r="J59" s="12" t="s">
        <v>28</v>
      </c>
      <c r="K59" s="12" t="s">
        <v>28</v>
      </c>
      <c r="L59" s="12" t="s">
        <v>38</v>
      </c>
      <c r="M59" s="12" t="s">
        <v>38</v>
      </c>
      <c r="N59" s="9">
        <v>0</v>
      </c>
      <c r="O59" s="12" t="s">
        <v>28</v>
      </c>
      <c r="P59" s="35">
        <v>0</v>
      </c>
      <c r="Q59" s="12" t="s">
        <v>28</v>
      </c>
      <c r="R59" s="35">
        <v>0</v>
      </c>
      <c r="S59" s="10" t="s">
        <v>28</v>
      </c>
      <c r="T59" s="37">
        <v>0</v>
      </c>
      <c r="U59" s="10" t="s">
        <v>28</v>
      </c>
      <c r="V59" s="11" t="s">
        <v>68</v>
      </c>
      <c r="W59" s="15" t="s">
        <v>68</v>
      </c>
      <c r="X59" s="21" t="s">
        <v>887</v>
      </c>
      <c r="Y59" s="67" t="s">
        <v>68</v>
      </c>
      <c r="Z59" s="33" t="s">
        <v>887</v>
      </c>
    </row>
    <row r="60" spans="1:26">
      <c r="A60" s="31">
        <v>59</v>
      </c>
      <c r="B60" s="8" t="s">
        <v>25</v>
      </c>
      <c r="C60" s="8" t="s">
        <v>26</v>
      </c>
      <c r="D60" s="12" t="s">
        <v>32</v>
      </c>
      <c r="E60" s="12" t="s">
        <v>110</v>
      </c>
      <c r="F60" s="34" t="s">
        <v>178</v>
      </c>
      <c r="G60" s="34" t="s">
        <v>28</v>
      </c>
      <c r="H60" s="36" t="s">
        <v>179</v>
      </c>
      <c r="I60" s="12" t="s">
        <v>180</v>
      </c>
      <c r="J60" s="12" t="s">
        <v>28</v>
      </c>
      <c r="K60" s="12" t="s">
        <v>28</v>
      </c>
      <c r="L60" s="12" t="s">
        <v>38</v>
      </c>
      <c r="M60" s="12" t="s">
        <v>38</v>
      </c>
      <c r="N60" s="9">
        <v>0</v>
      </c>
      <c r="O60" s="12" t="s">
        <v>28</v>
      </c>
      <c r="P60" s="35">
        <v>0</v>
      </c>
      <c r="Q60" s="12" t="s">
        <v>28</v>
      </c>
      <c r="R60" s="35">
        <v>0</v>
      </c>
      <c r="S60" s="10" t="s">
        <v>28</v>
      </c>
      <c r="T60" s="37">
        <v>0</v>
      </c>
      <c r="U60" s="10" t="s">
        <v>28</v>
      </c>
      <c r="V60" s="11" t="s">
        <v>68</v>
      </c>
      <c r="W60" s="15" t="s">
        <v>68</v>
      </c>
      <c r="X60" s="21" t="s">
        <v>887</v>
      </c>
      <c r="Y60" s="67" t="s">
        <v>68</v>
      </c>
      <c r="Z60" s="33" t="s">
        <v>887</v>
      </c>
    </row>
    <row r="61" spans="1:26">
      <c r="A61" s="31">
        <v>60</v>
      </c>
      <c r="B61" s="8" t="s">
        <v>25</v>
      </c>
      <c r="C61" s="8" t="s">
        <v>26</v>
      </c>
      <c r="D61" s="12" t="s">
        <v>32</v>
      </c>
      <c r="E61" s="12" t="s">
        <v>110</v>
      </c>
      <c r="F61" s="34" t="s">
        <v>181</v>
      </c>
      <c r="G61" s="34" t="s">
        <v>28</v>
      </c>
      <c r="H61" s="36" t="s">
        <v>182</v>
      </c>
      <c r="I61" s="12" t="s">
        <v>53</v>
      </c>
      <c r="J61" s="12" t="s">
        <v>28</v>
      </c>
      <c r="K61" s="12" t="s">
        <v>28</v>
      </c>
      <c r="L61" s="12" t="s">
        <v>38</v>
      </c>
      <c r="M61" s="12" t="s">
        <v>38</v>
      </c>
      <c r="N61" s="9">
        <v>0</v>
      </c>
      <c r="O61" s="12" t="s">
        <v>28</v>
      </c>
      <c r="P61" s="35">
        <v>0</v>
      </c>
      <c r="Q61" s="12" t="s">
        <v>28</v>
      </c>
      <c r="R61" s="35">
        <v>0</v>
      </c>
      <c r="S61" s="10" t="s">
        <v>28</v>
      </c>
      <c r="T61" s="37">
        <v>0</v>
      </c>
      <c r="U61" s="10" t="s">
        <v>28</v>
      </c>
      <c r="V61" s="11" t="s">
        <v>68</v>
      </c>
      <c r="W61" s="15" t="s">
        <v>68</v>
      </c>
      <c r="X61" s="21" t="s">
        <v>887</v>
      </c>
      <c r="Y61" s="67" t="s">
        <v>68</v>
      </c>
      <c r="Z61" s="33" t="s">
        <v>887</v>
      </c>
    </row>
    <row r="62" spans="1:26">
      <c r="A62" s="31">
        <v>61</v>
      </c>
      <c r="B62" s="8" t="s">
        <v>25</v>
      </c>
      <c r="C62" s="8" t="s">
        <v>26</v>
      </c>
      <c r="D62" s="12" t="s">
        <v>32</v>
      </c>
      <c r="E62" s="12" t="s">
        <v>110</v>
      </c>
      <c r="F62" s="34" t="s">
        <v>183</v>
      </c>
      <c r="G62" s="34" t="s">
        <v>28</v>
      </c>
      <c r="H62" s="36" t="s">
        <v>184</v>
      </c>
      <c r="I62" s="12" t="s">
        <v>125</v>
      </c>
      <c r="J62" s="12" t="s">
        <v>28</v>
      </c>
      <c r="K62" s="12" t="s">
        <v>28</v>
      </c>
      <c r="L62" s="12" t="s">
        <v>38</v>
      </c>
      <c r="M62" s="12" t="s">
        <v>38</v>
      </c>
      <c r="N62" s="9">
        <v>0</v>
      </c>
      <c r="O62" s="12" t="s">
        <v>28</v>
      </c>
      <c r="P62" s="35">
        <v>0</v>
      </c>
      <c r="Q62" s="12" t="s">
        <v>28</v>
      </c>
      <c r="R62" s="35">
        <v>0</v>
      </c>
      <c r="S62" s="10" t="s">
        <v>28</v>
      </c>
      <c r="T62" s="37">
        <v>0</v>
      </c>
      <c r="U62" s="10" t="s">
        <v>28</v>
      </c>
      <c r="V62" s="11" t="s">
        <v>68</v>
      </c>
      <c r="W62" s="15" t="s">
        <v>68</v>
      </c>
      <c r="X62" s="21" t="s">
        <v>887</v>
      </c>
      <c r="Y62" s="67" t="s">
        <v>68</v>
      </c>
      <c r="Z62" s="33" t="s">
        <v>887</v>
      </c>
    </row>
    <row r="63" spans="1:26">
      <c r="A63" s="31">
        <v>62</v>
      </c>
      <c r="B63" s="8" t="s">
        <v>25</v>
      </c>
      <c r="C63" s="8" t="s">
        <v>26</v>
      </c>
      <c r="D63" s="12" t="s">
        <v>32</v>
      </c>
      <c r="E63" s="12" t="s">
        <v>110</v>
      </c>
      <c r="F63" s="34" t="s">
        <v>185</v>
      </c>
      <c r="G63" s="34" t="s">
        <v>28</v>
      </c>
      <c r="H63" s="36" t="s">
        <v>186</v>
      </c>
      <c r="I63" s="12" t="s">
        <v>57</v>
      </c>
      <c r="J63" s="12" t="s">
        <v>28</v>
      </c>
      <c r="K63" s="12" t="s">
        <v>28</v>
      </c>
      <c r="L63" s="12" t="s">
        <v>38</v>
      </c>
      <c r="M63" s="12" t="s">
        <v>38</v>
      </c>
      <c r="N63" s="9">
        <v>0</v>
      </c>
      <c r="O63" s="12" t="s">
        <v>28</v>
      </c>
      <c r="P63" s="35">
        <v>0</v>
      </c>
      <c r="Q63" s="12" t="s">
        <v>28</v>
      </c>
      <c r="R63" s="35">
        <v>0</v>
      </c>
      <c r="S63" s="10" t="s">
        <v>28</v>
      </c>
      <c r="T63" s="37">
        <v>0</v>
      </c>
      <c r="U63" s="10" t="s">
        <v>28</v>
      </c>
      <c r="V63" s="11" t="s">
        <v>68</v>
      </c>
      <c r="W63" s="15" t="s">
        <v>68</v>
      </c>
      <c r="X63" s="21" t="s">
        <v>887</v>
      </c>
      <c r="Y63" s="67" t="s">
        <v>68</v>
      </c>
      <c r="Z63" s="33" t="s">
        <v>887</v>
      </c>
    </row>
    <row r="64" spans="1:26">
      <c r="A64" s="31">
        <v>63</v>
      </c>
      <c r="B64" s="8" t="s">
        <v>25</v>
      </c>
      <c r="C64" s="8" t="s">
        <v>26</v>
      </c>
      <c r="D64" s="12" t="s">
        <v>32</v>
      </c>
      <c r="E64" s="12" t="s">
        <v>110</v>
      </c>
      <c r="F64" s="34" t="s">
        <v>187</v>
      </c>
      <c r="G64" s="34" t="s">
        <v>28</v>
      </c>
      <c r="H64" s="36" t="s">
        <v>188</v>
      </c>
      <c r="I64" s="12" t="s">
        <v>53</v>
      </c>
      <c r="J64" s="12" t="s">
        <v>28</v>
      </c>
      <c r="K64" s="12" t="s">
        <v>28</v>
      </c>
      <c r="L64" s="12" t="s">
        <v>38</v>
      </c>
      <c r="M64" s="12" t="s">
        <v>38</v>
      </c>
      <c r="N64" s="9">
        <v>0</v>
      </c>
      <c r="O64" s="12" t="s">
        <v>28</v>
      </c>
      <c r="P64" s="35">
        <v>0</v>
      </c>
      <c r="Q64" s="12" t="s">
        <v>28</v>
      </c>
      <c r="R64" s="35">
        <v>0</v>
      </c>
      <c r="S64" s="10" t="s">
        <v>28</v>
      </c>
      <c r="T64" s="37">
        <v>0</v>
      </c>
      <c r="U64" s="10" t="s">
        <v>28</v>
      </c>
      <c r="V64" s="11" t="s">
        <v>68</v>
      </c>
      <c r="W64" s="15" t="s">
        <v>68</v>
      </c>
      <c r="X64" s="21" t="s">
        <v>887</v>
      </c>
      <c r="Y64" s="67" t="s">
        <v>68</v>
      </c>
      <c r="Z64" s="33" t="s">
        <v>887</v>
      </c>
    </row>
    <row r="65" spans="1:26">
      <c r="A65" s="31">
        <v>64</v>
      </c>
      <c r="B65" s="8" t="s">
        <v>25</v>
      </c>
      <c r="C65" s="8" t="s">
        <v>26</v>
      </c>
      <c r="D65" s="12" t="s">
        <v>32</v>
      </c>
      <c r="E65" s="12" t="s">
        <v>110</v>
      </c>
      <c r="F65" s="34" t="s">
        <v>189</v>
      </c>
      <c r="G65" s="34" t="s">
        <v>28</v>
      </c>
      <c r="H65" s="36" t="s">
        <v>190</v>
      </c>
      <c r="I65" s="12" t="s">
        <v>191</v>
      </c>
      <c r="J65" s="12" t="s">
        <v>28</v>
      </c>
      <c r="K65" s="12" t="s">
        <v>28</v>
      </c>
      <c r="L65" s="12" t="s">
        <v>38</v>
      </c>
      <c r="M65" s="12" t="s">
        <v>38</v>
      </c>
      <c r="N65" s="9">
        <v>0</v>
      </c>
      <c r="O65" s="12" t="s">
        <v>28</v>
      </c>
      <c r="P65" s="35">
        <v>0</v>
      </c>
      <c r="Q65" s="12" t="s">
        <v>28</v>
      </c>
      <c r="R65" s="35">
        <v>0</v>
      </c>
      <c r="S65" s="10" t="s">
        <v>28</v>
      </c>
      <c r="T65" s="37">
        <v>0</v>
      </c>
      <c r="U65" s="10" t="s">
        <v>28</v>
      </c>
      <c r="V65" s="11" t="s">
        <v>68</v>
      </c>
      <c r="W65" s="15" t="s">
        <v>68</v>
      </c>
      <c r="X65" s="21" t="s">
        <v>887</v>
      </c>
      <c r="Y65" s="67" t="s">
        <v>68</v>
      </c>
      <c r="Z65" s="33" t="s">
        <v>887</v>
      </c>
    </row>
    <row r="66" spans="1:26">
      <c r="A66" s="31">
        <v>65</v>
      </c>
      <c r="B66" s="8" t="s">
        <v>25</v>
      </c>
      <c r="C66" s="8" t="s">
        <v>26</v>
      </c>
      <c r="D66" s="12" t="s">
        <v>32</v>
      </c>
      <c r="E66" s="12" t="s">
        <v>110</v>
      </c>
      <c r="F66" s="34" t="s">
        <v>192</v>
      </c>
      <c r="G66" s="34" t="s">
        <v>28</v>
      </c>
      <c r="H66" s="36" t="s">
        <v>193</v>
      </c>
      <c r="I66" s="12" t="s">
        <v>53</v>
      </c>
      <c r="J66" s="12" t="s">
        <v>28</v>
      </c>
      <c r="K66" s="12" t="s">
        <v>28</v>
      </c>
      <c r="L66" s="12" t="s">
        <v>38</v>
      </c>
      <c r="M66" s="12" t="s">
        <v>38</v>
      </c>
      <c r="N66" s="9">
        <v>0</v>
      </c>
      <c r="O66" s="12" t="s">
        <v>28</v>
      </c>
      <c r="P66" s="35">
        <v>0</v>
      </c>
      <c r="Q66" s="12" t="s">
        <v>28</v>
      </c>
      <c r="R66" s="35">
        <v>0</v>
      </c>
      <c r="S66" s="10" t="s">
        <v>28</v>
      </c>
      <c r="T66" s="37">
        <v>0</v>
      </c>
      <c r="U66" s="10" t="s">
        <v>28</v>
      </c>
      <c r="V66" s="11" t="s">
        <v>68</v>
      </c>
      <c r="W66" s="15" t="s">
        <v>68</v>
      </c>
      <c r="X66" s="21" t="s">
        <v>887</v>
      </c>
      <c r="Y66" s="67" t="s">
        <v>68</v>
      </c>
      <c r="Z66" s="33" t="s">
        <v>887</v>
      </c>
    </row>
    <row r="67" spans="1:26">
      <c r="A67" s="31">
        <v>66</v>
      </c>
      <c r="B67" s="8" t="s">
        <v>25</v>
      </c>
      <c r="C67" s="8" t="s">
        <v>26</v>
      </c>
      <c r="D67" s="12" t="s">
        <v>32</v>
      </c>
      <c r="E67" s="12" t="s">
        <v>194</v>
      </c>
      <c r="F67" s="34" t="s">
        <v>195</v>
      </c>
      <c r="G67" s="34" t="s">
        <v>196</v>
      </c>
      <c r="H67" s="36" t="s">
        <v>197</v>
      </c>
      <c r="I67" s="12" t="s">
        <v>118</v>
      </c>
      <c r="J67" s="12" t="s">
        <v>38</v>
      </c>
      <c r="K67" s="12" t="s">
        <v>28</v>
      </c>
      <c r="L67" s="12" t="s">
        <v>28</v>
      </c>
      <c r="M67" s="12" t="s">
        <v>38</v>
      </c>
      <c r="N67" s="9">
        <v>0</v>
      </c>
      <c r="O67" s="12" t="s">
        <v>28</v>
      </c>
      <c r="P67" s="9">
        <v>43450000000</v>
      </c>
      <c r="Q67" s="10">
        <v>40571</v>
      </c>
      <c r="R67" s="9">
        <v>32010000000</v>
      </c>
      <c r="S67" s="10">
        <v>42667</v>
      </c>
      <c r="T67" s="37">
        <v>0</v>
      </c>
      <c r="U67" s="10" t="s">
        <v>28</v>
      </c>
      <c r="V67" s="34" t="s">
        <v>198</v>
      </c>
      <c r="W67" s="15" t="s">
        <v>884</v>
      </c>
      <c r="X67" s="21" t="s">
        <v>887</v>
      </c>
      <c r="Y67" s="67" t="s">
        <v>68</v>
      </c>
      <c r="Z67" s="33" t="s">
        <v>887</v>
      </c>
    </row>
    <row r="68" spans="1:26">
      <c r="A68" s="31">
        <v>67</v>
      </c>
      <c r="B68" s="8" t="s">
        <v>25</v>
      </c>
      <c r="C68" s="8" t="s">
        <v>26</v>
      </c>
      <c r="D68" s="12" t="s">
        <v>32</v>
      </c>
      <c r="E68" s="12" t="s">
        <v>194</v>
      </c>
      <c r="F68" s="34" t="s">
        <v>199</v>
      </c>
      <c r="G68" s="34" t="s">
        <v>200</v>
      </c>
      <c r="H68" s="36" t="s">
        <v>201</v>
      </c>
      <c r="I68" s="12" t="s">
        <v>118</v>
      </c>
      <c r="J68" s="12" t="s">
        <v>38</v>
      </c>
      <c r="K68" s="12" t="s">
        <v>28</v>
      </c>
      <c r="L68" s="12" t="s">
        <v>28</v>
      </c>
      <c r="M68" s="12" t="s">
        <v>38</v>
      </c>
      <c r="N68" s="9">
        <v>0</v>
      </c>
      <c r="O68" s="12" t="s">
        <v>28</v>
      </c>
      <c r="P68" s="35">
        <v>0</v>
      </c>
      <c r="Q68" s="12" t="s">
        <v>28</v>
      </c>
      <c r="R68" s="9">
        <v>6886000000</v>
      </c>
      <c r="S68" s="10">
        <v>42522</v>
      </c>
      <c r="T68" s="37">
        <v>0</v>
      </c>
      <c r="U68" s="10" t="s">
        <v>28</v>
      </c>
      <c r="V68" s="34" t="s">
        <v>65</v>
      </c>
      <c r="W68" s="15" t="s">
        <v>884</v>
      </c>
      <c r="X68" s="21" t="s">
        <v>887</v>
      </c>
      <c r="Y68" s="67" t="s">
        <v>68</v>
      </c>
      <c r="Z68" s="33" t="s">
        <v>887</v>
      </c>
    </row>
    <row r="69" spans="1:26">
      <c r="A69" s="31">
        <v>68</v>
      </c>
      <c r="B69" s="8" t="s">
        <v>25</v>
      </c>
      <c r="C69" s="8" t="s">
        <v>26</v>
      </c>
      <c r="D69" s="12" t="s">
        <v>32</v>
      </c>
      <c r="E69" s="12" t="s">
        <v>194</v>
      </c>
      <c r="F69" s="34" t="s">
        <v>202</v>
      </c>
      <c r="G69" s="34" t="s">
        <v>203</v>
      </c>
      <c r="H69" s="36" t="s">
        <v>204</v>
      </c>
      <c r="I69" s="12" t="s">
        <v>118</v>
      </c>
      <c r="J69" s="12" t="s">
        <v>38</v>
      </c>
      <c r="K69" s="12" t="s">
        <v>28</v>
      </c>
      <c r="L69" s="12" t="s">
        <v>28</v>
      </c>
      <c r="M69" s="12" t="s">
        <v>38</v>
      </c>
      <c r="N69" s="9">
        <v>0</v>
      </c>
      <c r="O69" s="12" t="s">
        <v>28</v>
      </c>
      <c r="P69" s="35">
        <v>0</v>
      </c>
      <c r="Q69" s="12" t="s">
        <v>28</v>
      </c>
      <c r="R69" s="9">
        <v>5308000000</v>
      </c>
      <c r="S69" s="10">
        <v>42761</v>
      </c>
      <c r="T69" s="37">
        <v>0</v>
      </c>
      <c r="U69" s="10" t="s">
        <v>28</v>
      </c>
      <c r="V69" s="34" t="s">
        <v>205</v>
      </c>
      <c r="W69" s="15" t="s">
        <v>884</v>
      </c>
      <c r="X69" s="21" t="s">
        <v>887</v>
      </c>
      <c r="Y69" s="67" t="s">
        <v>68</v>
      </c>
      <c r="Z69" s="33" t="s">
        <v>887</v>
      </c>
    </row>
    <row r="70" spans="1:26">
      <c r="A70" s="31">
        <v>69</v>
      </c>
      <c r="B70" s="8" t="s">
        <v>25</v>
      </c>
      <c r="C70" s="8" t="s">
        <v>26</v>
      </c>
      <c r="D70" s="12" t="s">
        <v>32</v>
      </c>
      <c r="E70" s="12" t="s">
        <v>194</v>
      </c>
      <c r="F70" s="34" t="s">
        <v>206</v>
      </c>
      <c r="G70" s="34" t="s">
        <v>207</v>
      </c>
      <c r="H70" s="36" t="s">
        <v>208</v>
      </c>
      <c r="I70" s="12" t="s">
        <v>125</v>
      </c>
      <c r="J70" s="12" t="s">
        <v>38</v>
      </c>
      <c r="K70" s="12" t="s">
        <v>28</v>
      </c>
      <c r="L70" s="12" t="s">
        <v>28</v>
      </c>
      <c r="M70" s="12" t="s">
        <v>38</v>
      </c>
      <c r="N70" s="9">
        <v>0</v>
      </c>
      <c r="O70" s="12" t="s">
        <v>28</v>
      </c>
      <c r="P70" s="35">
        <v>3569316000</v>
      </c>
      <c r="Q70" s="38">
        <v>40497</v>
      </c>
      <c r="R70" s="9">
        <v>7865000000</v>
      </c>
      <c r="S70" s="10">
        <v>42571</v>
      </c>
      <c r="T70" s="37">
        <v>0</v>
      </c>
      <c r="U70" s="10" t="s">
        <v>28</v>
      </c>
      <c r="V70" s="34" t="s">
        <v>65</v>
      </c>
      <c r="W70" s="15" t="s">
        <v>883</v>
      </c>
      <c r="X70" s="21" t="s">
        <v>887</v>
      </c>
      <c r="Y70" s="67" t="s">
        <v>68</v>
      </c>
      <c r="Z70" s="33" t="s">
        <v>887</v>
      </c>
    </row>
    <row r="71" spans="1:26">
      <c r="A71" s="31">
        <v>70</v>
      </c>
      <c r="B71" s="8" t="s">
        <v>25</v>
      </c>
      <c r="C71" s="8" t="s">
        <v>26</v>
      </c>
      <c r="D71" s="12" t="s">
        <v>32</v>
      </c>
      <c r="E71" s="12" t="s">
        <v>194</v>
      </c>
      <c r="F71" s="34" t="s">
        <v>209</v>
      </c>
      <c r="G71" s="34" t="s">
        <v>210</v>
      </c>
      <c r="H71" s="36" t="s">
        <v>211</v>
      </c>
      <c r="I71" s="12" t="s">
        <v>53</v>
      </c>
      <c r="J71" s="12" t="s">
        <v>38</v>
      </c>
      <c r="K71" s="12" t="s">
        <v>28</v>
      </c>
      <c r="L71" s="12" t="s">
        <v>28</v>
      </c>
      <c r="M71" s="12" t="s">
        <v>38</v>
      </c>
      <c r="N71" s="9">
        <v>0</v>
      </c>
      <c r="O71" s="12" t="s">
        <v>28</v>
      </c>
      <c r="P71" s="35">
        <v>0</v>
      </c>
      <c r="Q71" s="12" t="s">
        <v>28</v>
      </c>
      <c r="R71" s="35">
        <v>863500000.00000012</v>
      </c>
      <c r="S71" s="10">
        <v>42489</v>
      </c>
      <c r="T71" s="37">
        <v>0</v>
      </c>
      <c r="U71" s="10" t="s">
        <v>28</v>
      </c>
      <c r="V71" s="34" t="s">
        <v>65</v>
      </c>
      <c r="W71" s="15" t="s">
        <v>883</v>
      </c>
      <c r="X71" s="21" t="s">
        <v>887</v>
      </c>
      <c r="Y71" s="67" t="s">
        <v>68</v>
      </c>
      <c r="Z71" s="33" t="s">
        <v>887</v>
      </c>
    </row>
    <row r="72" spans="1:26">
      <c r="A72" s="31">
        <v>71</v>
      </c>
      <c r="B72" s="8" t="s">
        <v>25</v>
      </c>
      <c r="C72" s="8" t="s">
        <v>26</v>
      </c>
      <c r="D72" s="12" t="s">
        <v>32</v>
      </c>
      <c r="E72" s="12" t="s">
        <v>194</v>
      </c>
      <c r="F72" s="34" t="s">
        <v>212</v>
      </c>
      <c r="G72" s="34" t="s">
        <v>213</v>
      </c>
      <c r="H72" s="36" t="s">
        <v>214</v>
      </c>
      <c r="I72" s="12" t="s">
        <v>118</v>
      </c>
      <c r="J72" s="12" t="s">
        <v>38</v>
      </c>
      <c r="K72" s="12" t="s">
        <v>28</v>
      </c>
      <c r="L72" s="12" t="s">
        <v>28</v>
      </c>
      <c r="M72" s="12" t="s">
        <v>38</v>
      </c>
      <c r="N72" s="9">
        <v>22965442500</v>
      </c>
      <c r="O72" s="10">
        <v>40277</v>
      </c>
      <c r="P72" s="9">
        <v>19874800000</v>
      </c>
      <c r="Q72" s="10">
        <v>40730</v>
      </c>
      <c r="R72" s="9">
        <v>26290000000</v>
      </c>
      <c r="S72" s="10">
        <v>42667</v>
      </c>
      <c r="T72" s="37">
        <v>0</v>
      </c>
      <c r="U72" s="10" t="s">
        <v>28</v>
      </c>
      <c r="V72" s="34" t="s">
        <v>65</v>
      </c>
      <c r="W72" s="15" t="s">
        <v>883</v>
      </c>
      <c r="X72" s="21" t="s">
        <v>887</v>
      </c>
      <c r="Y72" s="67" t="s">
        <v>68</v>
      </c>
      <c r="Z72" s="33" t="s">
        <v>887</v>
      </c>
    </row>
    <row r="73" spans="1:26">
      <c r="A73" s="31">
        <v>72</v>
      </c>
      <c r="B73" s="8" t="s">
        <v>25</v>
      </c>
      <c r="C73" s="8" t="s">
        <v>26</v>
      </c>
      <c r="D73" s="12" t="s">
        <v>32</v>
      </c>
      <c r="E73" s="12" t="s">
        <v>194</v>
      </c>
      <c r="F73" s="34" t="s">
        <v>215</v>
      </c>
      <c r="G73" s="34" t="s">
        <v>216</v>
      </c>
      <c r="H73" s="36" t="s">
        <v>217</v>
      </c>
      <c r="I73" s="12" t="s">
        <v>37</v>
      </c>
      <c r="J73" s="12" t="s">
        <v>38</v>
      </c>
      <c r="K73" s="12" t="s">
        <v>28</v>
      </c>
      <c r="L73" s="12" t="s">
        <v>28</v>
      </c>
      <c r="M73" s="12" t="s">
        <v>38</v>
      </c>
      <c r="N73" s="9">
        <v>12760000000.000002</v>
      </c>
      <c r="O73" s="10">
        <v>39713</v>
      </c>
      <c r="P73" s="35">
        <v>0</v>
      </c>
      <c r="Q73" s="12" t="s">
        <v>28</v>
      </c>
      <c r="R73" s="9">
        <v>27344000000</v>
      </c>
      <c r="S73" s="10">
        <v>43109</v>
      </c>
      <c r="T73" s="9">
        <v>29645000000</v>
      </c>
      <c r="U73" s="10">
        <v>45546</v>
      </c>
      <c r="V73" s="34" t="s">
        <v>65</v>
      </c>
      <c r="W73" s="15" t="s">
        <v>883</v>
      </c>
      <c r="X73" s="21" t="s">
        <v>887</v>
      </c>
      <c r="Y73" s="67" t="s">
        <v>68</v>
      </c>
      <c r="Z73" s="33" t="s">
        <v>887</v>
      </c>
    </row>
    <row r="74" spans="1:26">
      <c r="A74" s="31">
        <v>73</v>
      </c>
      <c r="B74" s="8" t="s">
        <v>25</v>
      </c>
      <c r="C74" s="8" t="s">
        <v>26</v>
      </c>
      <c r="D74" s="12" t="s">
        <v>32</v>
      </c>
      <c r="E74" s="12" t="s">
        <v>194</v>
      </c>
      <c r="F74" s="34" t="s">
        <v>218</v>
      </c>
      <c r="G74" s="34" t="s">
        <v>219</v>
      </c>
      <c r="H74" s="36" t="s">
        <v>220</v>
      </c>
      <c r="I74" s="12" t="s">
        <v>125</v>
      </c>
      <c r="J74" s="12" t="s">
        <v>38</v>
      </c>
      <c r="K74" s="12" t="s">
        <v>28</v>
      </c>
      <c r="L74" s="12" t="s">
        <v>28</v>
      </c>
      <c r="M74" s="12" t="s">
        <v>38</v>
      </c>
      <c r="N74" s="9">
        <v>13486000000.000002</v>
      </c>
      <c r="O74" s="10">
        <v>39619</v>
      </c>
      <c r="P74" s="9">
        <v>13673000000.000002</v>
      </c>
      <c r="Q74" s="10">
        <v>40417</v>
      </c>
      <c r="R74" s="9">
        <v>14569000000</v>
      </c>
      <c r="S74" s="10">
        <v>42528</v>
      </c>
      <c r="T74" s="37">
        <v>0</v>
      </c>
      <c r="U74" s="10" t="s">
        <v>28</v>
      </c>
      <c r="V74" s="34" t="s">
        <v>65</v>
      </c>
      <c r="W74" s="15" t="s">
        <v>884</v>
      </c>
      <c r="X74" s="21" t="s">
        <v>887</v>
      </c>
      <c r="Y74" s="67" t="s">
        <v>68</v>
      </c>
      <c r="Z74" s="33" t="s">
        <v>887</v>
      </c>
    </row>
    <row r="75" spans="1:26">
      <c r="A75" s="31">
        <v>74</v>
      </c>
      <c r="B75" s="8" t="s">
        <v>25</v>
      </c>
      <c r="C75" s="8" t="s">
        <v>26</v>
      </c>
      <c r="D75" s="12" t="s">
        <v>32</v>
      </c>
      <c r="E75" s="12" t="s">
        <v>194</v>
      </c>
      <c r="F75" s="34" t="s">
        <v>221</v>
      </c>
      <c r="G75" s="34" t="s">
        <v>222</v>
      </c>
      <c r="H75" s="36" t="s">
        <v>223</v>
      </c>
      <c r="I75" s="12" t="s">
        <v>53</v>
      </c>
      <c r="J75" s="12" t="s">
        <v>38</v>
      </c>
      <c r="K75" s="12" t="s">
        <v>28</v>
      </c>
      <c r="L75" s="12" t="s">
        <v>28</v>
      </c>
      <c r="M75" s="12" t="s">
        <v>38</v>
      </c>
      <c r="N75" s="9">
        <v>0</v>
      </c>
      <c r="O75" s="12" t="s">
        <v>28</v>
      </c>
      <c r="P75" s="35">
        <v>0</v>
      </c>
      <c r="Q75" s="12" t="s">
        <v>28</v>
      </c>
      <c r="R75" s="35">
        <v>805200000.00000012</v>
      </c>
      <c r="S75" s="10">
        <v>42517</v>
      </c>
      <c r="T75" s="37">
        <v>0</v>
      </c>
      <c r="U75" s="10" t="s">
        <v>28</v>
      </c>
      <c r="V75" s="34" t="s">
        <v>65</v>
      </c>
      <c r="W75" s="15" t="s">
        <v>884</v>
      </c>
      <c r="X75" s="21" t="s">
        <v>887</v>
      </c>
      <c r="Y75" s="67" t="s">
        <v>68</v>
      </c>
      <c r="Z75" s="33" t="s">
        <v>887</v>
      </c>
    </row>
    <row r="76" spans="1:26">
      <c r="A76" s="31">
        <v>75</v>
      </c>
      <c r="B76" s="8" t="s">
        <v>25</v>
      </c>
      <c r="C76" s="8" t="s">
        <v>26</v>
      </c>
      <c r="D76" s="12" t="s">
        <v>32</v>
      </c>
      <c r="E76" s="12" t="s">
        <v>194</v>
      </c>
      <c r="F76" s="34" t="s">
        <v>224</v>
      </c>
      <c r="G76" s="34" t="s">
        <v>225</v>
      </c>
      <c r="H76" s="36" t="s">
        <v>226</v>
      </c>
      <c r="I76" s="12" t="s">
        <v>227</v>
      </c>
      <c r="J76" s="12" t="s">
        <v>38</v>
      </c>
      <c r="K76" s="12" t="s">
        <v>28</v>
      </c>
      <c r="L76" s="12" t="s">
        <v>28</v>
      </c>
      <c r="M76" s="12" t="s">
        <v>38</v>
      </c>
      <c r="N76" s="9">
        <v>0</v>
      </c>
      <c r="O76" s="12" t="s">
        <v>28</v>
      </c>
      <c r="P76" s="35">
        <v>0</v>
      </c>
      <c r="Q76" s="12" t="s">
        <v>28</v>
      </c>
      <c r="R76" s="35">
        <v>0</v>
      </c>
      <c r="S76" s="10" t="s">
        <v>28</v>
      </c>
      <c r="T76" s="9">
        <v>5225000000</v>
      </c>
      <c r="U76" s="10">
        <v>45526</v>
      </c>
      <c r="V76" s="34" t="s">
        <v>65</v>
      </c>
      <c r="W76" s="15" t="s">
        <v>880</v>
      </c>
      <c r="X76" s="21" t="s">
        <v>887</v>
      </c>
      <c r="Y76" s="67" t="s">
        <v>68</v>
      </c>
      <c r="Z76" s="33" t="s">
        <v>887</v>
      </c>
    </row>
    <row r="77" spans="1:26">
      <c r="A77" s="31">
        <v>76</v>
      </c>
      <c r="B77" s="8" t="s">
        <v>25</v>
      </c>
      <c r="C77" s="8" t="s">
        <v>26</v>
      </c>
      <c r="D77" s="12" t="s">
        <v>32</v>
      </c>
      <c r="E77" s="12" t="s">
        <v>194</v>
      </c>
      <c r="F77" s="34" t="s">
        <v>228</v>
      </c>
      <c r="G77" s="34" t="s">
        <v>229</v>
      </c>
      <c r="H77" s="36" t="s">
        <v>230</v>
      </c>
      <c r="I77" s="12" t="s">
        <v>61</v>
      </c>
      <c r="J77" s="12" t="s">
        <v>38</v>
      </c>
      <c r="K77" s="12" t="s">
        <v>28</v>
      </c>
      <c r="L77" s="12" t="s">
        <v>28</v>
      </c>
      <c r="M77" s="12" t="s">
        <v>38</v>
      </c>
      <c r="N77" s="9">
        <v>0</v>
      </c>
      <c r="O77" s="12" t="s">
        <v>28</v>
      </c>
      <c r="P77" s="35">
        <v>0</v>
      </c>
      <c r="Q77" s="12" t="s">
        <v>28</v>
      </c>
      <c r="R77" s="35">
        <v>1311200000</v>
      </c>
      <c r="S77" s="10">
        <v>42543</v>
      </c>
      <c r="T77" s="37">
        <v>1509970000.0000002</v>
      </c>
      <c r="U77" s="10">
        <v>45309</v>
      </c>
      <c r="V77" s="34" t="s">
        <v>65</v>
      </c>
      <c r="W77" s="15" t="s">
        <v>880</v>
      </c>
      <c r="X77" s="21" t="s">
        <v>887</v>
      </c>
      <c r="Y77" s="67" t="s">
        <v>68</v>
      </c>
      <c r="Z77" s="33" t="s">
        <v>887</v>
      </c>
    </row>
    <row r="78" spans="1:26">
      <c r="A78" s="31">
        <v>77</v>
      </c>
      <c r="B78" s="8" t="s">
        <v>25</v>
      </c>
      <c r="C78" s="8" t="s">
        <v>26</v>
      </c>
      <c r="D78" s="12" t="s">
        <v>32</v>
      </c>
      <c r="E78" s="12" t="s">
        <v>194</v>
      </c>
      <c r="F78" s="34" t="s">
        <v>231</v>
      </c>
      <c r="G78" s="34" t="s">
        <v>232</v>
      </c>
      <c r="H78" s="36" t="s">
        <v>233</v>
      </c>
      <c r="I78" s="12" t="s">
        <v>118</v>
      </c>
      <c r="J78" s="12" t="s">
        <v>38</v>
      </c>
      <c r="K78" s="12" t="s">
        <v>28</v>
      </c>
      <c r="L78" s="12" t="s">
        <v>28</v>
      </c>
      <c r="M78" s="12" t="s">
        <v>38</v>
      </c>
      <c r="N78" s="9">
        <v>0</v>
      </c>
      <c r="O78" s="12" t="s">
        <v>28</v>
      </c>
      <c r="P78" s="35">
        <v>0</v>
      </c>
      <c r="Q78" s="12" t="s">
        <v>28</v>
      </c>
      <c r="R78" s="35">
        <v>1234013000</v>
      </c>
      <c r="S78" s="10">
        <v>42366</v>
      </c>
      <c r="T78" s="37">
        <v>2530000000</v>
      </c>
      <c r="U78" s="10">
        <v>45667</v>
      </c>
      <c r="V78" s="34" t="s">
        <v>65</v>
      </c>
      <c r="W78" s="15" t="s">
        <v>880</v>
      </c>
      <c r="X78" s="21" t="s">
        <v>887</v>
      </c>
      <c r="Y78" s="67" t="s">
        <v>68</v>
      </c>
      <c r="Z78" s="33" t="s">
        <v>887</v>
      </c>
    </row>
    <row r="79" spans="1:26">
      <c r="A79" s="31">
        <v>78</v>
      </c>
      <c r="B79" s="8" t="s">
        <v>25</v>
      </c>
      <c r="C79" s="8" t="s">
        <v>26</v>
      </c>
      <c r="D79" s="12" t="s">
        <v>32</v>
      </c>
      <c r="E79" s="12" t="s">
        <v>194</v>
      </c>
      <c r="F79" s="34" t="s">
        <v>234</v>
      </c>
      <c r="G79" s="34" t="s">
        <v>235</v>
      </c>
      <c r="H79" s="36" t="s">
        <v>236</v>
      </c>
      <c r="I79" s="12" t="s">
        <v>53</v>
      </c>
      <c r="J79" s="12" t="s">
        <v>38</v>
      </c>
      <c r="K79" s="12" t="s">
        <v>28</v>
      </c>
      <c r="L79" s="12" t="s">
        <v>28</v>
      </c>
      <c r="M79" s="12" t="s">
        <v>38</v>
      </c>
      <c r="N79" s="9">
        <v>0</v>
      </c>
      <c r="O79" s="12" t="s">
        <v>28</v>
      </c>
      <c r="P79" s="35">
        <v>0</v>
      </c>
      <c r="Q79" s="12" t="s">
        <v>28</v>
      </c>
      <c r="R79" s="35">
        <v>619300000</v>
      </c>
      <c r="S79" s="10">
        <v>42474</v>
      </c>
      <c r="T79" s="37">
        <v>0</v>
      </c>
      <c r="U79" s="10" t="s">
        <v>28</v>
      </c>
      <c r="V79" s="34" t="s">
        <v>65</v>
      </c>
      <c r="W79" s="15" t="s">
        <v>880</v>
      </c>
      <c r="X79" s="21" t="s">
        <v>887</v>
      </c>
      <c r="Y79" s="67" t="s">
        <v>68</v>
      </c>
      <c r="Z79" s="33" t="s">
        <v>887</v>
      </c>
    </row>
    <row r="80" spans="1:26">
      <c r="A80" s="31">
        <v>79</v>
      </c>
      <c r="B80" s="8" t="s">
        <v>25</v>
      </c>
      <c r="C80" s="8" t="s">
        <v>26</v>
      </c>
      <c r="D80" s="12" t="s">
        <v>32</v>
      </c>
      <c r="E80" s="12" t="s">
        <v>194</v>
      </c>
      <c r="F80" s="34" t="s">
        <v>237</v>
      </c>
      <c r="G80" s="34" t="s">
        <v>238</v>
      </c>
      <c r="H80" s="36" t="s">
        <v>239</v>
      </c>
      <c r="I80" s="12" t="s">
        <v>125</v>
      </c>
      <c r="J80" s="12" t="s">
        <v>38</v>
      </c>
      <c r="K80" s="12" t="s">
        <v>28</v>
      </c>
      <c r="L80" s="12" t="s">
        <v>28</v>
      </c>
      <c r="M80" s="12" t="s">
        <v>38</v>
      </c>
      <c r="N80" s="9">
        <v>32351000000.000004</v>
      </c>
      <c r="O80" s="10">
        <v>39800</v>
      </c>
      <c r="P80" s="35">
        <v>0</v>
      </c>
      <c r="Q80" s="12" t="s">
        <v>28</v>
      </c>
      <c r="R80" s="9">
        <v>18641000000</v>
      </c>
      <c r="S80" s="10">
        <v>42674</v>
      </c>
      <c r="T80" s="9">
        <v>39358000000</v>
      </c>
      <c r="U80" s="10">
        <v>45449</v>
      </c>
      <c r="V80" s="34" t="s">
        <v>65</v>
      </c>
      <c r="W80" s="15" t="s">
        <v>880</v>
      </c>
      <c r="X80" s="21" t="s">
        <v>887</v>
      </c>
      <c r="Y80" s="67" t="s">
        <v>68</v>
      </c>
      <c r="Z80" s="33" t="s">
        <v>887</v>
      </c>
    </row>
    <row r="81" spans="1:26">
      <c r="A81" s="31">
        <v>80</v>
      </c>
      <c r="B81" s="8" t="s">
        <v>25</v>
      </c>
      <c r="C81" s="8" t="s">
        <v>26</v>
      </c>
      <c r="D81" s="12" t="s">
        <v>32</v>
      </c>
      <c r="E81" s="12" t="s">
        <v>194</v>
      </c>
      <c r="F81" s="34" t="s">
        <v>240</v>
      </c>
      <c r="G81" s="34" t="s">
        <v>241</v>
      </c>
      <c r="H81" s="36" t="s">
        <v>242</v>
      </c>
      <c r="I81" s="12" t="s">
        <v>53</v>
      </c>
      <c r="J81" s="12" t="s">
        <v>38</v>
      </c>
      <c r="K81" s="12" t="s">
        <v>28</v>
      </c>
      <c r="L81" s="12" t="s">
        <v>28</v>
      </c>
      <c r="M81" s="12" t="s">
        <v>38</v>
      </c>
      <c r="N81" s="9">
        <v>0</v>
      </c>
      <c r="O81" s="12" t="s">
        <v>28</v>
      </c>
      <c r="P81" s="35">
        <v>0</v>
      </c>
      <c r="Q81" s="12" t="s">
        <v>28</v>
      </c>
      <c r="R81" s="35">
        <v>810999999.70000005</v>
      </c>
      <c r="S81" s="10">
        <v>43825</v>
      </c>
      <c r="T81" s="37">
        <v>0</v>
      </c>
      <c r="U81" s="10" t="s">
        <v>28</v>
      </c>
      <c r="V81" s="34" t="s">
        <v>65</v>
      </c>
      <c r="W81" s="15" t="s">
        <v>880</v>
      </c>
      <c r="X81" s="21" t="s">
        <v>887</v>
      </c>
      <c r="Y81" s="67" t="s">
        <v>68</v>
      </c>
      <c r="Z81" s="33" t="s">
        <v>887</v>
      </c>
    </row>
    <row r="82" spans="1:26">
      <c r="A82" s="31">
        <v>81</v>
      </c>
      <c r="B82" s="8" t="s">
        <v>25</v>
      </c>
      <c r="C82" s="8" t="s">
        <v>26</v>
      </c>
      <c r="D82" s="12" t="s">
        <v>32</v>
      </c>
      <c r="E82" s="12" t="s">
        <v>194</v>
      </c>
      <c r="F82" s="34" t="s">
        <v>243</v>
      </c>
      <c r="G82" s="34" t="s">
        <v>244</v>
      </c>
      <c r="H82" s="36" t="s">
        <v>245</v>
      </c>
      <c r="I82" s="12" t="s">
        <v>125</v>
      </c>
      <c r="J82" s="12" t="s">
        <v>38</v>
      </c>
      <c r="K82" s="12" t="s">
        <v>28</v>
      </c>
      <c r="L82" s="12" t="s">
        <v>28</v>
      </c>
      <c r="M82" s="12" t="s">
        <v>38</v>
      </c>
      <c r="N82" s="9">
        <v>0</v>
      </c>
      <c r="O82" s="12" t="s">
        <v>28</v>
      </c>
      <c r="P82" s="35">
        <v>0</v>
      </c>
      <c r="Q82" s="12" t="s">
        <v>28</v>
      </c>
      <c r="R82" s="35">
        <v>3175040000.0000005</v>
      </c>
      <c r="S82" s="10">
        <v>42674</v>
      </c>
      <c r="T82" s="37">
        <v>0</v>
      </c>
      <c r="U82" s="10" t="s">
        <v>28</v>
      </c>
      <c r="V82" s="34" t="s">
        <v>65</v>
      </c>
      <c r="W82" s="15" t="s">
        <v>880</v>
      </c>
      <c r="X82" s="21" t="s">
        <v>887</v>
      </c>
      <c r="Y82" s="67" t="s">
        <v>68</v>
      </c>
      <c r="Z82" s="33" t="s">
        <v>887</v>
      </c>
    </row>
    <row r="83" spans="1:26">
      <c r="A83" s="31">
        <v>82</v>
      </c>
      <c r="B83" s="8" t="s">
        <v>25</v>
      </c>
      <c r="C83" s="8" t="s">
        <v>26</v>
      </c>
      <c r="D83" s="12" t="s">
        <v>32</v>
      </c>
      <c r="E83" s="12" t="s">
        <v>194</v>
      </c>
      <c r="F83" s="34" t="s">
        <v>246</v>
      </c>
      <c r="G83" s="34" t="s">
        <v>247</v>
      </c>
      <c r="H83" s="36" t="s">
        <v>248</v>
      </c>
      <c r="I83" s="12" t="s">
        <v>118</v>
      </c>
      <c r="J83" s="12" t="s">
        <v>38</v>
      </c>
      <c r="K83" s="12" t="s">
        <v>28</v>
      </c>
      <c r="L83" s="12" t="s">
        <v>28</v>
      </c>
      <c r="M83" s="12" t="s">
        <v>38</v>
      </c>
      <c r="N83" s="9">
        <v>0</v>
      </c>
      <c r="O83" s="12" t="s">
        <v>28</v>
      </c>
      <c r="P83" s="35">
        <v>0</v>
      </c>
      <c r="Q83" s="12" t="s">
        <v>28</v>
      </c>
      <c r="R83" s="9">
        <v>7425000000</v>
      </c>
      <c r="S83" s="10">
        <v>42564</v>
      </c>
      <c r="T83" s="37">
        <v>0</v>
      </c>
      <c r="U83" s="10" t="s">
        <v>28</v>
      </c>
      <c r="V83" s="34" t="s">
        <v>65</v>
      </c>
      <c r="W83" s="15" t="s">
        <v>880</v>
      </c>
      <c r="X83" s="21" t="s">
        <v>887</v>
      </c>
      <c r="Y83" s="67" t="s">
        <v>68</v>
      </c>
      <c r="Z83" s="33" t="s">
        <v>887</v>
      </c>
    </row>
    <row r="84" spans="1:26">
      <c r="A84" s="31">
        <v>83</v>
      </c>
      <c r="B84" s="8" t="s">
        <v>25</v>
      </c>
      <c r="C84" s="8" t="s">
        <v>26</v>
      </c>
      <c r="D84" s="12" t="s">
        <v>32</v>
      </c>
      <c r="E84" s="12" t="s">
        <v>194</v>
      </c>
      <c r="F84" s="34" t="s">
        <v>249</v>
      </c>
      <c r="G84" s="34" t="s">
        <v>250</v>
      </c>
      <c r="H84" s="36" t="s">
        <v>251</v>
      </c>
      <c r="I84" s="12" t="s">
        <v>57</v>
      </c>
      <c r="J84" s="12" t="s">
        <v>38</v>
      </c>
      <c r="K84" s="12" t="s">
        <v>28</v>
      </c>
      <c r="L84" s="12" t="s">
        <v>28</v>
      </c>
      <c r="M84" s="12" t="s">
        <v>38</v>
      </c>
      <c r="N84" s="9">
        <v>0</v>
      </c>
      <c r="O84" s="12" t="s">
        <v>28</v>
      </c>
      <c r="P84" s="35">
        <v>0</v>
      </c>
      <c r="Q84" s="12" t="s">
        <v>28</v>
      </c>
      <c r="R84" s="9">
        <v>9350000000</v>
      </c>
      <c r="S84" s="10">
        <v>42761</v>
      </c>
      <c r="T84" s="37">
        <v>0</v>
      </c>
      <c r="U84" s="10" t="s">
        <v>28</v>
      </c>
      <c r="V84" s="34" t="s">
        <v>65</v>
      </c>
      <c r="W84" s="15" t="s">
        <v>880</v>
      </c>
      <c r="X84" s="21" t="s">
        <v>887</v>
      </c>
      <c r="Y84" s="67" t="s">
        <v>895</v>
      </c>
      <c r="Z84" s="33" t="s">
        <v>887</v>
      </c>
    </row>
    <row r="85" spans="1:26">
      <c r="A85" s="31">
        <v>84</v>
      </c>
      <c r="B85" s="8" t="s">
        <v>25</v>
      </c>
      <c r="C85" s="8" t="s">
        <v>26</v>
      </c>
      <c r="D85" s="12" t="s">
        <v>32</v>
      </c>
      <c r="E85" s="12" t="s">
        <v>194</v>
      </c>
      <c r="F85" s="34" t="s">
        <v>252</v>
      </c>
      <c r="G85" s="34" t="s">
        <v>253</v>
      </c>
      <c r="H85" s="36" t="s">
        <v>254</v>
      </c>
      <c r="I85" s="12" t="s">
        <v>125</v>
      </c>
      <c r="J85" s="12" t="s">
        <v>38</v>
      </c>
      <c r="K85" s="12" t="s">
        <v>28</v>
      </c>
      <c r="L85" s="12" t="s">
        <v>28</v>
      </c>
      <c r="M85" s="12" t="s">
        <v>38</v>
      </c>
      <c r="N85" s="9">
        <v>0</v>
      </c>
      <c r="O85" s="12" t="s">
        <v>28</v>
      </c>
      <c r="P85" s="9">
        <v>11730000000</v>
      </c>
      <c r="Q85" s="10">
        <v>40697</v>
      </c>
      <c r="R85" s="9">
        <v>14223000000</v>
      </c>
      <c r="S85" s="10">
        <v>42797</v>
      </c>
      <c r="T85" s="37">
        <v>0</v>
      </c>
      <c r="U85" s="10" t="s">
        <v>28</v>
      </c>
      <c r="V85" s="34" t="s">
        <v>65</v>
      </c>
      <c r="W85" s="15" t="s">
        <v>883</v>
      </c>
      <c r="X85" s="21" t="s">
        <v>887</v>
      </c>
      <c r="Y85" s="67" t="s">
        <v>68</v>
      </c>
      <c r="Z85" s="33" t="s">
        <v>887</v>
      </c>
    </row>
    <row r="86" spans="1:26">
      <c r="A86" s="31">
        <v>85</v>
      </c>
      <c r="B86" s="8" t="s">
        <v>25</v>
      </c>
      <c r="C86" s="8" t="s">
        <v>26</v>
      </c>
      <c r="D86" s="12" t="s">
        <v>32</v>
      </c>
      <c r="E86" s="12" t="s">
        <v>194</v>
      </c>
      <c r="F86" s="34" t="s">
        <v>255</v>
      </c>
      <c r="G86" s="34" t="s">
        <v>256</v>
      </c>
      <c r="H86" s="36" t="s">
        <v>257</v>
      </c>
      <c r="I86" s="12" t="s">
        <v>118</v>
      </c>
      <c r="J86" s="12" t="s">
        <v>38</v>
      </c>
      <c r="K86" s="12" t="s">
        <v>28</v>
      </c>
      <c r="L86" s="12" t="s">
        <v>28</v>
      </c>
      <c r="M86" s="12" t="s">
        <v>38</v>
      </c>
      <c r="N86" s="9">
        <v>0</v>
      </c>
      <c r="O86" s="12" t="s">
        <v>28</v>
      </c>
      <c r="P86" s="35">
        <v>0</v>
      </c>
      <c r="Q86" s="12" t="s">
        <v>28</v>
      </c>
      <c r="R86" s="35">
        <v>1042800000.0000001</v>
      </c>
      <c r="S86" s="10">
        <v>42454</v>
      </c>
      <c r="T86" s="37">
        <v>1224487000</v>
      </c>
      <c r="U86" s="10">
        <v>45476</v>
      </c>
      <c r="V86" s="34" t="s">
        <v>65</v>
      </c>
      <c r="W86" s="15" t="s">
        <v>880</v>
      </c>
      <c r="X86" s="21" t="s">
        <v>887</v>
      </c>
      <c r="Y86" s="67" t="s">
        <v>68</v>
      </c>
      <c r="Z86" s="33" t="s">
        <v>887</v>
      </c>
    </row>
    <row r="87" spans="1:26">
      <c r="A87" s="31">
        <v>86</v>
      </c>
      <c r="B87" s="8" t="s">
        <v>25</v>
      </c>
      <c r="C87" s="8" t="s">
        <v>26</v>
      </c>
      <c r="D87" s="12" t="s">
        <v>32</v>
      </c>
      <c r="E87" s="12" t="s">
        <v>194</v>
      </c>
      <c r="F87" s="34" t="s">
        <v>258</v>
      </c>
      <c r="G87" s="34" t="s">
        <v>259</v>
      </c>
      <c r="H87" s="36" t="s">
        <v>260</v>
      </c>
      <c r="I87" s="12" t="s">
        <v>125</v>
      </c>
      <c r="J87" s="12" t="s">
        <v>38</v>
      </c>
      <c r="K87" s="12" t="s">
        <v>28</v>
      </c>
      <c r="L87" s="12" t="s">
        <v>28</v>
      </c>
      <c r="M87" s="12" t="s">
        <v>38</v>
      </c>
      <c r="N87" s="9">
        <v>0</v>
      </c>
      <c r="O87" s="12" t="s">
        <v>28</v>
      </c>
      <c r="P87" s="35">
        <v>0</v>
      </c>
      <c r="Q87" s="12" t="s">
        <v>28</v>
      </c>
      <c r="R87" s="35">
        <v>314029999.80000001</v>
      </c>
      <c r="S87" s="10">
        <v>42228</v>
      </c>
      <c r="T87" s="37">
        <v>572000000</v>
      </c>
      <c r="U87" s="10">
        <v>45448</v>
      </c>
      <c r="V87" s="34" t="s">
        <v>65</v>
      </c>
      <c r="W87" s="15" t="s">
        <v>880</v>
      </c>
      <c r="X87" s="21" t="s">
        <v>887</v>
      </c>
      <c r="Y87" s="67" t="s">
        <v>68</v>
      </c>
      <c r="Z87" s="33" t="s">
        <v>887</v>
      </c>
    </row>
    <row r="88" spans="1:26">
      <c r="A88" s="31">
        <v>87</v>
      </c>
      <c r="B88" s="8" t="s">
        <v>25</v>
      </c>
      <c r="C88" s="8" t="s">
        <v>26</v>
      </c>
      <c r="D88" s="12" t="s">
        <v>32</v>
      </c>
      <c r="E88" s="12" t="s">
        <v>194</v>
      </c>
      <c r="F88" s="34" t="s">
        <v>261</v>
      </c>
      <c r="G88" s="34" t="s">
        <v>262</v>
      </c>
      <c r="H88" s="36" t="s">
        <v>263</v>
      </c>
      <c r="I88" s="12" t="s">
        <v>53</v>
      </c>
      <c r="J88" s="12" t="s">
        <v>38</v>
      </c>
      <c r="K88" s="12" t="s">
        <v>28</v>
      </c>
      <c r="L88" s="12" t="s">
        <v>28</v>
      </c>
      <c r="M88" s="12" t="s">
        <v>38</v>
      </c>
      <c r="N88" s="9">
        <v>51810000000.000008</v>
      </c>
      <c r="O88" s="10">
        <v>39925</v>
      </c>
      <c r="P88" s="9">
        <v>55473000000</v>
      </c>
      <c r="Q88" s="10">
        <v>40968</v>
      </c>
      <c r="R88" s="9">
        <v>33638000000</v>
      </c>
      <c r="S88" s="10">
        <v>42853</v>
      </c>
      <c r="T88" s="37">
        <v>0</v>
      </c>
      <c r="U88" s="10" t="s">
        <v>28</v>
      </c>
      <c r="V88" s="34" t="s">
        <v>65</v>
      </c>
      <c r="W88" s="15" t="s">
        <v>880</v>
      </c>
      <c r="X88" s="21" t="s">
        <v>887</v>
      </c>
      <c r="Y88" s="67" t="s">
        <v>68</v>
      </c>
      <c r="Z88" s="33" t="s">
        <v>887</v>
      </c>
    </row>
    <row r="89" spans="1:26">
      <c r="A89" s="31">
        <v>88</v>
      </c>
      <c r="B89" s="8" t="s">
        <v>25</v>
      </c>
      <c r="C89" s="8" t="s">
        <v>26</v>
      </c>
      <c r="D89" s="12" t="s">
        <v>32</v>
      </c>
      <c r="E89" s="12" t="s">
        <v>194</v>
      </c>
      <c r="F89" s="34" t="s">
        <v>264</v>
      </c>
      <c r="G89" s="34" t="s">
        <v>265</v>
      </c>
      <c r="H89" s="36" t="s">
        <v>266</v>
      </c>
      <c r="I89" s="12" t="s">
        <v>53</v>
      </c>
      <c r="J89" s="12" t="s">
        <v>38</v>
      </c>
      <c r="K89" s="12" t="s">
        <v>28</v>
      </c>
      <c r="L89" s="12" t="s">
        <v>28</v>
      </c>
      <c r="M89" s="12" t="s">
        <v>38</v>
      </c>
      <c r="N89" s="9">
        <v>0</v>
      </c>
      <c r="O89" s="12" t="s">
        <v>28</v>
      </c>
      <c r="P89" s="35">
        <v>0</v>
      </c>
      <c r="Q89" s="12" t="s">
        <v>28</v>
      </c>
      <c r="R89" s="35">
        <v>2095500000.0000002</v>
      </c>
      <c r="S89" s="10">
        <v>43143</v>
      </c>
      <c r="T89" s="37">
        <v>0</v>
      </c>
      <c r="U89" s="10" t="s">
        <v>28</v>
      </c>
      <c r="V89" s="34" t="s">
        <v>65</v>
      </c>
      <c r="W89" s="15" t="s">
        <v>880</v>
      </c>
      <c r="X89" s="21" t="s">
        <v>887</v>
      </c>
      <c r="Y89" s="67" t="s">
        <v>68</v>
      </c>
      <c r="Z89" s="33" t="s">
        <v>887</v>
      </c>
    </row>
    <row r="90" spans="1:26">
      <c r="A90" s="31">
        <v>89</v>
      </c>
      <c r="B90" s="8" t="s">
        <v>25</v>
      </c>
      <c r="C90" s="8" t="s">
        <v>26</v>
      </c>
      <c r="D90" s="12" t="s">
        <v>32</v>
      </c>
      <c r="E90" s="12" t="s">
        <v>194</v>
      </c>
      <c r="F90" s="34" t="s">
        <v>267</v>
      </c>
      <c r="G90" s="34" t="s">
        <v>268</v>
      </c>
      <c r="H90" s="36" t="s">
        <v>269</v>
      </c>
      <c r="I90" s="12" t="s">
        <v>43</v>
      </c>
      <c r="J90" s="12" t="s">
        <v>38</v>
      </c>
      <c r="K90" s="12" t="s">
        <v>28</v>
      </c>
      <c r="L90" s="12" t="s">
        <v>28</v>
      </c>
      <c r="M90" s="12" t="s">
        <v>38</v>
      </c>
      <c r="N90" s="9">
        <v>0</v>
      </c>
      <c r="O90" s="12" t="s">
        <v>28</v>
      </c>
      <c r="P90" s="35">
        <v>0</v>
      </c>
      <c r="Q90" s="12" t="s">
        <v>28</v>
      </c>
      <c r="R90" s="9">
        <v>12779000000</v>
      </c>
      <c r="S90" s="10">
        <v>42863</v>
      </c>
      <c r="T90" s="37">
        <v>0</v>
      </c>
      <c r="U90" s="10" t="s">
        <v>28</v>
      </c>
      <c r="V90" s="34" t="s">
        <v>65</v>
      </c>
      <c r="W90" s="15" t="s">
        <v>880</v>
      </c>
      <c r="X90" s="21" t="s">
        <v>887</v>
      </c>
      <c r="Y90" s="67" t="s">
        <v>68</v>
      </c>
      <c r="Z90" s="33" t="s">
        <v>887</v>
      </c>
    </row>
    <row r="91" spans="1:26">
      <c r="A91" s="31">
        <v>90</v>
      </c>
      <c r="B91" s="8" t="s">
        <v>25</v>
      </c>
      <c r="C91" s="8" t="s">
        <v>26</v>
      </c>
      <c r="D91" s="12" t="s">
        <v>32</v>
      </c>
      <c r="E91" s="12" t="s">
        <v>194</v>
      </c>
      <c r="F91" s="34" t="s">
        <v>270</v>
      </c>
      <c r="G91" s="34" t="s">
        <v>271</v>
      </c>
      <c r="H91" s="36" t="s">
        <v>272</v>
      </c>
      <c r="I91" s="12" t="s">
        <v>37</v>
      </c>
      <c r="J91" s="12" t="s">
        <v>38</v>
      </c>
      <c r="K91" s="12" t="s">
        <v>28</v>
      </c>
      <c r="L91" s="12" t="s">
        <v>28</v>
      </c>
      <c r="M91" s="12" t="s">
        <v>38</v>
      </c>
      <c r="N91" s="9">
        <v>0</v>
      </c>
      <c r="O91" s="12" t="s">
        <v>28</v>
      </c>
      <c r="P91" s="9">
        <v>10277125474</v>
      </c>
      <c r="Q91" s="10">
        <v>40716</v>
      </c>
      <c r="R91" s="9">
        <v>17398000000</v>
      </c>
      <c r="S91" s="10">
        <v>44230</v>
      </c>
      <c r="T91" s="37">
        <v>0</v>
      </c>
      <c r="U91" s="10" t="s">
        <v>28</v>
      </c>
      <c r="V91" s="34" t="s">
        <v>65</v>
      </c>
      <c r="W91" s="15" t="s">
        <v>882</v>
      </c>
      <c r="X91" s="21" t="s">
        <v>887</v>
      </c>
      <c r="Y91" s="67" t="s">
        <v>68</v>
      </c>
      <c r="Z91" s="33" t="s">
        <v>887</v>
      </c>
    </row>
    <row r="92" spans="1:26">
      <c r="A92" s="31">
        <v>91</v>
      </c>
      <c r="B92" s="8" t="s">
        <v>25</v>
      </c>
      <c r="C92" s="8" t="s">
        <v>26</v>
      </c>
      <c r="D92" s="12" t="s">
        <v>32</v>
      </c>
      <c r="E92" s="12" t="s">
        <v>194</v>
      </c>
      <c r="F92" s="34" t="s">
        <v>270</v>
      </c>
      <c r="G92" s="34" t="s">
        <v>271</v>
      </c>
      <c r="H92" s="36" t="s">
        <v>273</v>
      </c>
      <c r="I92" s="12" t="s">
        <v>37</v>
      </c>
      <c r="J92" s="12" t="s">
        <v>38</v>
      </c>
      <c r="K92" s="12" t="s">
        <v>28</v>
      </c>
      <c r="L92" s="12" t="s">
        <v>28</v>
      </c>
      <c r="M92" s="12" t="s">
        <v>38</v>
      </c>
      <c r="N92" s="9">
        <v>12203400000.000002</v>
      </c>
      <c r="O92" s="10">
        <v>40039</v>
      </c>
      <c r="P92" s="9">
        <v>0</v>
      </c>
      <c r="Q92" s="10" t="s">
        <v>28</v>
      </c>
      <c r="R92" s="9">
        <v>10190000000</v>
      </c>
      <c r="S92" s="10">
        <v>42853</v>
      </c>
      <c r="T92" s="37">
        <v>0</v>
      </c>
      <c r="U92" s="10" t="s">
        <v>28</v>
      </c>
      <c r="V92" s="34" t="s">
        <v>65</v>
      </c>
      <c r="W92" s="15" t="s">
        <v>882</v>
      </c>
      <c r="X92" s="21" t="s">
        <v>887</v>
      </c>
      <c r="Y92" s="67" t="s">
        <v>68</v>
      </c>
      <c r="Z92" s="33" t="s">
        <v>887</v>
      </c>
    </row>
    <row r="93" spans="1:26">
      <c r="A93" s="31">
        <v>92</v>
      </c>
      <c r="B93" s="8" t="s">
        <v>25</v>
      </c>
      <c r="C93" s="8" t="s">
        <v>26</v>
      </c>
      <c r="D93" s="12" t="s">
        <v>32</v>
      </c>
      <c r="E93" s="12" t="s">
        <v>194</v>
      </c>
      <c r="F93" s="34" t="s">
        <v>274</v>
      </c>
      <c r="G93" s="34" t="s">
        <v>275</v>
      </c>
      <c r="H93" s="36" t="s">
        <v>276</v>
      </c>
      <c r="I93" s="12" t="s">
        <v>37</v>
      </c>
      <c r="J93" s="12" t="s">
        <v>38</v>
      </c>
      <c r="K93" s="12" t="s">
        <v>28</v>
      </c>
      <c r="L93" s="12" t="s">
        <v>28</v>
      </c>
      <c r="M93" s="12" t="s">
        <v>38</v>
      </c>
      <c r="N93" s="9">
        <v>0</v>
      </c>
      <c r="O93" s="12" t="s">
        <v>28</v>
      </c>
      <c r="P93" s="35">
        <v>0</v>
      </c>
      <c r="Q93" s="12" t="s">
        <v>28</v>
      </c>
      <c r="R93" s="9">
        <v>6511000000</v>
      </c>
      <c r="S93" s="10">
        <v>43958</v>
      </c>
      <c r="T93" s="37">
        <v>0</v>
      </c>
      <c r="U93" s="10" t="s">
        <v>28</v>
      </c>
      <c r="V93" s="34" t="s">
        <v>65</v>
      </c>
      <c r="W93" s="15" t="s">
        <v>882</v>
      </c>
      <c r="X93" s="21" t="s">
        <v>887</v>
      </c>
      <c r="Y93" s="67" t="s">
        <v>896</v>
      </c>
      <c r="Z93" s="33" t="s">
        <v>887</v>
      </c>
    </row>
    <row r="94" spans="1:26">
      <c r="A94" s="31">
        <v>93</v>
      </c>
      <c r="B94" s="8" t="s">
        <v>25</v>
      </c>
      <c r="C94" s="8" t="s">
        <v>26</v>
      </c>
      <c r="D94" s="12" t="s">
        <v>32</v>
      </c>
      <c r="E94" s="12" t="s">
        <v>194</v>
      </c>
      <c r="F94" s="34" t="s">
        <v>277</v>
      </c>
      <c r="G94" s="34" t="s">
        <v>278</v>
      </c>
      <c r="H94" s="36" t="s">
        <v>279</v>
      </c>
      <c r="I94" s="12" t="s">
        <v>43</v>
      </c>
      <c r="J94" s="12" t="s">
        <v>38</v>
      </c>
      <c r="K94" s="12" t="s">
        <v>28</v>
      </c>
      <c r="L94" s="12" t="s">
        <v>28</v>
      </c>
      <c r="M94" s="12" t="s">
        <v>38</v>
      </c>
      <c r="N94" s="9">
        <v>0</v>
      </c>
      <c r="O94" s="12" t="s">
        <v>28</v>
      </c>
      <c r="P94" s="35">
        <v>0</v>
      </c>
      <c r="Q94" s="12" t="s">
        <v>28</v>
      </c>
      <c r="R94" s="35">
        <v>0</v>
      </c>
      <c r="S94" s="10" t="s">
        <v>28</v>
      </c>
      <c r="T94" s="37">
        <v>0</v>
      </c>
      <c r="U94" s="10" t="s">
        <v>28</v>
      </c>
      <c r="V94" s="34" t="s">
        <v>65</v>
      </c>
      <c r="W94" s="15" t="s">
        <v>68</v>
      </c>
      <c r="X94" s="21" t="s">
        <v>887</v>
      </c>
      <c r="Y94" s="67" t="s">
        <v>896</v>
      </c>
      <c r="Z94" s="33" t="s">
        <v>887</v>
      </c>
    </row>
    <row r="95" spans="1:26">
      <c r="A95" s="31">
        <v>94</v>
      </c>
      <c r="B95" s="8" t="s">
        <v>25</v>
      </c>
      <c r="C95" s="8" t="s">
        <v>26</v>
      </c>
      <c r="D95" s="12" t="s">
        <v>32</v>
      </c>
      <c r="E95" s="12" t="s">
        <v>194</v>
      </c>
      <c r="F95" s="34" t="s">
        <v>280</v>
      </c>
      <c r="G95" s="34" t="s">
        <v>281</v>
      </c>
      <c r="H95" s="36" t="s">
        <v>282</v>
      </c>
      <c r="I95" s="12" t="s">
        <v>118</v>
      </c>
      <c r="J95" s="12" t="s">
        <v>38</v>
      </c>
      <c r="K95" s="12" t="s">
        <v>28</v>
      </c>
      <c r="L95" s="12" t="s">
        <v>28</v>
      </c>
      <c r="M95" s="12" t="s">
        <v>38</v>
      </c>
      <c r="N95" s="9">
        <v>0</v>
      </c>
      <c r="O95" s="12" t="s">
        <v>28</v>
      </c>
      <c r="P95" s="9">
        <v>5082000000</v>
      </c>
      <c r="Q95" s="10">
        <v>40666</v>
      </c>
      <c r="R95" s="9">
        <v>6595000000</v>
      </c>
      <c r="S95" s="10">
        <v>42521</v>
      </c>
      <c r="T95" s="37">
        <v>0</v>
      </c>
      <c r="U95" s="10" t="s">
        <v>28</v>
      </c>
      <c r="V95" s="34" t="s">
        <v>65</v>
      </c>
      <c r="W95" s="15" t="s">
        <v>880</v>
      </c>
      <c r="X95" s="21" t="s">
        <v>68</v>
      </c>
      <c r="Y95" s="67" t="s">
        <v>68</v>
      </c>
      <c r="Z95" s="33" t="s">
        <v>887</v>
      </c>
    </row>
    <row r="96" spans="1:26">
      <c r="A96" s="31">
        <v>95</v>
      </c>
      <c r="B96" s="8" t="s">
        <v>25</v>
      </c>
      <c r="C96" s="8" t="s">
        <v>26</v>
      </c>
      <c r="D96" s="12" t="s">
        <v>32</v>
      </c>
      <c r="E96" s="12" t="s">
        <v>194</v>
      </c>
      <c r="F96" s="34" t="s">
        <v>283</v>
      </c>
      <c r="G96" s="34" t="s">
        <v>284</v>
      </c>
      <c r="H96" s="36" t="s">
        <v>285</v>
      </c>
      <c r="I96" s="12" t="s">
        <v>125</v>
      </c>
      <c r="J96" s="12" t="s">
        <v>38</v>
      </c>
      <c r="K96" s="12" t="s">
        <v>28</v>
      </c>
      <c r="L96" s="12" t="s">
        <v>28</v>
      </c>
      <c r="M96" s="12" t="s">
        <v>38</v>
      </c>
      <c r="N96" s="9">
        <v>10395000000</v>
      </c>
      <c r="O96" s="10">
        <v>40177</v>
      </c>
      <c r="P96" s="35">
        <v>0</v>
      </c>
      <c r="Q96" s="12" t="s">
        <v>28</v>
      </c>
      <c r="R96" s="9">
        <v>17578000000</v>
      </c>
      <c r="S96" s="10">
        <v>42717</v>
      </c>
      <c r="T96" s="9">
        <v>21230000000</v>
      </c>
      <c r="U96" s="10">
        <v>45497</v>
      </c>
      <c r="V96" s="34" t="s">
        <v>65</v>
      </c>
      <c r="W96" s="15" t="s">
        <v>880</v>
      </c>
      <c r="X96" s="21" t="s">
        <v>68</v>
      </c>
      <c r="Y96" s="67" t="s">
        <v>68</v>
      </c>
      <c r="Z96" s="33" t="s">
        <v>887</v>
      </c>
    </row>
    <row r="97" spans="1:26">
      <c r="A97" s="31">
        <v>96</v>
      </c>
      <c r="B97" s="8" t="s">
        <v>25</v>
      </c>
      <c r="C97" s="8" t="s">
        <v>26</v>
      </c>
      <c r="D97" s="12" t="s">
        <v>32</v>
      </c>
      <c r="E97" s="12" t="s">
        <v>194</v>
      </c>
      <c r="F97" s="34" t="s">
        <v>286</v>
      </c>
      <c r="G97" s="34" t="s">
        <v>287</v>
      </c>
      <c r="H97" s="36" t="s">
        <v>288</v>
      </c>
      <c r="I97" s="12" t="s">
        <v>53</v>
      </c>
      <c r="J97" s="12" t="s">
        <v>38</v>
      </c>
      <c r="K97" s="12" t="s">
        <v>28</v>
      </c>
      <c r="L97" s="12" t="s">
        <v>28</v>
      </c>
      <c r="M97" s="12" t="s">
        <v>38</v>
      </c>
      <c r="N97" s="9">
        <v>0</v>
      </c>
      <c r="O97" s="12" t="s">
        <v>28</v>
      </c>
      <c r="P97" s="35">
        <v>0</v>
      </c>
      <c r="Q97" s="12" t="s">
        <v>28</v>
      </c>
      <c r="R97" s="35">
        <v>3322000000.0000005</v>
      </c>
      <c r="S97" s="10">
        <v>42660</v>
      </c>
      <c r="T97" s="37">
        <v>0</v>
      </c>
      <c r="U97" s="10" t="s">
        <v>28</v>
      </c>
      <c r="V97" s="34" t="s">
        <v>65</v>
      </c>
      <c r="W97" s="15" t="s">
        <v>880</v>
      </c>
      <c r="X97" s="21" t="s">
        <v>68</v>
      </c>
      <c r="Y97" s="67" t="s">
        <v>68</v>
      </c>
      <c r="Z97" s="33" t="s">
        <v>887</v>
      </c>
    </row>
    <row r="98" spans="1:26">
      <c r="A98" s="31">
        <v>97</v>
      </c>
      <c r="B98" s="8" t="s">
        <v>25</v>
      </c>
      <c r="C98" s="8" t="s">
        <v>26</v>
      </c>
      <c r="D98" s="12" t="s">
        <v>32</v>
      </c>
      <c r="E98" s="12" t="s">
        <v>194</v>
      </c>
      <c r="F98" s="34" t="s">
        <v>289</v>
      </c>
      <c r="G98" s="34" t="s">
        <v>290</v>
      </c>
      <c r="H98" s="36" t="s">
        <v>291</v>
      </c>
      <c r="I98" s="12" t="s">
        <v>118</v>
      </c>
      <c r="J98" s="12" t="s">
        <v>38</v>
      </c>
      <c r="K98" s="12" t="s">
        <v>28</v>
      </c>
      <c r="L98" s="12" t="s">
        <v>28</v>
      </c>
      <c r="M98" s="12" t="s">
        <v>38</v>
      </c>
      <c r="N98" s="9">
        <v>0</v>
      </c>
      <c r="O98" s="12" t="s">
        <v>28</v>
      </c>
      <c r="P98" s="35">
        <v>0</v>
      </c>
      <c r="Q98" s="12" t="s">
        <v>28</v>
      </c>
      <c r="R98" s="35">
        <v>0</v>
      </c>
      <c r="S98" s="10" t="s">
        <v>28</v>
      </c>
      <c r="T98" s="9">
        <v>5153000000</v>
      </c>
      <c r="U98" s="10">
        <v>45539</v>
      </c>
      <c r="V98" s="34" t="s">
        <v>65</v>
      </c>
      <c r="W98" s="15" t="s">
        <v>880</v>
      </c>
      <c r="X98" s="21" t="s">
        <v>68</v>
      </c>
      <c r="Y98" s="67" t="s">
        <v>68</v>
      </c>
      <c r="Z98" s="33" t="s">
        <v>887</v>
      </c>
    </row>
    <row r="99" spans="1:26">
      <c r="A99" s="31">
        <v>98</v>
      </c>
      <c r="B99" s="8" t="s">
        <v>25</v>
      </c>
      <c r="C99" s="8" t="s">
        <v>26</v>
      </c>
      <c r="D99" s="12" t="s">
        <v>32</v>
      </c>
      <c r="E99" s="12" t="s">
        <v>194</v>
      </c>
      <c r="F99" s="34" t="s">
        <v>292</v>
      </c>
      <c r="G99" s="34" t="s">
        <v>293</v>
      </c>
      <c r="H99" s="36" t="s">
        <v>294</v>
      </c>
      <c r="I99" s="12" t="s">
        <v>57</v>
      </c>
      <c r="J99" s="12" t="s">
        <v>38</v>
      </c>
      <c r="K99" s="12" t="s">
        <v>28</v>
      </c>
      <c r="L99" s="12" t="s">
        <v>28</v>
      </c>
      <c r="M99" s="12" t="s">
        <v>38</v>
      </c>
      <c r="N99" s="9">
        <v>0</v>
      </c>
      <c r="O99" s="12" t="s">
        <v>28</v>
      </c>
      <c r="P99" s="35">
        <v>0</v>
      </c>
      <c r="Q99" s="12" t="s">
        <v>28</v>
      </c>
      <c r="R99" s="9">
        <v>14977000000</v>
      </c>
      <c r="S99" s="10">
        <v>42508</v>
      </c>
      <c r="T99" s="37">
        <v>0</v>
      </c>
      <c r="U99" s="10" t="s">
        <v>28</v>
      </c>
      <c r="V99" s="34" t="s">
        <v>295</v>
      </c>
      <c r="W99" s="15" t="s">
        <v>879</v>
      </c>
      <c r="X99" s="21" t="s">
        <v>68</v>
      </c>
      <c r="Y99" s="67" t="s">
        <v>895</v>
      </c>
      <c r="Z99" s="33" t="s">
        <v>887</v>
      </c>
    </row>
    <row r="100" spans="1:26">
      <c r="A100" s="31">
        <v>99</v>
      </c>
      <c r="B100" s="8" t="s">
        <v>25</v>
      </c>
      <c r="C100" s="8" t="s">
        <v>26</v>
      </c>
      <c r="D100" s="12" t="s">
        <v>32</v>
      </c>
      <c r="E100" s="12" t="s">
        <v>194</v>
      </c>
      <c r="F100" s="34" t="s">
        <v>296</v>
      </c>
      <c r="G100" s="34" t="s">
        <v>297</v>
      </c>
      <c r="H100" s="36" t="s">
        <v>298</v>
      </c>
      <c r="I100" s="12" t="s">
        <v>57</v>
      </c>
      <c r="J100" s="12" t="s">
        <v>38</v>
      </c>
      <c r="K100" s="12" t="s">
        <v>28</v>
      </c>
      <c r="L100" s="12" t="s">
        <v>28</v>
      </c>
      <c r="M100" s="12" t="s">
        <v>38</v>
      </c>
      <c r="N100" s="9">
        <v>0</v>
      </c>
      <c r="O100" s="12" t="s">
        <v>28</v>
      </c>
      <c r="P100" s="35">
        <v>0</v>
      </c>
      <c r="Q100" s="12" t="s">
        <v>28</v>
      </c>
      <c r="R100" s="9">
        <v>13283000000</v>
      </c>
      <c r="S100" s="10">
        <v>42486</v>
      </c>
      <c r="T100" s="37">
        <v>0</v>
      </c>
      <c r="U100" s="10" t="s">
        <v>28</v>
      </c>
      <c r="V100" s="34" t="s">
        <v>295</v>
      </c>
      <c r="W100" s="15" t="s">
        <v>879</v>
      </c>
      <c r="X100" s="21" t="s">
        <v>68</v>
      </c>
      <c r="Y100" s="67" t="s">
        <v>895</v>
      </c>
      <c r="Z100" s="33" t="s">
        <v>887</v>
      </c>
    </row>
    <row r="101" spans="1:26">
      <c r="A101" s="31">
        <v>100</v>
      </c>
      <c r="B101" s="8" t="s">
        <v>25</v>
      </c>
      <c r="C101" s="8" t="s">
        <v>26</v>
      </c>
      <c r="D101" s="12" t="s">
        <v>32</v>
      </c>
      <c r="E101" s="12" t="s">
        <v>194</v>
      </c>
      <c r="F101" s="34" t="s">
        <v>299</v>
      </c>
      <c r="G101" s="34" t="s">
        <v>300</v>
      </c>
      <c r="H101" s="36" t="s">
        <v>301</v>
      </c>
      <c r="I101" s="12" t="s">
        <v>118</v>
      </c>
      <c r="J101" s="12" t="s">
        <v>38</v>
      </c>
      <c r="K101" s="12" t="s">
        <v>28</v>
      </c>
      <c r="L101" s="12" t="s">
        <v>28</v>
      </c>
      <c r="M101" s="12" t="s">
        <v>38</v>
      </c>
      <c r="N101" s="9">
        <v>0</v>
      </c>
      <c r="O101" s="12" t="s">
        <v>28</v>
      </c>
      <c r="P101" s="35">
        <v>0</v>
      </c>
      <c r="Q101" s="12" t="s">
        <v>28</v>
      </c>
      <c r="R101" s="9">
        <v>19910000000</v>
      </c>
      <c r="S101" s="10">
        <v>42543</v>
      </c>
      <c r="T101" s="37">
        <v>0</v>
      </c>
      <c r="U101" s="10" t="s">
        <v>28</v>
      </c>
      <c r="V101" s="34" t="s">
        <v>295</v>
      </c>
      <c r="W101" s="15" t="s">
        <v>879</v>
      </c>
      <c r="X101" s="21" t="s">
        <v>68</v>
      </c>
      <c r="Y101" s="67" t="s">
        <v>68</v>
      </c>
      <c r="Z101" s="33" t="s">
        <v>887</v>
      </c>
    </row>
    <row r="102" spans="1:26">
      <c r="A102" s="31">
        <v>101</v>
      </c>
      <c r="B102" s="8" t="s">
        <v>25</v>
      </c>
      <c r="C102" s="8" t="s">
        <v>26</v>
      </c>
      <c r="D102" s="12" t="s">
        <v>32</v>
      </c>
      <c r="E102" s="12" t="s">
        <v>194</v>
      </c>
      <c r="F102" s="34" t="s">
        <v>302</v>
      </c>
      <c r="G102" s="34" t="s">
        <v>303</v>
      </c>
      <c r="H102" s="36" t="s">
        <v>304</v>
      </c>
      <c r="I102" s="12" t="s">
        <v>43</v>
      </c>
      <c r="J102" s="12" t="s">
        <v>38</v>
      </c>
      <c r="K102" s="12" t="s">
        <v>28</v>
      </c>
      <c r="L102" s="12" t="s">
        <v>28</v>
      </c>
      <c r="M102" s="12" t="s">
        <v>38</v>
      </c>
      <c r="N102" s="9">
        <v>7848500000.000001</v>
      </c>
      <c r="O102" s="10">
        <v>39899</v>
      </c>
      <c r="P102" s="35">
        <v>0</v>
      </c>
      <c r="Q102" s="12" t="s">
        <v>28</v>
      </c>
      <c r="R102" s="9">
        <v>8635000000</v>
      </c>
      <c r="S102" s="10">
        <v>42641</v>
      </c>
      <c r="T102" s="37">
        <v>0</v>
      </c>
      <c r="U102" s="10" t="s">
        <v>28</v>
      </c>
      <c r="V102" s="34" t="s">
        <v>295</v>
      </c>
      <c r="W102" s="15" t="s">
        <v>879</v>
      </c>
      <c r="X102" s="21" t="s">
        <v>68</v>
      </c>
      <c r="Y102" s="67" t="s">
        <v>68</v>
      </c>
      <c r="Z102" s="33" t="s">
        <v>887</v>
      </c>
    </row>
    <row r="103" spans="1:26">
      <c r="A103" s="31">
        <v>102</v>
      </c>
      <c r="B103" s="8" t="s">
        <v>25</v>
      </c>
      <c r="C103" s="8" t="s">
        <v>26</v>
      </c>
      <c r="D103" s="12" t="s">
        <v>32</v>
      </c>
      <c r="E103" s="12" t="s">
        <v>194</v>
      </c>
      <c r="F103" s="34" t="s">
        <v>305</v>
      </c>
      <c r="G103" s="34" t="s">
        <v>306</v>
      </c>
      <c r="H103" s="36" t="s">
        <v>307</v>
      </c>
      <c r="I103" s="12" t="s">
        <v>125</v>
      </c>
      <c r="J103" s="12" t="s">
        <v>38</v>
      </c>
      <c r="K103" s="12" t="s">
        <v>28</v>
      </c>
      <c r="L103" s="12" t="s">
        <v>28</v>
      </c>
      <c r="M103" s="12" t="s">
        <v>38</v>
      </c>
      <c r="N103" s="9">
        <v>0</v>
      </c>
      <c r="O103" s="12" t="s">
        <v>28</v>
      </c>
      <c r="P103" s="9">
        <v>5596929800</v>
      </c>
      <c r="Q103" s="10">
        <v>40743</v>
      </c>
      <c r="R103" s="9">
        <v>18260000000</v>
      </c>
      <c r="S103" s="10">
        <v>42543</v>
      </c>
      <c r="T103" s="9">
        <v>24920000000</v>
      </c>
      <c r="U103" s="10">
        <v>45322</v>
      </c>
      <c r="V103" s="34" t="s">
        <v>295</v>
      </c>
      <c r="W103" s="15" t="s">
        <v>879</v>
      </c>
      <c r="X103" s="21" t="s">
        <v>68</v>
      </c>
      <c r="Y103" s="67" t="s">
        <v>68</v>
      </c>
      <c r="Z103" s="33" t="s">
        <v>887</v>
      </c>
    </row>
    <row r="104" spans="1:26">
      <c r="A104" s="31">
        <v>103</v>
      </c>
      <c r="B104" s="8" t="s">
        <v>25</v>
      </c>
      <c r="C104" s="8" t="s">
        <v>26</v>
      </c>
      <c r="D104" s="12" t="s">
        <v>32</v>
      </c>
      <c r="E104" s="12" t="s">
        <v>194</v>
      </c>
      <c r="F104" s="34" t="s">
        <v>308</v>
      </c>
      <c r="G104" s="34" t="s">
        <v>309</v>
      </c>
      <c r="H104" s="36" t="s">
        <v>310</v>
      </c>
      <c r="I104" s="12" t="s">
        <v>43</v>
      </c>
      <c r="J104" s="12" t="s">
        <v>38</v>
      </c>
      <c r="K104" s="12" t="s">
        <v>28</v>
      </c>
      <c r="L104" s="12" t="s">
        <v>28</v>
      </c>
      <c r="M104" s="12" t="s">
        <v>38</v>
      </c>
      <c r="N104" s="9">
        <v>0</v>
      </c>
      <c r="O104" s="12" t="s">
        <v>28</v>
      </c>
      <c r="P104" s="35">
        <v>0</v>
      </c>
      <c r="Q104" s="12" t="s">
        <v>28</v>
      </c>
      <c r="R104" s="35">
        <v>4274184706.0000005</v>
      </c>
      <c r="S104" s="10">
        <v>42356</v>
      </c>
      <c r="T104" s="37">
        <v>7755550000.000001</v>
      </c>
      <c r="U104" s="10">
        <v>45629</v>
      </c>
      <c r="V104" s="34" t="s">
        <v>295</v>
      </c>
      <c r="W104" s="15" t="s">
        <v>879</v>
      </c>
      <c r="X104" s="21" t="s">
        <v>68</v>
      </c>
      <c r="Y104" s="67" t="s">
        <v>895</v>
      </c>
      <c r="Z104" s="33" t="s">
        <v>887</v>
      </c>
    </row>
    <row r="105" spans="1:26">
      <c r="A105" s="31">
        <v>104</v>
      </c>
      <c r="B105" s="8" t="s">
        <v>25</v>
      </c>
      <c r="C105" s="8" t="s">
        <v>26</v>
      </c>
      <c r="D105" s="12" t="s">
        <v>32</v>
      </c>
      <c r="E105" s="12" t="s">
        <v>194</v>
      </c>
      <c r="F105" s="34" t="s">
        <v>311</v>
      </c>
      <c r="G105" s="34" t="s">
        <v>28</v>
      </c>
      <c r="H105" s="36" t="s">
        <v>312</v>
      </c>
      <c r="I105" s="12" t="s">
        <v>53</v>
      </c>
      <c r="J105" s="12" t="s">
        <v>38</v>
      </c>
      <c r="K105" s="12" t="s">
        <v>28</v>
      </c>
      <c r="L105" s="12" t="s">
        <v>28</v>
      </c>
      <c r="M105" s="12" t="s">
        <v>38</v>
      </c>
      <c r="N105" s="9">
        <v>0</v>
      </c>
      <c r="O105" s="12" t="s">
        <v>28</v>
      </c>
      <c r="P105" s="35">
        <v>0</v>
      </c>
      <c r="Q105" s="12" t="s">
        <v>28</v>
      </c>
      <c r="R105" s="35">
        <v>0</v>
      </c>
      <c r="S105" s="10" t="s">
        <v>28</v>
      </c>
      <c r="T105" s="37">
        <v>0</v>
      </c>
      <c r="U105" s="10" t="s">
        <v>28</v>
      </c>
      <c r="V105" s="34" t="s">
        <v>295</v>
      </c>
      <c r="W105" s="15" t="s">
        <v>879</v>
      </c>
      <c r="X105" s="21" t="s">
        <v>68</v>
      </c>
      <c r="Y105" s="67" t="s">
        <v>68</v>
      </c>
      <c r="Z105" s="33" t="s">
        <v>887</v>
      </c>
    </row>
    <row r="106" spans="1:26">
      <c r="A106" s="31">
        <v>105</v>
      </c>
      <c r="B106" s="8" t="s">
        <v>25</v>
      </c>
      <c r="C106" s="8" t="s">
        <v>26</v>
      </c>
      <c r="D106" s="12" t="s">
        <v>32</v>
      </c>
      <c r="E106" s="12" t="s">
        <v>194</v>
      </c>
      <c r="F106" s="34" t="s">
        <v>313</v>
      </c>
      <c r="G106" s="34" t="s">
        <v>314</v>
      </c>
      <c r="H106" s="36" t="s">
        <v>315</v>
      </c>
      <c r="I106" s="12" t="s">
        <v>118</v>
      </c>
      <c r="J106" s="12" t="s">
        <v>38</v>
      </c>
      <c r="K106" s="12" t="s">
        <v>28</v>
      </c>
      <c r="L106" s="12" t="s">
        <v>28</v>
      </c>
      <c r="M106" s="12" t="s">
        <v>38</v>
      </c>
      <c r="N106" s="9">
        <v>0</v>
      </c>
      <c r="O106" s="12" t="s">
        <v>28</v>
      </c>
      <c r="P106" s="35">
        <v>0</v>
      </c>
      <c r="Q106" s="12" t="s">
        <v>28</v>
      </c>
      <c r="R106" s="35">
        <v>3454000000.0000005</v>
      </c>
      <c r="S106" s="10">
        <v>42571</v>
      </c>
      <c r="T106" s="37">
        <v>2949959999.8000002</v>
      </c>
      <c r="U106" s="10">
        <v>45537</v>
      </c>
      <c r="V106" s="34" t="s">
        <v>295</v>
      </c>
      <c r="W106" s="15" t="s">
        <v>879</v>
      </c>
      <c r="X106" s="21" t="s">
        <v>68</v>
      </c>
      <c r="Y106" s="67" t="s">
        <v>68</v>
      </c>
      <c r="Z106" s="33" t="s">
        <v>887</v>
      </c>
    </row>
    <row r="107" spans="1:26">
      <c r="A107" s="31">
        <v>106</v>
      </c>
      <c r="B107" s="8" t="s">
        <v>25</v>
      </c>
      <c r="C107" s="8" t="s">
        <v>26</v>
      </c>
      <c r="D107" s="12" t="s">
        <v>32</v>
      </c>
      <c r="E107" s="12" t="s">
        <v>194</v>
      </c>
      <c r="F107" s="34" t="s">
        <v>316</v>
      </c>
      <c r="G107" s="34" t="s">
        <v>317</v>
      </c>
      <c r="H107" s="36" t="s">
        <v>318</v>
      </c>
      <c r="I107" s="12" t="s">
        <v>118</v>
      </c>
      <c r="J107" s="12" t="s">
        <v>38</v>
      </c>
      <c r="K107" s="12" t="s">
        <v>28</v>
      </c>
      <c r="L107" s="12" t="s">
        <v>28</v>
      </c>
      <c r="M107" s="12" t="s">
        <v>38</v>
      </c>
      <c r="N107" s="9">
        <v>0</v>
      </c>
      <c r="O107" s="12" t="s">
        <v>28</v>
      </c>
      <c r="P107" s="35">
        <v>0</v>
      </c>
      <c r="Q107" s="12" t="s">
        <v>28</v>
      </c>
      <c r="R107" s="9">
        <v>7747000000</v>
      </c>
      <c r="S107" s="10">
        <v>43703</v>
      </c>
      <c r="T107" s="37">
        <v>0</v>
      </c>
      <c r="U107" s="10" t="s">
        <v>28</v>
      </c>
      <c r="V107" s="34" t="s">
        <v>295</v>
      </c>
      <c r="W107" s="15" t="s">
        <v>879</v>
      </c>
      <c r="X107" s="21" t="s">
        <v>68</v>
      </c>
      <c r="Y107" s="67" t="s">
        <v>68</v>
      </c>
      <c r="Z107" s="33" t="s">
        <v>887</v>
      </c>
    </row>
    <row r="108" spans="1:26">
      <c r="A108" s="31">
        <v>107</v>
      </c>
      <c r="B108" s="8" t="s">
        <v>25</v>
      </c>
      <c r="C108" s="8" t="s">
        <v>26</v>
      </c>
      <c r="D108" s="12" t="s">
        <v>32</v>
      </c>
      <c r="E108" s="12" t="s">
        <v>194</v>
      </c>
      <c r="F108" s="34" t="s">
        <v>319</v>
      </c>
      <c r="G108" s="34" t="s">
        <v>320</v>
      </c>
      <c r="H108" s="36" t="s">
        <v>321</v>
      </c>
      <c r="I108" s="12" t="s">
        <v>53</v>
      </c>
      <c r="J108" s="12" t="s">
        <v>38</v>
      </c>
      <c r="K108" s="12" t="s">
        <v>28</v>
      </c>
      <c r="L108" s="12" t="s">
        <v>28</v>
      </c>
      <c r="M108" s="12" t="s">
        <v>38</v>
      </c>
      <c r="N108" s="9">
        <v>0</v>
      </c>
      <c r="O108" s="12" t="s">
        <v>28</v>
      </c>
      <c r="P108" s="35">
        <v>193188050.00000003</v>
      </c>
      <c r="Q108" s="38">
        <v>42661</v>
      </c>
      <c r="R108" s="35">
        <v>154000000</v>
      </c>
      <c r="S108" s="10">
        <v>44243</v>
      </c>
      <c r="T108" s="37">
        <v>0</v>
      </c>
      <c r="U108" s="10" t="s">
        <v>28</v>
      </c>
      <c r="V108" s="34" t="s">
        <v>295</v>
      </c>
      <c r="W108" s="15" t="s">
        <v>879</v>
      </c>
      <c r="X108" s="21" t="s">
        <v>68</v>
      </c>
      <c r="Y108" s="67" t="s">
        <v>68</v>
      </c>
      <c r="Z108" s="33" t="s">
        <v>887</v>
      </c>
    </row>
    <row r="109" spans="1:26">
      <c r="A109" s="31">
        <v>108</v>
      </c>
      <c r="B109" s="8" t="s">
        <v>25</v>
      </c>
      <c r="C109" s="8" t="s">
        <v>26</v>
      </c>
      <c r="D109" s="12" t="s">
        <v>32</v>
      </c>
      <c r="E109" s="12" t="s">
        <v>194</v>
      </c>
      <c r="F109" s="34" t="s">
        <v>322</v>
      </c>
      <c r="G109" s="34" t="s">
        <v>323</v>
      </c>
      <c r="H109" s="36" t="s">
        <v>324</v>
      </c>
      <c r="I109" s="12" t="s">
        <v>125</v>
      </c>
      <c r="J109" s="12" t="s">
        <v>38</v>
      </c>
      <c r="K109" s="12" t="s">
        <v>28</v>
      </c>
      <c r="L109" s="12" t="s">
        <v>28</v>
      </c>
      <c r="M109" s="12" t="s">
        <v>38</v>
      </c>
      <c r="N109" s="9">
        <v>0</v>
      </c>
      <c r="O109" s="12" t="s">
        <v>28</v>
      </c>
      <c r="P109" s="9">
        <v>5487900000</v>
      </c>
      <c r="Q109" s="10">
        <v>40791</v>
      </c>
      <c r="R109" s="9">
        <v>31636000000</v>
      </c>
      <c r="S109" s="10">
        <v>43383</v>
      </c>
      <c r="T109" s="37">
        <v>0</v>
      </c>
      <c r="U109" s="10" t="s">
        <v>28</v>
      </c>
      <c r="V109" s="34" t="s">
        <v>65</v>
      </c>
      <c r="W109" s="15" t="s">
        <v>880</v>
      </c>
      <c r="X109" s="21" t="s">
        <v>68</v>
      </c>
      <c r="Y109" s="67" t="s">
        <v>68</v>
      </c>
      <c r="Z109" s="33" t="s">
        <v>887</v>
      </c>
    </row>
    <row r="110" spans="1:26">
      <c r="A110" s="31">
        <v>109</v>
      </c>
      <c r="B110" s="8" t="s">
        <v>25</v>
      </c>
      <c r="C110" s="8" t="s">
        <v>26</v>
      </c>
      <c r="D110" s="12" t="s">
        <v>32</v>
      </c>
      <c r="E110" s="12" t="s">
        <v>194</v>
      </c>
      <c r="F110" s="34" t="s">
        <v>325</v>
      </c>
      <c r="G110" s="34" t="s">
        <v>326</v>
      </c>
      <c r="H110" s="36" t="s">
        <v>327</v>
      </c>
      <c r="I110" s="12" t="s">
        <v>53</v>
      </c>
      <c r="J110" s="12" t="s">
        <v>38</v>
      </c>
      <c r="K110" s="12" t="s">
        <v>28</v>
      </c>
      <c r="L110" s="12" t="s">
        <v>28</v>
      </c>
      <c r="M110" s="12" t="s">
        <v>38</v>
      </c>
      <c r="N110" s="9">
        <v>0</v>
      </c>
      <c r="O110" s="10" t="s">
        <v>28</v>
      </c>
      <c r="P110" s="35">
        <v>0</v>
      </c>
      <c r="Q110" s="12" t="s">
        <v>28</v>
      </c>
      <c r="R110" s="35">
        <v>1670000000.9000001</v>
      </c>
      <c r="S110" s="10">
        <v>43958</v>
      </c>
      <c r="T110" s="37">
        <v>0</v>
      </c>
      <c r="U110" s="10" t="s">
        <v>28</v>
      </c>
      <c r="V110" s="34" t="s">
        <v>65</v>
      </c>
      <c r="W110" s="15" t="s">
        <v>880</v>
      </c>
      <c r="X110" s="21" t="s">
        <v>68</v>
      </c>
      <c r="Y110" s="67" t="s">
        <v>68</v>
      </c>
      <c r="Z110" s="33" t="s">
        <v>887</v>
      </c>
    </row>
    <row r="111" spans="1:26">
      <c r="A111" s="31">
        <v>110</v>
      </c>
      <c r="B111" s="8" t="s">
        <v>25</v>
      </c>
      <c r="C111" s="8" t="s">
        <v>26</v>
      </c>
      <c r="D111" s="12" t="s">
        <v>32</v>
      </c>
      <c r="E111" s="12" t="s">
        <v>194</v>
      </c>
      <c r="F111" s="34" t="s">
        <v>328</v>
      </c>
      <c r="G111" s="34" t="s">
        <v>329</v>
      </c>
      <c r="H111" s="36" t="s">
        <v>330</v>
      </c>
      <c r="I111" s="12" t="s">
        <v>57</v>
      </c>
      <c r="J111" s="12" t="s">
        <v>38</v>
      </c>
      <c r="K111" s="12" t="s">
        <v>28</v>
      </c>
      <c r="L111" s="12" t="s">
        <v>28</v>
      </c>
      <c r="M111" s="12" t="s">
        <v>38</v>
      </c>
      <c r="N111" s="9">
        <v>57468400000.000008</v>
      </c>
      <c r="O111" s="10">
        <v>40011</v>
      </c>
      <c r="P111" s="9">
        <v>37228000000</v>
      </c>
      <c r="Q111" s="10">
        <v>40962</v>
      </c>
      <c r="R111" s="9">
        <v>54373000000</v>
      </c>
      <c r="S111" s="10">
        <v>42738</v>
      </c>
      <c r="T111" s="37">
        <v>0</v>
      </c>
      <c r="U111" s="10" t="s">
        <v>28</v>
      </c>
      <c r="V111" s="34" t="s">
        <v>65</v>
      </c>
      <c r="W111" s="15" t="s">
        <v>880</v>
      </c>
      <c r="X111" s="21" t="s">
        <v>68</v>
      </c>
      <c r="Y111" s="67" t="s">
        <v>68</v>
      </c>
      <c r="Z111" s="33" t="s">
        <v>887</v>
      </c>
    </row>
    <row r="112" spans="1:26">
      <c r="A112" s="31">
        <v>111</v>
      </c>
      <c r="B112" s="8" t="s">
        <v>25</v>
      </c>
      <c r="C112" s="8" t="s">
        <v>26</v>
      </c>
      <c r="D112" s="12" t="s">
        <v>32</v>
      </c>
      <c r="E112" s="12" t="s">
        <v>194</v>
      </c>
      <c r="F112" s="34" t="s">
        <v>331</v>
      </c>
      <c r="G112" s="34" t="s">
        <v>332</v>
      </c>
      <c r="H112" s="36" t="s">
        <v>333</v>
      </c>
      <c r="I112" s="12" t="s">
        <v>53</v>
      </c>
      <c r="J112" s="12" t="s">
        <v>38</v>
      </c>
      <c r="K112" s="12" t="s">
        <v>28</v>
      </c>
      <c r="L112" s="12" t="s">
        <v>28</v>
      </c>
      <c r="M112" s="12" t="s">
        <v>38</v>
      </c>
      <c r="N112" s="9">
        <v>0</v>
      </c>
      <c r="O112" s="12" t="s">
        <v>28</v>
      </c>
      <c r="P112" s="35">
        <v>0</v>
      </c>
      <c r="Q112" s="12" t="s">
        <v>28</v>
      </c>
      <c r="R112" s="35">
        <v>2750000000</v>
      </c>
      <c r="S112" s="10">
        <v>42521</v>
      </c>
      <c r="T112" s="37">
        <v>0</v>
      </c>
      <c r="U112" s="10" t="s">
        <v>28</v>
      </c>
      <c r="V112" s="34" t="s">
        <v>65</v>
      </c>
      <c r="W112" s="15" t="s">
        <v>880</v>
      </c>
      <c r="X112" s="21" t="s">
        <v>68</v>
      </c>
      <c r="Y112" s="67" t="s">
        <v>68</v>
      </c>
      <c r="Z112" s="33" t="s">
        <v>887</v>
      </c>
    </row>
    <row r="113" spans="1:26">
      <c r="A113" s="31">
        <v>112</v>
      </c>
      <c r="B113" s="8" t="s">
        <v>25</v>
      </c>
      <c r="C113" s="8" t="s">
        <v>26</v>
      </c>
      <c r="D113" s="12" t="s">
        <v>32</v>
      </c>
      <c r="E113" s="12" t="s">
        <v>194</v>
      </c>
      <c r="F113" s="34" t="s">
        <v>334</v>
      </c>
      <c r="G113" s="34" t="s">
        <v>335</v>
      </c>
      <c r="H113" s="36" t="s">
        <v>336</v>
      </c>
      <c r="I113" s="12" t="s">
        <v>53</v>
      </c>
      <c r="J113" s="12" t="s">
        <v>38</v>
      </c>
      <c r="K113" s="12" t="s">
        <v>28</v>
      </c>
      <c r="L113" s="12" t="s">
        <v>28</v>
      </c>
      <c r="M113" s="12" t="s">
        <v>38</v>
      </c>
      <c r="N113" s="9">
        <v>0</v>
      </c>
      <c r="O113" s="12" t="s">
        <v>28</v>
      </c>
      <c r="P113" s="35">
        <v>0</v>
      </c>
      <c r="Q113" s="12" t="s">
        <v>28</v>
      </c>
      <c r="R113" s="35">
        <v>2822483672.8000002</v>
      </c>
      <c r="S113" s="10">
        <v>43238</v>
      </c>
      <c r="T113" s="37">
        <v>0</v>
      </c>
      <c r="U113" s="10" t="s">
        <v>28</v>
      </c>
      <c r="V113" s="34" t="s">
        <v>65</v>
      </c>
      <c r="W113" s="15" t="s">
        <v>880</v>
      </c>
      <c r="X113" s="21" t="s">
        <v>887</v>
      </c>
      <c r="Y113" s="67" t="s">
        <v>68</v>
      </c>
      <c r="Z113" s="33" t="s">
        <v>887</v>
      </c>
    </row>
    <row r="114" spans="1:26">
      <c r="A114" s="31">
        <v>113</v>
      </c>
      <c r="B114" s="8" t="s">
        <v>25</v>
      </c>
      <c r="C114" s="8" t="s">
        <v>26</v>
      </c>
      <c r="D114" s="12" t="s">
        <v>32</v>
      </c>
      <c r="E114" s="12" t="s">
        <v>194</v>
      </c>
      <c r="F114" s="34" t="s">
        <v>337</v>
      </c>
      <c r="G114" s="34" t="s">
        <v>338</v>
      </c>
      <c r="H114" s="36" t="s">
        <v>339</v>
      </c>
      <c r="I114" s="12" t="s">
        <v>53</v>
      </c>
      <c r="J114" s="12" t="s">
        <v>38</v>
      </c>
      <c r="K114" s="12" t="s">
        <v>28</v>
      </c>
      <c r="L114" s="12" t="s">
        <v>28</v>
      </c>
      <c r="M114" s="12" t="s">
        <v>38</v>
      </c>
      <c r="N114" s="9">
        <v>7909000000</v>
      </c>
      <c r="O114" s="10">
        <v>43588</v>
      </c>
      <c r="P114" s="35">
        <v>0</v>
      </c>
      <c r="Q114" s="12" t="s">
        <v>28</v>
      </c>
      <c r="R114" s="35">
        <v>0</v>
      </c>
      <c r="S114" s="10" t="s">
        <v>28</v>
      </c>
      <c r="T114" s="37">
        <v>0</v>
      </c>
      <c r="U114" s="10" t="s">
        <v>28</v>
      </c>
      <c r="V114" s="34" t="s">
        <v>65</v>
      </c>
      <c r="W114" s="15" t="s">
        <v>880</v>
      </c>
      <c r="X114" s="21" t="s">
        <v>887</v>
      </c>
      <c r="Y114" s="67" t="s">
        <v>68</v>
      </c>
      <c r="Z114" s="33" t="s">
        <v>887</v>
      </c>
    </row>
    <row r="115" spans="1:26">
      <c r="A115" s="31">
        <v>114</v>
      </c>
      <c r="B115" s="8" t="s">
        <v>25</v>
      </c>
      <c r="C115" s="8" t="s">
        <v>26</v>
      </c>
      <c r="D115" s="12" t="s">
        <v>32</v>
      </c>
      <c r="E115" s="12" t="s">
        <v>194</v>
      </c>
      <c r="F115" s="34" t="s">
        <v>340</v>
      </c>
      <c r="G115" s="34" t="s">
        <v>341</v>
      </c>
      <c r="H115" s="36" t="s">
        <v>342</v>
      </c>
      <c r="I115" s="12" t="s">
        <v>43</v>
      </c>
      <c r="J115" s="12" t="s">
        <v>38</v>
      </c>
      <c r="K115" s="12" t="s">
        <v>28</v>
      </c>
      <c r="L115" s="12" t="s">
        <v>28</v>
      </c>
      <c r="M115" s="12" t="s">
        <v>38</v>
      </c>
      <c r="N115" s="9">
        <v>0</v>
      </c>
      <c r="O115" s="12" t="s">
        <v>28</v>
      </c>
      <c r="P115" s="35">
        <v>0</v>
      </c>
      <c r="Q115" s="12" t="s">
        <v>28</v>
      </c>
      <c r="R115" s="35">
        <v>2111214600.0000002</v>
      </c>
      <c r="S115" s="10">
        <v>42738</v>
      </c>
      <c r="T115" s="37">
        <v>2538431500</v>
      </c>
      <c r="U115" s="10">
        <v>45447</v>
      </c>
      <c r="V115" s="34" t="s">
        <v>65</v>
      </c>
      <c r="W115" s="15" t="s">
        <v>880</v>
      </c>
      <c r="X115" s="21" t="s">
        <v>887</v>
      </c>
      <c r="Y115" s="67" t="s">
        <v>68</v>
      </c>
      <c r="Z115" s="33" t="s">
        <v>887</v>
      </c>
    </row>
    <row r="116" spans="1:26">
      <c r="A116" s="31">
        <v>115</v>
      </c>
      <c r="B116" s="8" t="s">
        <v>25</v>
      </c>
      <c r="C116" s="8" t="s">
        <v>26</v>
      </c>
      <c r="D116" s="12" t="s">
        <v>32</v>
      </c>
      <c r="E116" s="12" t="s">
        <v>194</v>
      </c>
      <c r="F116" s="34" t="s">
        <v>343</v>
      </c>
      <c r="G116" s="34" t="s">
        <v>28</v>
      </c>
      <c r="H116" s="36" t="s">
        <v>344</v>
      </c>
      <c r="I116" s="12" t="s">
        <v>125</v>
      </c>
      <c r="J116" s="12" t="s">
        <v>28</v>
      </c>
      <c r="K116" s="12" t="s">
        <v>28</v>
      </c>
      <c r="L116" s="12" t="s">
        <v>38</v>
      </c>
      <c r="M116" s="12" t="s">
        <v>38</v>
      </c>
      <c r="N116" s="9">
        <v>0</v>
      </c>
      <c r="O116" s="12" t="s">
        <v>28</v>
      </c>
      <c r="P116" s="35">
        <v>0</v>
      </c>
      <c r="Q116" s="12" t="s">
        <v>28</v>
      </c>
      <c r="R116" s="35">
        <v>0</v>
      </c>
      <c r="S116" s="10" t="s">
        <v>28</v>
      </c>
      <c r="T116" s="37">
        <v>0</v>
      </c>
      <c r="U116" s="10" t="s">
        <v>28</v>
      </c>
      <c r="V116" s="11" t="s">
        <v>68</v>
      </c>
      <c r="W116" s="15" t="s">
        <v>68</v>
      </c>
      <c r="X116" s="21" t="s">
        <v>887</v>
      </c>
      <c r="Y116" s="67" t="s">
        <v>68</v>
      </c>
      <c r="Z116" s="33" t="s">
        <v>887</v>
      </c>
    </row>
    <row r="117" spans="1:26">
      <c r="A117" s="31">
        <v>116</v>
      </c>
      <c r="B117" s="8" t="s">
        <v>25</v>
      </c>
      <c r="C117" s="8" t="s">
        <v>26</v>
      </c>
      <c r="D117" s="12" t="s">
        <v>32</v>
      </c>
      <c r="E117" s="12" t="s">
        <v>194</v>
      </c>
      <c r="F117" s="34" t="s">
        <v>345</v>
      </c>
      <c r="G117" s="34" t="s">
        <v>28</v>
      </c>
      <c r="H117" s="36" t="s">
        <v>346</v>
      </c>
      <c r="I117" s="12" t="s">
        <v>53</v>
      </c>
      <c r="J117" s="12" t="s">
        <v>28</v>
      </c>
      <c r="K117" s="12" t="s">
        <v>28</v>
      </c>
      <c r="L117" s="12" t="s">
        <v>38</v>
      </c>
      <c r="M117" s="12" t="s">
        <v>38</v>
      </c>
      <c r="N117" s="9">
        <v>0</v>
      </c>
      <c r="O117" s="12" t="s">
        <v>28</v>
      </c>
      <c r="P117" s="35">
        <v>0</v>
      </c>
      <c r="Q117" s="12" t="s">
        <v>28</v>
      </c>
      <c r="R117" s="35">
        <v>0</v>
      </c>
      <c r="S117" s="10" t="s">
        <v>28</v>
      </c>
      <c r="T117" s="37">
        <v>0</v>
      </c>
      <c r="U117" s="10" t="s">
        <v>28</v>
      </c>
      <c r="V117" s="11" t="s">
        <v>68</v>
      </c>
      <c r="W117" s="15" t="s">
        <v>68</v>
      </c>
      <c r="X117" s="21" t="s">
        <v>887</v>
      </c>
      <c r="Y117" s="67" t="s">
        <v>68</v>
      </c>
      <c r="Z117" s="33" t="s">
        <v>887</v>
      </c>
    </row>
    <row r="118" spans="1:26">
      <c r="A118" s="31">
        <v>117</v>
      </c>
      <c r="B118" s="8" t="s">
        <v>25</v>
      </c>
      <c r="C118" s="8" t="s">
        <v>26</v>
      </c>
      <c r="D118" s="12" t="s">
        <v>32</v>
      </c>
      <c r="E118" s="12" t="s">
        <v>194</v>
      </c>
      <c r="F118" s="34" t="s">
        <v>347</v>
      </c>
      <c r="G118" s="34" t="s">
        <v>28</v>
      </c>
      <c r="H118" s="36" t="s">
        <v>348</v>
      </c>
      <c r="I118" s="12" t="s">
        <v>43</v>
      </c>
      <c r="J118" s="12" t="s">
        <v>28</v>
      </c>
      <c r="K118" s="12" t="s">
        <v>28</v>
      </c>
      <c r="L118" s="12" t="s">
        <v>38</v>
      </c>
      <c r="M118" s="12" t="s">
        <v>38</v>
      </c>
      <c r="N118" s="9">
        <v>0</v>
      </c>
      <c r="O118" s="12" t="s">
        <v>28</v>
      </c>
      <c r="P118" s="35">
        <v>0</v>
      </c>
      <c r="Q118" s="12" t="s">
        <v>28</v>
      </c>
      <c r="R118" s="35">
        <v>0</v>
      </c>
      <c r="S118" s="10" t="s">
        <v>28</v>
      </c>
      <c r="T118" s="37">
        <v>0</v>
      </c>
      <c r="U118" s="10" t="s">
        <v>28</v>
      </c>
      <c r="V118" s="11" t="s">
        <v>349</v>
      </c>
      <c r="W118" s="15" t="s">
        <v>68</v>
      </c>
      <c r="X118" s="21" t="s">
        <v>887</v>
      </c>
      <c r="Y118" s="67" t="s">
        <v>68</v>
      </c>
      <c r="Z118" s="33" t="s">
        <v>887</v>
      </c>
    </row>
    <row r="119" spans="1:26">
      <c r="A119" s="31">
        <v>118</v>
      </c>
      <c r="B119" s="8" t="s">
        <v>25</v>
      </c>
      <c r="C119" s="8" t="s">
        <v>26</v>
      </c>
      <c r="D119" s="12" t="s">
        <v>32</v>
      </c>
      <c r="E119" s="12" t="s">
        <v>194</v>
      </c>
      <c r="F119" s="34" t="s">
        <v>350</v>
      </c>
      <c r="G119" s="34" t="s">
        <v>28</v>
      </c>
      <c r="H119" s="36" t="s">
        <v>351</v>
      </c>
      <c r="I119" s="12" t="s">
        <v>118</v>
      </c>
      <c r="J119" s="12" t="s">
        <v>28</v>
      </c>
      <c r="K119" s="12" t="s">
        <v>28</v>
      </c>
      <c r="L119" s="12" t="s">
        <v>38</v>
      </c>
      <c r="M119" s="12" t="s">
        <v>38</v>
      </c>
      <c r="N119" s="9">
        <v>0</v>
      </c>
      <c r="O119" s="12" t="s">
        <v>28</v>
      </c>
      <c r="P119" s="35">
        <v>0</v>
      </c>
      <c r="Q119" s="12" t="s">
        <v>28</v>
      </c>
      <c r="R119" s="35">
        <v>0</v>
      </c>
      <c r="S119" s="10" t="s">
        <v>28</v>
      </c>
      <c r="T119" s="37">
        <v>0</v>
      </c>
      <c r="U119" s="10" t="s">
        <v>28</v>
      </c>
      <c r="V119" s="11" t="s">
        <v>68</v>
      </c>
      <c r="W119" s="15" t="s">
        <v>68</v>
      </c>
      <c r="X119" s="21" t="s">
        <v>887</v>
      </c>
      <c r="Y119" s="67" t="s">
        <v>68</v>
      </c>
      <c r="Z119" s="33" t="s">
        <v>887</v>
      </c>
    </row>
    <row r="120" spans="1:26">
      <c r="A120" s="31">
        <v>119</v>
      </c>
      <c r="B120" s="8" t="s">
        <v>25</v>
      </c>
      <c r="C120" s="8" t="s">
        <v>26</v>
      </c>
      <c r="D120" s="12" t="s">
        <v>32</v>
      </c>
      <c r="E120" s="12" t="s">
        <v>194</v>
      </c>
      <c r="F120" s="34" t="s">
        <v>352</v>
      </c>
      <c r="G120" s="34" t="s">
        <v>353</v>
      </c>
      <c r="H120" s="36" t="s">
        <v>354</v>
      </c>
      <c r="I120" s="12" t="s">
        <v>37</v>
      </c>
      <c r="J120" s="12" t="s">
        <v>38</v>
      </c>
      <c r="K120" s="12" t="s">
        <v>28</v>
      </c>
      <c r="L120" s="12" t="s">
        <v>28</v>
      </c>
      <c r="M120" s="12" t="s">
        <v>38</v>
      </c>
      <c r="N120" s="9">
        <v>0</v>
      </c>
      <c r="O120" s="12" t="s">
        <v>28</v>
      </c>
      <c r="P120" s="35">
        <v>0</v>
      </c>
      <c r="Q120" s="12" t="s">
        <v>28</v>
      </c>
      <c r="R120" s="35">
        <v>0</v>
      </c>
      <c r="S120" s="10" t="s">
        <v>28</v>
      </c>
      <c r="T120" s="9">
        <v>11814000000</v>
      </c>
      <c r="U120" s="10">
        <v>45545</v>
      </c>
      <c r="V120" s="34" t="s">
        <v>205</v>
      </c>
      <c r="W120" s="15" t="s">
        <v>884</v>
      </c>
      <c r="X120" s="21" t="s">
        <v>887</v>
      </c>
      <c r="Y120" s="67" t="s">
        <v>68</v>
      </c>
      <c r="Z120" s="33" t="s">
        <v>887</v>
      </c>
    </row>
    <row r="121" spans="1:26">
      <c r="A121" s="31">
        <v>120</v>
      </c>
      <c r="B121" s="8" t="s">
        <v>25</v>
      </c>
      <c r="C121" s="8" t="s">
        <v>26</v>
      </c>
      <c r="D121" s="12" t="s">
        <v>32</v>
      </c>
      <c r="E121" s="12" t="s">
        <v>194</v>
      </c>
      <c r="F121" s="34" t="s">
        <v>355</v>
      </c>
      <c r="G121" s="34" t="s">
        <v>356</v>
      </c>
      <c r="H121" s="36" t="s">
        <v>357</v>
      </c>
      <c r="I121" s="12" t="s">
        <v>53</v>
      </c>
      <c r="J121" s="12" t="s">
        <v>38</v>
      </c>
      <c r="K121" s="12" t="s">
        <v>28</v>
      </c>
      <c r="L121" s="12" t="s">
        <v>28</v>
      </c>
      <c r="M121" s="12" t="s">
        <v>38</v>
      </c>
      <c r="N121" s="9">
        <v>0</v>
      </c>
      <c r="O121" s="12" t="s">
        <v>28</v>
      </c>
      <c r="P121" s="35">
        <v>0</v>
      </c>
      <c r="Q121" s="12" t="s">
        <v>28</v>
      </c>
      <c r="R121" s="9">
        <v>5411000000</v>
      </c>
      <c r="S121" s="10">
        <v>45154</v>
      </c>
      <c r="T121" s="37">
        <v>0</v>
      </c>
      <c r="U121" s="10" t="s">
        <v>28</v>
      </c>
      <c r="V121" s="34" t="s">
        <v>65</v>
      </c>
      <c r="W121" s="15" t="s">
        <v>880</v>
      </c>
      <c r="X121" s="21" t="s">
        <v>887</v>
      </c>
      <c r="Y121" s="67" t="s">
        <v>68</v>
      </c>
      <c r="Z121" s="33" t="s">
        <v>887</v>
      </c>
    </row>
    <row r="122" spans="1:26">
      <c r="A122" s="31">
        <v>121</v>
      </c>
      <c r="B122" s="8" t="s">
        <v>25</v>
      </c>
      <c r="C122" s="8" t="s">
        <v>26</v>
      </c>
      <c r="D122" s="12" t="s">
        <v>32</v>
      </c>
      <c r="E122" s="12" t="s">
        <v>194</v>
      </c>
      <c r="F122" s="34" t="s">
        <v>358</v>
      </c>
      <c r="G122" s="34" t="s">
        <v>359</v>
      </c>
      <c r="H122" s="36" t="s">
        <v>360</v>
      </c>
      <c r="I122" s="12" t="s">
        <v>37</v>
      </c>
      <c r="J122" s="12" t="s">
        <v>38</v>
      </c>
      <c r="K122" s="12" t="s">
        <v>28</v>
      </c>
      <c r="L122" s="12" t="s">
        <v>28</v>
      </c>
      <c r="M122" s="12" t="s">
        <v>38</v>
      </c>
      <c r="N122" s="9">
        <v>0</v>
      </c>
      <c r="O122" s="12" t="s">
        <v>28</v>
      </c>
      <c r="P122" s="35">
        <v>0</v>
      </c>
      <c r="Q122" s="12" t="s">
        <v>28</v>
      </c>
      <c r="R122" s="35">
        <v>0</v>
      </c>
      <c r="S122" s="10" t="s">
        <v>28</v>
      </c>
      <c r="T122" s="9">
        <v>8072000000</v>
      </c>
      <c r="U122" s="10">
        <v>45440</v>
      </c>
      <c r="V122" s="34" t="s">
        <v>65</v>
      </c>
      <c r="W122" s="15" t="s">
        <v>880</v>
      </c>
      <c r="X122" s="21" t="s">
        <v>887</v>
      </c>
      <c r="Y122" s="67" t="s">
        <v>897</v>
      </c>
      <c r="Z122" s="33" t="s">
        <v>887</v>
      </c>
    </row>
    <row r="123" spans="1:26">
      <c r="A123" s="31">
        <v>122</v>
      </c>
      <c r="B123" s="8" t="s">
        <v>25</v>
      </c>
      <c r="C123" s="8" t="s">
        <v>26</v>
      </c>
      <c r="D123" s="12" t="s">
        <v>32</v>
      </c>
      <c r="E123" s="12" t="s">
        <v>194</v>
      </c>
      <c r="F123" s="34" t="s">
        <v>361</v>
      </c>
      <c r="G123" s="34" t="s">
        <v>362</v>
      </c>
      <c r="H123" s="36" t="s">
        <v>363</v>
      </c>
      <c r="I123" s="12" t="s">
        <v>37</v>
      </c>
      <c r="J123" s="12" t="s">
        <v>38</v>
      </c>
      <c r="K123" s="12" t="s">
        <v>28</v>
      </c>
      <c r="L123" s="12" t="s">
        <v>28</v>
      </c>
      <c r="M123" s="12" t="s">
        <v>38</v>
      </c>
      <c r="N123" s="9">
        <v>0</v>
      </c>
      <c r="O123" s="12" t="s">
        <v>28</v>
      </c>
      <c r="P123" s="35">
        <v>0</v>
      </c>
      <c r="Q123" s="12" t="s">
        <v>28</v>
      </c>
      <c r="R123" s="35">
        <v>3685000000.0000005</v>
      </c>
      <c r="S123" s="10">
        <v>42481</v>
      </c>
      <c r="T123" s="37">
        <v>0</v>
      </c>
      <c r="U123" s="10" t="s">
        <v>28</v>
      </c>
      <c r="V123" s="34" t="s">
        <v>65</v>
      </c>
      <c r="W123" s="15" t="s">
        <v>880</v>
      </c>
      <c r="X123" s="21" t="s">
        <v>887</v>
      </c>
      <c r="Y123" s="67" t="s">
        <v>68</v>
      </c>
      <c r="Z123" s="33" t="s">
        <v>887</v>
      </c>
    </row>
    <row r="124" spans="1:26">
      <c r="A124" s="31">
        <v>123</v>
      </c>
      <c r="B124" s="8" t="s">
        <v>25</v>
      </c>
      <c r="C124" s="8" t="s">
        <v>26</v>
      </c>
      <c r="D124" s="12" t="s">
        <v>32</v>
      </c>
      <c r="E124" s="12" t="s">
        <v>194</v>
      </c>
      <c r="F124" s="34" t="s">
        <v>364</v>
      </c>
      <c r="G124" s="34" t="s">
        <v>365</v>
      </c>
      <c r="H124" s="36" t="s">
        <v>366</v>
      </c>
      <c r="I124" s="12" t="s">
        <v>37</v>
      </c>
      <c r="J124" s="12" t="s">
        <v>38</v>
      </c>
      <c r="K124" s="12" t="s">
        <v>28</v>
      </c>
      <c r="L124" s="12" t="s">
        <v>28</v>
      </c>
      <c r="M124" s="12" t="s">
        <v>38</v>
      </c>
      <c r="N124" s="9">
        <v>0</v>
      </c>
      <c r="O124" s="12" t="s">
        <v>28</v>
      </c>
      <c r="P124" s="35">
        <v>0</v>
      </c>
      <c r="Q124" s="12" t="s">
        <v>28</v>
      </c>
      <c r="R124" s="9">
        <v>5545000000</v>
      </c>
      <c r="S124" s="10">
        <v>42279</v>
      </c>
      <c r="T124" s="9">
        <v>7307000000</v>
      </c>
      <c r="U124" s="10">
        <v>45462</v>
      </c>
      <c r="V124" s="34" t="s">
        <v>65</v>
      </c>
      <c r="W124" s="15" t="s">
        <v>880</v>
      </c>
      <c r="X124" s="21" t="s">
        <v>887</v>
      </c>
      <c r="Y124" s="67" t="s">
        <v>895</v>
      </c>
      <c r="Z124" s="33" t="s">
        <v>887</v>
      </c>
    </row>
    <row r="125" spans="1:26">
      <c r="A125" s="31">
        <v>124</v>
      </c>
      <c r="B125" s="8" t="s">
        <v>25</v>
      </c>
      <c r="C125" s="8" t="s">
        <v>26</v>
      </c>
      <c r="D125" s="12" t="s">
        <v>32</v>
      </c>
      <c r="E125" s="12" t="s">
        <v>194</v>
      </c>
      <c r="F125" s="34" t="s">
        <v>367</v>
      </c>
      <c r="G125" s="34" t="s">
        <v>368</v>
      </c>
      <c r="H125" s="36" t="s">
        <v>369</v>
      </c>
      <c r="I125" s="12" t="s">
        <v>37</v>
      </c>
      <c r="J125" s="12" t="s">
        <v>38</v>
      </c>
      <c r="K125" s="12" t="s">
        <v>28</v>
      </c>
      <c r="L125" s="12" t="s">
        <v>28</v>
      </c>
      <c r="M125" s="12" t="s">
        <v>38</v>
      </c>
      <c r="N125" s="9">
        <v>0</v>
      </c>
      <c r="O125" s="12" t="s">
        <v>28</v>
      </c>
      <c r="P125" s="35">
        <v>0</v>
      </c>
      <c r="Q125" s="12" t="s">
        <v>28</v>
      </c>
      <c r="R125" s="35">
        <v>2479999992.8000002</v>
      </c>
      <c r="S125" s="10">
        <v>42716</v>
      </c>
      <c r="T125" s="37">
        <v>3251523999.9000001</v>
      </c>
      <c r="U125" s="10">
        <v>45450</v>
      </c>
      <c r="V125" s="34" t="s">
        <v>65</v>
      </c>
      <c r="W125" s="15" t="s">
        <v>880</v>
      </c>
      <c r="X125" s="21" t="s">
        <v>887</v>
      </c>
      <c r="Y125" s="67" t="s">
        <v>895</v>
      </c>
      <c r="Z125" s="33" t="s">
        <v>887</v>
      </c>
    </row>
    <row r="126" spans="1:26">
      <c r="A126" s="31">
        <v>125</v>
      </c>
      <c r="B126" s="8" t="s">
        <v>25</v>
      </c>
      <c r="C126" s="8" t="s">
        <v>26</v>
      </c>
      <c r="D126" s="12" t="s">
        <v>32</v>
      </c>
      <c r="E126" s="12" t="s">
        <v>194</v>
      </c>
      <c r="F126" s="34" t="s">
        <v>370</v>
      </c>
      <c r="G126" s="34" t="s">
        <v>371</v>
      </c>
      <c r="H126" s="36" t="s">
        <v>372</v>
      </c>
      <c r="I126" s="12" t="s">
        <v>37</v>
      </c>
      <c r="J126" s="12" t="s">
        <v>38</v>
      </c>
      <c r="K126" s="12" t="s">
        <v>28</v>
      </c>
      <c r="L126" s="12" t="s">
        <v>28</v>
      </c>
      <c r="M126" s="12" t="s">
        <v>38</v>
      </c>
      <c r="N126" s="9">
        <v>6588752170.000001</v>
      </c>
      <c r="O126" s="10">
        <v>40274</v>
      </c>
      <c r="P126" s="35">
        <v>0</v>
      </c>
      <c r="Q126" s="12" t="s">
        <v>28</v>
      </c>
      <c r="R126" s="9">
        <v>11300000000</v>
      </c>
      <c r="S126" s="10">
        <v>42702</v>
      </c>
      <c r="T126" s="37">
        <v>0</v>
      </c>
      <c r="U126" s="10" t="s">
        <v>28</v>
      </c>
      <c r="V126" s="34" t="s">
        <v>65</v>
      </c>
      <c r="W126" s="15" t="s">
        <v>880</v>
      </c>
      <c r="X126" s="21" t="s">
        <v>887</v>
      </c>
      <c r="Y126" s="67" t="s">
        <v>68</v>
      </c>
      <c r="Z126" s="33" t="s">
        <v>887</v>
      </c>
    </row>
    <row r="127" spans="1:26">
      <c r="A127" s="31">
        <v>126</v>
      </c>
      <c r="B127" s="8" t="s">
        <v>25</v>
      </c>
      <c r="C127" s="8" t="s">
        <v>26</v>
      </c>
      <c r="D127" s="12" t="s">
        <v>32</v>
      </c>
      <c r="E127" s="12" t="s">
        <v>194</v>
      </c>
      <c r="F127" s="34" t="s">
        <v>373</v>
      </c>
      <c r="G127" s="34" t="s">
        <v>374</v>
      </c>
      <c r="H127" s="36" t="s">
        <v>375</v>
      </c>
      <c r="I127" s="12" t="s">
        <v>125</v>
      </c>
      <c r="J127" s="12" t="s">
        <v>38</v>
      </c>
      <c r="K127" s="12" t="s">
        <v>28</v>
      </c>
      <c r="L127" s="12" t="s">
        <v>28</v>
      </c>
      <c r="M127" s="12" t="s">
        <v>38</v>
      </c>
      <c r="N127" s="9">
        <v>0</v>
      </c>
      <c r="O127" s="12" t="s">
        <v>28</v>
      </c>
      <c r="P127" s="35">
        <v>0</v>
      </c>
      <c r="Q127" s="12" t="s">
        <v>28</v>
      </c>
      <c r="R127" s="35">
        <v>0</v>
      </c>
      <c r="S127" s="10" t="s">
        <v>28</v>
      </c>
      <c r="T127" s="9">
        <v>6223000000</v>
      </c>
      <c r="U127" s="10">
        <v>45497</v>
      </c>
      <c r="V127" s="34" t="s">
        <v>65</v>
      </c>
      <c r="W127" s="15" t="s">
        <v>880</v>
      </c>
      <c r="X127" s="21" t="s">
        <v>887</v>
      </c>
      <c r="Y127" s="67" t="s">
        <v>68</v>
      </c>
      <c r="Z127" s="33" t="s">
        <v>887</v>
      </c>
    </row>
    <row r="128" spans="1:26">
      <c r="A128" s="31">
        <v>127</v>
      </c>
      <c r="B128" s="8" t="s">
        <v>25</v>
      </c>
      <c r="C128" s="8" t="s">
        <v>26</v>
      </c>
      <c r="D128" s="12" t="s">
        <v>32</v>
      </c>
      <c r="E128" s="12" t="s">
        <v>194</v>
      </c>
      <c r="F128" s="34" t="s">
        <v>376</v>
      </c>
      <c r="G128" s="34" t="s">
        <v>377</v>
      </c>
      <c r="H128" s="36" t="s">
        <v>378</v>
      </c>
      <c r="I128" s="12" t="s">
        <v>125</v>
      </c>
      <c r="J128" s="12" t="s">
        <v>38</v>
      </c>
      <c r="K128" s="12" t="s">
        <v>28</v>
      </c>
      <c r="L128" s="12" t="s">
        <v>28</v>
      </c>
      <c r="M128" s="12" t="s">
        <v>38</v>
      </c>
      <c r="N128" s="9">
        <v>0</v>
      </c>
      <c r="O128" s="12" t="s">
        <v>28</v>
      </c>
      <c r="P128" s="35">
        <v>0</v>
      </c>
      <c r="Q128" s="12" t="s">
        <v>28</v>
      </c>
      <c r="R128" s="35">
        <v>0</v>
      </c>
      <c r="S128" s="10" t="s">
        <v>28</v>
      </c>
      <c r="T128" s="37">
        <v>4752000000</v>
      </c>
      <c r="U128" s="10">
        <v>45362</v>
      </c>
      <c r="V128" s="34" t="s">
        <v>65</v>
      </c>
      <c r="W128" s="15" t="s">
        <v>880</v>
      </c>
      <c r="X128" s="21" t="s">
        <v>887</v>
      </c>
      <c r="Y128" s="67" t="s">
        <v>68</v>
      </c>
      <c r="Z128" s="33" t="s">
        <v>887</v>
      </c>
    </row>
    <row r="129" spans="1:26">
      <c r="A129" s="31">
        <v>128</v>
      </c>
      <c r="B129" s="8" t="s">
        <v>25</v>
      </c>
      <c r="C129" s="8" t="s">
        <v>26</v>
      </c>
      <c r="D129" s="12" t="s">
        <v>32</v>
      </c>
      <c r="E129" s="12" t="s">
        <v>194</v>
      </c>
      <c r="F129" s="34" t="s">
        <v>379</v>
      </c>
      <c r="G129" s="34" t="s">
        <v>380</v>
      </c>
      <c r="H129" s="36" t="s">
        <v>381</v>
      </c>
      <c r="I129" s="12" t="s">
        <v>125</v>
      </c>
      <c r="J129" s="12" t="s">
        <v>38</v>
      </c>
      <c r="K129" s="12" t="s">
        <v>28</v>
      </c>
      <c r="L129" s="12" t="s">
        <v>28</v>
      </c>
      <c r="M129" s="12" t="s">
        <v>38</v>
      </c>
      <c r="N129" s="9">
        <v>0</v>
      </c>
      <c r="O129" s="12" t="s">
        <v>28</v>
      </c>
      <c r="P129" s="35">
        <v>0</v>
      </c>
      <c r="Q129" s="12" t="s">
        <v>28</v>
      </c>
      <c r="R129" s="35">
        <v>2985000000.4000001</v>
      </c>
      <c r="S129" s="10">
        <v>43223</v>
      </c>
      <c r="T129" s="37">
        <v>3974000000.3000002</v>
      </c>
      <c r="U129" s="10">
        <v>45282</v>
      </c>
      <c r="V129" s="34" t="s">
        <v>65</v>
      </c>
      <c r="W129" s="15" t="s">
        <v>880</v>
      </c>
      <c r="X129" s="21" t="s">
        <v>887</v>
      </c>
      <c r="Y129" s="67" t="s">
        <v>68</v>
      </c>
      <c r="Z129" s="33" t="s">
        <v>887</v>
      </c>
    </row>
    <row r="130" spans="1:26">
      <c r="A130" s="31">
        <v>129</v>
      </c>
      <c r="B130" s="8" t="s">
        <v>25</v>
      </c>
      <c r="C130" s="8" t="s">
        <v>26</v>
      </c>
      <c r="D130" s="12" t="s">
        <v>32</v>
      </c>
      <c r="E130" s="12" t="s">
        <v>194</v>
      </c>
      <c r="F130" s="34" t="s">
        <v>382</v>
      </c>
      <c r="G130" s="34" t="s">
        <v>383</v>
      </c>
      <c r="H130" s="36" t="s">
        <v>384</v>
      </c>
      <c r="I130" s="12" t="s">
        <v>118</v>
      </c>
      <c r="J130" s="12" t="s">
        <v>38</v>
      </c>
      <c r="K130" s="12" t="s">
        <v>28</v>
      </c>
      <c r="L130" s="12" t="s">
        <v>28</v>
      </c>
      <c r="M130" s="12" t="s">
        <v>38</v>
      </c>
      <c r="N130" s="9">
        <v>0</v>
      </c>
      <c r="O130" s="12" t="s">
        <v>28</v>
      </c>
      <c r="P130" s="35">
        <v>3503133315</v>
      </c>
      <c r="Q130" s="38">
        <v>41368</v>
      </c>
      <c r="R130" s="35">
        <v>0</v>
      </c>
      <c r="S130" s="10" t="s">
        <v>28</v>
      </c>
      <c r="T130" s="37">
        <v>0</v>
      </c>
      <c r="U130" s="10" t="s">
        <v>28</v>
      </c>
      <c r="V130" s="34" t="s">
        <v>65</v>
      </c>
      <c r="W130" s="15" t="s">
        <v>880</v>
      </c>
      <c r="X130" s="21" t="s">
        <v>887</v>
      </c>
      <c r="Y130" s="67" t="s">
        <v>68</v>
      </c>
      <c r="Z130" s="33" t="s">
        <v>887</v>
      </c>
    </row>
    <row r="131" spans="1:26">
      <c r="A131" s="31">
        <v>130</v>
      </c>
      <c r="B131" s="8" t="s">
        <v>25</v>
      </c>
      <c r="C131" s="8" t="s">
        <v>26</v>
      </c>
      <c r="D131" s="12" t="s">
        <v>32</v>
      </c>
      <c r="E131" s="12" t="s">
        <v>194</v>
      </c>
      <c r="F131" s="34" t="s">
        <v>385</v>
      </c>
      <c r="G131" s="34" t="s">
        <v>386</v>
      </c>
      <c r="H131" s="36" t="s">
        <v>387</v>
      </c>
      <c r="I131" s="12" t="s">
        <v>125</v>
      </c>
      <c r="J131" s="12" t="s">
        <v>38</v>
      </c>
      <c r="K131" s="12" t="s">
        <v>28</v>
      </c>
      <c r="L131" s="12" t="s">
        <v>28</v>
      </c>
      <c r="M131" s="12" t="s">
        <v>38</v>
      </c>
      <c r="N131" s="9">
        <v>0</v>
      </c>
      <c r="O131" s="12" t="s">
        <v>28</v>
      </c>
      <c r="P131" s="35">
        <v>0</v>
      </c>
      <c r="Q131" s="12" t="s">
        <v>28</v>
      </c>
      <c r="R131" s="35">
        <v>289300000</v>
      </c>
      <c r="S131" s="10">
        <v>42345</v>
      </c>
      <c r="T131" s="37">
        <v>426360000.00000006</v>
      </c>
      <c r="U131" s="10">
        <v>45405</v>
      </c>
      <c r="V131" s="34" t="s">
        <v>65</v>
      </c>
      <c r="W131" s="15" t="s">
        <v>880</v>
      </c>
      <c r="X131" s="21" t="s">
        <v>887</v>
      </c>
      <c r="Y131" s="67" t="s">
        <v>68</v>
      </c>
      <c r="Z131" s="33" t="s">
        <v>887</v>
      </c>
    </row>
    <row r="132" spans="1:26">
      <c r="A132" s="31">
        <v>131</v>
      </c>
      <c r="B132" s="8" t="s">
        <v>25</v>
      </c>
      <c r="C132" s="8" t="s">
        <v>26</v>
      </c>
      <c r="D132" s="12" t="s">
        <v>32</v>
      </c>
      <c r="E132" s="12" t="s">
        <v>194</v>
      </c>
      <c r="F132" s="34" t="s">
        <v>388</v>
      </c>
      <c r="G132" s="34" t="s">
        <v>389</v>
      </c>
      <c r="H132" s="36" t="s">
        <v>390</v>
      </c>
      <c r="I132" s="12" t="s">
        <v>118</v>
      </c>
      <c r="J132" s="12" t="s">
        <v>38</v>
      </c>
      <c r="K132" s="12" t="s">
        <v>28</v>
      </c>
      <c r="L132" s="12" t="s">
        <v>28</v>
      </c>
      <c r="M132" s="12" t="s">
        <v>38</v>
      </c>
      <c r="N132" s="9">
        <v>0</v>
      </c>
      <c r="O132" s="12" t="s">
        <v>28</v>
      </c>
      <c r="P132" s="35">
        <v>2214375600</v>
      </c>
      <c r="Q132" s="38">
        <v>41235</v>
      </c>
      <c r="R132" s="35">
        <v>0</v>
      </c>
      <c r="S132" s="10" t="s">
        <v>28</v>
      </c>
      <c r="T132" s="37">
        <v>0</v>
      </c>
      <c r="U132" s="10" t="s">
        <v>28</v>
      </c>
      <c r="V132" s="34" t="s">
        <v>65</v>
      </c>
      <c r="W132" s="15" t="s">
        <v>880</v>
      </c>
      <c r="X132" s="21" t="s">
        <v>887</v>
      </c>
      <c r="Y132" s="67" t="s">
        <v>68</v>
      </c>
      <c r="Z132" s="33" t="s">
        <v>887</v>
      </c>
    </row>
    <row r="133" spans="1:26">
      <c r="A133" s="31">
        <v>132</v>
      </c>
      <c r="B133" s="8" t="s">
        <v>25</v>
      </c>
      <c r="C133" s="8" t="s">
        <v>26</v>
      </c>
      <c r="D133" s="12" t="s">
        <v>32</v>
      </c>
      <c r="E133" s="12" t="s">
        <v>194</v>
      </c>
      <c r="F133" s="34" t="s">
        <v>391</v>
      </c>
      <c r="G133" s="34" t="s">
        <v>392</v>
      </c>
      <c r="H133" s="36" t="s">
        <v>393</v>
      </c>
      <c r="I133" s="12" t="s">
        <v>53</v>
      </c>
      <c r="J133" s="12" t="s">
        <v>38</v>
      </c>
      <c r="K133" s="12" t="s">
        <v>28</v>
      </c>
      <c r="L133" s="12" t="s">
        <v>28</v>
      </c>
      <c r="M133" s="12" t="s">
        <v>38</v>
      </c>
      <c r="N133" s="9">
        <v>0</v>
      </c>
      <c r="O133" s="12" t="s">
        <v>28</v>
      </c>
      <c r="P133" s="35">
        <v>0</v>
      </c>
      <c r="Q133" s="12" t="s">
        <v>28</v>
      </c>
      <c r="R133" s="35">
        <v>0</v>
      </c>
      <c r="S133" s="10" t="s">
        <v>28</v>
      </c>
      <c r="T133" s="37">
        <v>0</v>
      </c>
      <c r="U133" s="10" t="s">
        <v>28</v>
      </c>
      <c r="V133" s="34" t="s">
        <v>68</v>
      </c>
      <c r="W133" s="15" t="s">
        <v>68</v>
      </c>
      <c r="X133" s="21" t="s">
        <v>887</v>
      </c>
      <c r="Y133" s="67" t="s">
        <v>68</v>
      </c>
      <c r="Z133" s="33" t="s">
        <v>887</v>
      </c>
    </row>
    <row r="134" spans="1:26">
      <c r="A134" s="31">
        <v>133</v>
      </c>
      <c r="B134" s="8" t="s">
        <v>25</v>
      </c>
      <c r="C134" s="8" t="s">
        <v>26</v>
      </c>
      <c r="D134" s="12" t="s">
        <v>32</v>
      </c>
      <c r="E134" s="12" t="s">
        <v>194</v>
      </c>
      <c r="F134" s="34" t="s">
        <v>394</v>
      </c>
      <c r="G134" s="34" t="s">
        <v>395</v>
      </c>
      <c r="H134" s="36" t="s">
        <v>396</v>
      </c>
      <c r="I134" s="12" t="s">
        <v>37</v>
      </c>
      <c r="J134" s="12" t="s">
        <v>38</v>
      </c>
      <c r="K134" s="12" t="s">
        <v>28</v>
      </c>
      <c r="L134" s="12" t="s">
        <v>28</v>
      </c>
      <c r="M134" s="12" t="s">
        <v>38</v>
      </c>
      <c r="N134" s="9">
        <v>0</v>
      </c>
      <c r="O134" s="12" t="s">
        <v>28</v>
      </c>
      <c r="P134" s="35">
        <v>0</v>
      </c>
      <c r="Q134" s="12" t="s">
        <v>28</v>
      </c>
      <c r="R134" s="35">
        <v>1270935600</v>
      </c>
      <c r="S134" s="10">
        <v>42794</v>
      </c>
      <c r="T134" s="37">
        <v>1407846000</v>
      </c>
      <c r="U134" s="10">
        <v>45615</v>
      </c>
      <c r="V134" s="34" t="s">
        <v>65</v>
      </c>
      <c r="W134" s="15" t="s">
        <v>880</v>
      </c>
      <c r="X134" s="21" t="s">
        <v>887</v>
      </c>
      <c r="Y134" s="67" t="s">
        <v>68</v>
      </c>
      <c r="Z134" s="33" t="s">
        <v>887</v>
      </c>
    </row>
    <row r="135" spans="1:26">
      <c r="A135" s="31">
        <v>134</v>
      </c>
      <c r="B135" s="8" t="s">
        <v>25</v>
      </c>
      <c r="C135" s="8" t="s">
        <v>26</v>
      </c>
      <c r="D135" s="12" t="s">
        <v>32</v>
      </c>
      <c r="E135" s="12" t="s">
        <v>194</v>
      </c>
      <c r="F135" s="34" t="s">
        <v>397</v>
      </c>
      <c r="G135" s="34" t="s">
        <v>398</v>
      </c>
      <c r="H135" s="36" t="s">
        <v>399</v>
      </c>
      <c r="I135" s="12" t="s">
        <v>53</v>
      </c>
      <c r="J135" s="12" t="s">
        <v>38</v>
      </c>
      <c r="K135" s="12" t="s">
        <v>28</v>
      </c>
      <c r="L135" s="12" t="s">
        <v>28</v>
      </c>
      <c r="M135" s="12" t="s">
        <v>38</v>
      </c>
      <c r="N135" s="9">
        <v>0</v>
      </c>
      <c r="O135" s="12" t="s">
        <v>28</v>
      </c>
      <c r="P135" s="35">
        <v>0</v>
      </c>
      <c r="Q135" s="12" t="s">
        <v>28</v>
      </c>
      <c r="R135" s="35">
        <v>0</v>
      </c>
      <c r="S135" s="10" t="s">
        <v>28</v>
      </c>
      <c r="T135" s="37">
        <v>0</v>
      </c>
      <c r="U135" s="10" t="s">
        <v>28</v>
      </c>
      <c r="V135" s="34" t="s">
        <v>68</v>
      </c>
      <c r="W135" s="15" t="s">
        <v>68</v>
      </c>
      <c r="X135" s="21" t="s">
        <v>887</v>
      </c>
      <c r="Y135" s="67" t="s">
        <v>68</v>
      </c>
      <c r="Z135" s="33" t="s">
        <v>887</v>
      </c>
    </row>
    <row r="136" spans="1:26">
      <c r="A136" s="31">
        <v>135</v>
      </c>
      <c r="B136" s="8" t="s">
        <v>25</v>
      </c>
      <c r="C136" s="8" t="s">
        <v>26</v>
      </c>
      <c r="D136" s="12" t="s">
        <v>32</v>
      </c>
      <c r="E136" s="12" t="s">
        <v>194</v>
      </c>
      <c r="F136" s="34" t="s">
        <v>400</v>
      </c>
      <c r="G136" s="34" t="s">
        <v>401</v>
      </c>
      <c r="H136" s="36" t="s">
        <v>402</v>
      </c>
      <c r="I136" s="12" t="s">
        <v>118</v>
      </c>
      <c r="J136" s="12" t="s">
        <v>38</v>
      </c>
      <c r="K136" s="12" t="s">
        <v>28</v>
      </c>
      <c r="L136" s="12" t="s">
        <v>28</v>
      </c>
      <c r="M136" s="12" t="s">
        <v>38</v>
      </c>
      <c r="N136" s="9">
        <v>0</v>
      </c>
      <c r="O136" s="12" t="s">
        <v>28</v>
      </c>
      <c r="P136" s="35">
        <v>0</v>
      </c>
      <c r="Q136" s="12" t="s">
        <v>28</v>
      </c>
      <c r="R136" s="35">
        <v>968000000.00000012</v>
      </c>
      <c r="S136" s="10">
        <v>42387</v>
      </c>
      <c r="T136" s="37">
        <v>2063930000.0000002</v>
      </c>
      <c r="U136" s="10">
        <v>45447</v>
      </c>
      <c r="V136" s="34" t="s">
        <v>65</v>
      </c>
      <c r="W136" s="15" t="s">
        <v>880</v>
      </c>
      <c r="X136" s="21" t="s">
        <v>887</v>
      </c>
      <c r="Y136" s="67" t="s">
        <v>68</v>
      </c>
      <c r="Z136" s="33" t="s">
        <v>887</v>
      </c>
    </row>
    <row r="137" spans="1:26">
      <c r="A137" s="31">
        <v>136</v>
      </c>
      <c r="B137" s="8" t="s">
        <v>25</v>
      </c>
      <c r="C137" s="8" t="s">
        <v>26</v>
      </c>
      <c r="D137" s="12" t="s">
        <v>32</v>
      </c>
      <c r="E137" s="12" t="s">
        <v>194</v>
      </c>
      <c r="F137" s="34" t="s">
        <v>403</v>
      </c>
      <c r="G137" s="34" t="s">
        <v>404</v>
      </c>
      <c r="H137" s="36" t="s">
        <v>405</v>
      </c>
      <c r="I137" s="12" t="s">
        <v>53</v>
      </c>
      <c r="J137" s="12" t="s">
        <v>38</v>
      </c>
      <c r="K137" s="12" t="s">
        <v>28</v>
      </c>
      <c r="L137" s="12" t="s">
        <v>28</v>
      </c>
      <c r="M137" s="12" t="s">
        <v>38</v>
      </c>
      <c r="N137" s="9">
        <v>0</v>
      </c>
      <c r="O137" s="12" t="s">
        <v>28</v>
      </c>
      <c r="P137" s="35">
        <v>0</v>
      </c>
      <c r="Q137" s="12" t="s">
        <v>28</v>
      </c>
      <c r="R137" s="35">
        <v>1038000000.4000001</v>
      </c>
      <c r="S137" s="10">
        <v>44266</v>
      </c>
      <c r="T137" s="37">
        <v>0</v>
      </c>
      <c r="U137" s="10" t="s">
        <v>28</v>
      </c>
      <c r="V137" s="34" t="s">
        <v>65</v>
      </c>
      <c r="W137" s="15" t="s">
        <v>880</v>
      </c>
      <c r="X137" s="21" t="s">
        <v>887</v>
      </c>
      <c r="Y137" s="67" t="s">
        <v>68</v>
      </c>
      <c r="Z137" s="33" t="s">
        <v>887</v>
      </c>
    </row>
    <row r="138" spans="1:26">
      <c r="A138" s="31">
        <v>137</v>
      </c>
      <c r="B138" s="8" t="s">
        <v>25</v>
      </c>
      <c r="C138" s="8" t="s">
        <v>26</v>
      </c>
      <c r="D138" s="12" t="s">
        <v>32</v>
      </c>
      <c r="E138" s="12" t="s">
        <v>194</v>
      </c>
      <c r="F138" s="34" t="s">
        <v>406</v>
      </c>
      <c r="G138" s="34" t="s">
        <v>407</v>
      </c>
      <c r="H138" s="36" t="s">
        <v>408</v>
      </c>
      <c r="I138" s="12" t="s">
        <v>57</v>
      </c>
      <c r="J138" s="12" t="s">
        <v>38</v>
      </c>
      <c r="K138" s="12" t="s">
        <v>28</v>
      </c>
      <c r="L138" s="12" t="s">
        <v>28</v>
      </c>
      <c r="M138" s="12" t="s">
        <v>38</v>
      </c>
      <c r="N138" s="9">
        <v>0</v>
      </c>
      <c r="O138" s="12" t="s">
        <v>28</v>
      </c>
      <c r="P138" s="35">
        <v>0</v>
      </c>
      <c r="Q138" s="12" t="s">
        <v>28</v>
      </c>
      <c r="R138" s="35">
        <v>1082000000.4000001</v>
      </c>
      <c r="S138" s="10">
        <v>42845</v>
      </c>
      <c r="T138" s="37">
        <v>1544400000.0000002</v>
      </c>
      <c r="U138" s="10">
        <v>45358</v>
      </c>
      <c r="V138" s="34" t="s">
        <v>65</v>
      </c>
      <c r="W138" s="15" t="s">
        <v>880</v>
      </c>
      <c r="X138" s="21" t="s">
        <v>887</v>
      </c>
      <c r="Y138" s="67" t="s">
        <v>68</v>
      </c>
      <c r="Z138" s="33" t="s">
        <v>887</v>
      </c>
    </row>
    <row r="139" spans="1:26">
      <c r="A139" s="31">
        <v>138</v>
      </c>
      <c r="B139" s="8" t="s">
        <v>25</v>
      </c>
      <c r="C139" s="8" t="s">
        <v>26</v>
      </c>
      <c r="D139" s="12" t="s">
        <v>32</v>
      </c>
      <c r="E139" s="12" t="s">
        <v>194</v>
      </c>
      <c r="F139" s="34" t="s">
        <v>409</v>
      </c>
      <c r="G139" s="34" t="s">
        <v>410</v>
      </c>
      <c r="H139" s="36" t="s">
        <v>411</v>
      </c>
      <c r="I139" s="12" t="s">
        <v>57</v>
      </c>
      <c r="J139" s="12" t="s">
        <v>38</v>
      </c>
      <c r="K139" s="12" t="s">
        <v>28</v>
      </c>
      <c r="L139" s="12" t="s">
        <v>28</v>
      </c>
      <c r="M139" s="12" t="s">
        <v>38</v>
      </c>
      <c r="N139" s="9">
        <v>0</v>
      </c>
      <c r="O139" s="12" t="s">
        <v>28</v>
      </c>
      <c r="P139" s="35">
        <v>0</v>
      </c>
      <c r="Q139" s="12" t="s">
        <v>28</v>
      </c>
      <c r="R139" s="35">
        <v>2123000000.0000002</v>
      </c>
      <c r="S139" s="10">
        <v>42448</v>
      </c>
      <c r="T139" s="13" t="s">
        <v>412</v>
      </c>
      <c r="U139" s="40">
        <v>42448</v>
      </c>
      <c r="V139" s="34" t="s">
        <v>65</v>
      </c>
      <c r="W139" s="15" t="s">
        <v>880</v>
      </c>
      <c r="X139" s="21" t="s">
        <v>887</v>
      </c>
      <c r="Y139" s="67" t="s">
        <v>68</v>
      </c>
      <c r="Z139" s="33" t="s">
        <v>887</v>
      </c>
    </row>
    <row r="140" spans="1:26">
      <c r="A140" s="31">
        <v>139</v>
      </c>
      <c r="B140" s="8" t="s">
        <v>25</v>
      </c>
      <c r="C140" s="8" t="s">
        <v>26</v>
      </c>
      <c r="D140" s="12" t="s">
        <v>32</v>
      </c>
      <c r="E140" s="12" t="s">
        <v>194</v>
      </c>
      <c r="F140" s="34" t="s">
        <v>413</v>
      </c>
      <c r="G140" s="34" t="s">
        <v>414</v>
      </c>
      <c r="H140" s="36" t="s">
        <v>415</v>
      </c>
      <c r="I140" s="12" t="s">
        <v>191</v>
      </c>
      <c r="J140" s="12" t="s">
        <v>38</v>
      </c>
      <c r="K140" s="12" t="s">
        <v>28</v>
      </c>
      <c r="L140" s="12" t="s">
        <v>28</v>
      </c>
      <c r="M140" s="12" t="s">
        <v>38</v>
      </c>
      <c r="N140" s="9">
        <v>0</v>
      </c>
      <c r="O140" s="12" t="s">
        <v>28</v>
      </c>
      <c r="P140" s="9">
        <v>8180267429</v>
      </c>
      <c r="Q140" s="10">
        <v>40667</v>
      </c>
      <c r="R140" s="9">
        <v>19107000000</v>
      </c>
      <c r="S140" s="10">
        <v>43159</v>
      </c>
      <c r="T140" s="9">
        <v>32134000000</v>
      </c>
      <c r="U140" s="10">
        <v>45513</v>
      </c>
      <c r="V140" s="34" t="s">
        <v>65</v>
      </c>
      <c r="W140" s="15" t="s">
        <v>880</v>
      </c>
      <c r="X140" s="21" t="s">
        <v>887</v>
      </c>
      <c r="Y140" s="67" t="s">
        <v>68</v>
      </c>
      <c r="Z140" s="33" t="s">
        <v>887</v>
      </c>
    </row>
    <row r="141" spans="1:26">
      <c r="A141" s="31">
        <v>140</v>
      </c>
      <c r="B141" s="8" t="s">
        <v>25</v>
      </c>
      <c r="C141" s="8" t="s">
        <v>26</v>
      </c>
      <c r="D141" s="12" t="s">
        <v>32</v>
      </c>
      <c r="E141" s="12" t="s">
        <v>194</v>
      </c>
      <c r="F141" s="34" t="s">
        <v>416</v>
      </c>
      <c r="G141" s="34" t="s">
        <v>417</v>
      </c>
      <c r="H141" s="36" t="s">
        <v>418</v>
      </c>
      <c r="I141" s="12" t="s">
        <v>125</v>
      </c>
      <c r="J141" s="12" t="s">
        <v>38</v>
      </c>
      <c r="K141" s="12" t="s">
        <v>28</v>
      </c>
      <c r="L141" s="12" t="s">
        <v>28</v>
      </c>
      <c r="M141" s="12" t="s">
        <v>38</v>
      </c>
      <c r="N141" s="9">
        <v>0</v>
      </c>
      <c r="O141" s="12" t="s">
        <v>28</v>
      </c>
      <c r="P141" s="35">
        <v>598000000.4000001</v>
      </c>
      <c r="Q141" s="38">
        <v>42074</v>
      </c>
      <c r="R141" s="35">
        <v>198880264.00000003</v>
      </c>
      <c r="S141" s="10">
        <v>43621</v>
      </c>
      <c r="T141" s="37">
        <v>0</v>
      </c>
      <c r="U141" s="10" t="s">
        <v>28</v>
      </c>
      <c r="V141" s="34" t="s">
        <v>65</v>
      </c>
      <c r="W141" s="15" t="s">
        <v>880</v>
      </c>
      <c r="X141" s="21" t="s">
        <v>887</v>
      </c>
      <c r="Y141" s="67" t="s">
        <v>68</v>
      </c>
      <c r="Z141" s="33" t="s">
        <v>887</v>
      </c>
    </row>
    <row r="142" spans="1:26">
      <c r="A142" s="31">
        <v>141</v>
      </c>
      <c r="B142" s="8" t="s">
        <v>25</v>
      </c>
      <c r="C142" s="8" t="s">
        <v>26</v>
      </c>
      <c r="D142" s="12" t="s">
        <v>32</v>
      </c>
      <c r="E142" s="12" t="s">
        <v>194</v>
      </c>
      <c r="F142" s="34" t="s">
        <v>419</v>
      </c>
      <c r="G142" s="34" t="s">
        <v>420</v>
      </c>
      <c r="H142" s="36" t="s">
        <v>421</v>
      </c>
      <c r="I142" s="12" t="s">
        <v>125</v>
      </c>
      <c r="J142" s="12" t="s">
        <v>38</v>
      </c>
      <c r="K142" s="12" t="s">
        <v>28</v>
      </c>
      <c r="L142" s="12" t="s">
        <v>28</v>
      </c>
      <c r="M142" s="12" t="s">
        <v>38</v>
      </c>
      <c r="N142" s="9">
        <v>0</v>
      </c>
      <c r="O142" s="12" t="s">
        <v>28</v>
      </c>
      <c r="P142" s="35">
        <v>0</v>
      </c>
      <c r="Q142" s="12" t="s">
        <v>28</v>
      </c>
      <c r="R142" s="35">
        <v>434830000.00000006</v>
      </c>
      <c r="S142" s="10">
        <v>42544</v>
      </c>
      <c r="T142" s="37">
        <v>0</v>
      </c>
      <c r="U142" s="10" t="s">
        <v>28</v>
      </c>
      <c r="V142" s="34" t="s">
        <v>65</v>
      </c>
      <c r="W142" s="15" t="s">
        <v>880</v>
      </c>
      <c r="X142" s="21" t="s">
        <v>887</v>
      </c>
      <c r="Y142" s="67" t="s">
        <v>68</v>
      </c>
      <c r="Z142" s="33" t="s">
        <v>887</v>
      </c>
    </row>
    <row r="143" spans="1:26">
      <c r="A143" s="31">
        <v>142</v>
      </c>
      <c r="B143" s="8" t="s">
        <v>25</v>
      </c>
      <c r="C143" s="8" t="s">
        <v>26</v>
      </c>
      <c r="D143" s="12" t="s">
        <v>32</v>
      </c>
      <c r="E143" s="12" t="s">
        <v>194</v>
      </c>
      <c r="F143" s="34" t="s">
        <v>422</v>
      </c>
      <c r="G143" s="34" t="s">
        <v>423</v>
      </c>
      <c r="H143" s="36" t="s">
        <v>424</v>
      </c>
      <c r="I143" s="12" t="s">
        <v>43</v>
      </c>
      <c r="J143" s="12" t="s">
        <v>38</v>
      </c>
      <c r="K143" s="12" t="s">
        <v>28</v>
      </c>
      <c r="L143" s="12" t="s">
        <v>28</v>
      </c>
      <c r="M143" s="12" t="s">
        <v>38</v>
      </c>
      <c r="N143" s="9">
        <v>0</v>
      </c>
      <c r="O143" s="12" t="s">
        <v>28</v>
      </c>
      <c r="P143" s="35">
        <v>0</v>
      </c>
      <c r="Q143" s="12" t="s">
        <v>28</v>
      </c>
      <c r="R143" s="35">
        <v>1368400000</v>
      </c>
      <c r="S143" s="10">
        <v>42381</v>
      </c>
      <c r="T143" s="37">
        <v>0</v>
      </c>
      <c r="U143" s="10" t="s">
        <v>28</v>
      </c>
      <c r="V143" s="34" t="s">
        <v>65</v>
      </c>
      <c r="W143" s="15" t="s">
        <v>880</v>
      </c>
      <c r="X143" s="21" t="s">
        <v>887</v>
      </c>
      <c r="Y143" s="67" t="s">
        <v>68</v>
      </c>
      <c r="Z143" s="33" t="s">
        <v>887</v>
      </c>
    </row>
    <row r="144" spans="1:26">
      <c r="A144" s="31">
        <v>143</v>
      </c>
      <c r="B144" s="8" t="s">
        <v>25</v>
      </c>
      <c r="C144" s="8" t="s">
        <v>26</v>
      </c>
      <c r="D144" s="12" t="s">
        <v>32</v>
      </c>
      <c r="E144" s="12" t="s">
        <v>194</v>
      </c>
      <c r="F144" s="34" t="s">
        <v>425</v>
      </c>
      <c r="G144" s="34" t="s">
        <v>426</v>
      </c>
      <c r="H144" s="36" t="s">
        <v>427</v>
      </c>
      <c r="I144" s="12" t="s">
        <v>37</v>
      </c>
      <c r="J144" s="12" t="s">
        <v>38</v>
      </c>
      <c r="K144" s="12" t="s">
        <v>28</v>
      </c>
      <c r="L144" s="12" t="s">
        <v>28</v>
      </c>
      <c r="M144" s="12" t="s">
        <v>38</v>
      </c>
      <c r="N144" s="9">
        <v>0</v>
      </c>
      <c r="O144" s="12" t="s">
        <v>28</v>
      </c>
      <c r="P144" s="35">
        <v>0</v>
      </c>
      <c r="Q144" s="12" t="s">
        <v>28</v>
      </c>
      <c r="R144" s="35">
        <v>3465013200.0000005</v>
      </c>
      <c r="S144" s="10">
        <v>43293</v>
      </c>
      <c r="T144" s="37">
        <v>0</v>
      </c>
      <c r="U144" s="10" t="s">
        <v>28</v>
      </c>
      <c r="V144" s="34" t="s">
        <v>65</v>
      </c>
      <c r="W144" s="15" t="s">
        <v>882</v>
      </c>
      <c r="X144" s="21" t="s">
        <v>887</v>
      </c>
      <c r="Y144" s="67" t="s">
        <v>895</v>
      </c>
      <c r="Z144" s="33" t="s">
        <v>887</v>
      </c>
    </row>
    <row r="145" spans="1:26">
      <c r="A145" s="31">
        <v>144</v>
      </c>
      <c r="B145" s="8" t="s">
        <v>25</v>
      </c>
      <c r="C145" s="8" t="s">
        <v>26</v>
      </c>
      <c r="D145" s="12" t="s">
        <v>32</v>
      </c>
      <c r="E145" s="12" t="s">
        <v>428</v>
      </c>
      <c r="F145" s="34" t="s">
        <v>429</v>
      </c>
      <c r="G145" s="34" t="s">
        <v>430</v>
      </c>
      <c r="H145" s="36" t="s">
        <v>431</v>
      </c>
      <c r="I145" s="12" t="s">
        <v>37</v>
      </c>
      <c r="J145" s="12" t="s">
        <v>38</v>
      </c>
      <c r="K145" s="12" t="s">
        <v>28</v>
      </c>
      <c r="L145" s="12" t="s">
        <v>28</v>
      </c>
      <c r="M145" s="12" t="s">
        <v>432</v>
      </c>
      <c r="N145" s="9">
        <v>33885500000.000004</v>
      </c>
      <c r="O145" s="10">
        <v>39759</v>
      </c>
      <c r="P145" s="9">
        <v>30458539430</v>
      </c>
      <c r="Q145" s="10">
        <v>40750</v>
      </c>
      <c r="R145" s="9">
        <v>31476000000</v>
      </c>
      <c r="S145" s="10">
        <v>42460</v>
      </c>
      <c r="T145" s="37">
        <v>0</v>
      </c>
      <c r="U145" s="10" t="s">
        <v>28</v>
      </c>
      <c r="V145" s="34" t="s">
        <v>79</v>
      </c>
      <c r="W145" s="15" t="s">
        <v>882</v>
      </c>
      <c r="X145" s="21" t="s">
        <v>887</v>
      </c>
      <c r="Y145" s="67" t="s">
        <v>894</v>
      </c>
      <c r="Z145" s="33" t="s">
        <v>887</v>
      </c>
    </row>
    <row r="146" spans="1:26">
      <c r="A146" s="31">
        <v>145</v>
      </c>
      <c r="B146" s="8" t="s">
        <v>25</v>
      </c>
      <c r="C146" s="8" t="s">
        <v>26</v>
      </c>
      <c r="D146" s="12" t="s">
        <v>32</v>
      </c>
      <c r="E146" s="12" t="s">
        <v>428</v>
      </c>
      <c r="F146" s="34" t="s">
        <v>433</v>
      </c>
      <c r="G146" s="34" t="s">
        <v>434</v>
      </c>
      <c r="H146" s="36" t="s">
        <v>435</v>
      </c>
      <c r="I146" s="12" t="s">
        <v>125</v>
      </c>
      <c r="J146" s="12" t="s">
        <v>38</v>
      </c>
      <c r="K146" s="12" t="s">
        <v>28</v>
      </c>
      <c r="L146" s="12" t="s">
        <v>28</v>
      </c>
      <c r="M146" s="12" t="s">
        <v>38</v>
      </c>
      <c r="N146" s="9">
        <v>22876700000</v>
      </c>
      <c r="O146" s="10">
        <v>39770</v>
      </c>
      <c r="P146" s="9">
        <v>19129122804</v>
      </c>
      <c r="Q146" s="10">
        <v>40780</v>
      </c>
      <c r="R146" s="9">
        <v>16489000000</v>
      </c>
      <c r="S146" s="10">
        <v>42416</v>
      </c>
      <c r="T146" s="37">
        <v>0</v>
      </c>
      <c r="U146" s="10" t="s">
        <v>28</v>
      </c>
      <c r="V146" s="34" t="s">
        <v>79</v>
      </c>
      <c r="W146" s="64" t="s">
        <v>883</v>
      </c>
      <c r="X146" s="21" t="s">
        <v>887</v>
      </c>
      <c r="Y146" s="67" t="s">
        <v>68</v>
      </c>
      <c r="Z146" s="33" t="s">
        <v>887</v>
      </c>
    </row>
    <row r="147" spans="1:26">
      <c r="A147" s="31">
        <v>146</v>
      </c>
      <c r="B147" s="8" t="s">
        <v>25</v>
      </c>
      <c r="C147" s="8" t="s">
        <v>26</v>
      </c>
      <c r="D147" s="12" t="s">
        <v>32</v>
      </c>
      <c r="E147" s="12" t="s">
        <v>428</v>
      </c>
      <c r="F147" s="34" t="s">
        <v>436</v>
      </c>
      <c r="G147" s="34" t="s">
        <v>437</v>
      </c>
      <c r="H147" s="36" t="s">
        <v>438</v>
      </c>
      <c r="I147" s="12" t="s">
        <v>125</v>
      </c>
      <c r="J147" s="12" t="s">
        <v>38</v>
      </c>
      <c r="K147" s="12" t="s">
        <v>28</v>
      </c>
      <c r="L147" s="12" t="s">
        <v>28</v>
      </c>
      <c r="M147" s="12" t="s">
        <v>432</v>
      </c>
      <c r="N147" s="9">
        <v>15193200000.000002</v>
      </c>
      <c r="O147" s="10">
        <v>39772</v>
      </c>
      <c r="P147" s="9">
        <v>7634000000</v>
      </c>
      <c r="Q147" s="10">
        <v>40730</v>
      </c>
      <c r="R147" s="9">
        <v>8795000000</v>
      </c>
      <c r="S147" s="10">
        <v>42460</v>
      </c>
      <c r="T147" s="9">
        <v>9238000000</v>
      </c>
      <c r="U147" s="10">
        <v>45448</v>
      </c>
      <c r="V147" s="34" t="s">
        <v>79</v>
      </c>
      <c r="W147" s="64" t="s">
        <v>883</v>
      </c>
      <c r="X147" s="21" t="s">
        <v>887</v>
      </c>
      <c r="Y147" s="67" t="s">
        <v>68</v>
      </c>
      <c r="Z147" s="33" t="s">
        <v>887</v>
      </c>
    </row>
    <row r="148" spans="1:26">
      <c r="A148" s="31">
        <v>147</v>
      </c>
      <c r="B148" s="8" t="s">
        <v>25</v>
      </c>
      <c r="C148" s="8" t="s">
        <v>26</v>
      </c>
      <c r="D148" s="12" t="s">
        <v>32</v>
      </c>
      <c r="E148" s="12" t="s">
        <v>428</v>
      </c>
      <c r="F148" s="34" t="s">
        <v>439</v>
      </c>
      <c r="G148" s="34" t="s">
        <v>440</v>
      </c>
      <c r="H148" s="36" t="s">
        <v>441</v>
      </c>
      <c r="I148" s="12" t="s">
        <v>125</v>
      </c>
      <c r="J148" s="12" t="s">
        <v>38</v>
      </c>
      <c r="K148" s="12" t="s">
        <v>28</v>
      </c>
      <c r="L148" s="12" t="s">
        <v>28</v>
      </c>
      <c r="M148" s="12" t="s">
        <v>38</v>
      </c>
      <c r="N148" s="9">
        <v>0</v>
      </c>
      <c r="O148" s="12" t="s">
        <v>28</v>
      </c>
      <c r="P148" s="9">
        <v>6347000000</v>
      </c>
      <c r="Q148" s="10">
        <v>40781</v>
      </c>
      <c r="R148" s="35">
        <v>4619762510</v>
      </c>
      <c r="S148" s="10">
        <v>42543</v>
      </c>
      <c r="T148" s="9">
        <v>5499000000</v>
      </c>
      <c r="U148" s="10">
        <v>45448</v>
      </c>
      <c r="V148" s="34" t="s">
        <v>79</v>
      </c>
      <c r="W148" s="64" t="s">
        <v>883</v>
      </c>
      <c r="X148" s="21" t="s">
        <v>887</v>
      </c>
      <c r="Y148" s="67" t="s">
        <v>68</v>
      </c>
      <c r="Z148" s="33" t="s">
        <v>887</v>
      </c>
    </row>
    <row r="149" spans="1:26">
      <c r="A149" s="31">
        <v>148</v>
      </c>
      <c r="B149" s="8" t="s">
        <v>25</v>
      </c>
      <c r="C149" s="8" t="s">
        <v>26</v>
      </c>
      <c r="D149" s="12" t="s">
        <v>32</v>
      </c>
      <c r="E149" s="12" t="s">
        <v>428</v>
      </c>
      <c r="F149" s="34" t="s">
        <v>442</v>
      </c>
      <c r="G149" s="34" t="s">
        <v>437</v>
      </c>
      <c r="H149" s="36" t="s">
        <v>443</v>
      </c>
      <c r="I149" s="12" t="s">
        <v>28</v>
      </c>
      <c r="J149" s="12" t="s">
        <v>28</v>
      </c>
      <c r="K149" s="12" t="s">
        <v>28</v>
      </c>
      <c r="L149" s="12" t="s">
        <v>28</v>
      </c>
      <c r="M149" s="12" t="s">
        <v>28</v>
      </c>
      <c r="N149" s="9">
        <v>0</v>
      </c>
      <c r="O149" s="12" t="s">
        <v>28</v>
      </c>
      <c r="P149" s="9">
        <v>7740000000</v>
      </c>
      <c r="Q149" s="10">
        <v>41808</v>
      </c>
      <c r="R149" s="35">
        <v>0</v>
      </c>
      <c r="S149" s="10" t="s">
        <v>28</v>
      </c>
      <c r="T149" s="37">
        <v>0</v>
      </c>
      <c r="U149" s="10" t="s">
        <v>28</v>
      </c>
      <c r="V149" s="34" t="s">
        <v>79</v>
      </c>
      <c r="W149" s="64" t="s">
        <v>883</v>
      </c>
      <c r="X149" s="21" t="s">
        <v>887</v>
      </c>
      <c r="Y149" s="67" t="s">
        <v>68</v>
      </c>
      <c r="Z149" s="33" t="s">
        <v>887</v>
      </c>
    </row>
    <row r="150" spans="1:26">
      <c r="A150" s="31">
        <v>149</v>
      </c>
      <c r="B150" s="8" t="s">
        <v>25</v>
      </c>
      <c r="C150" s="8" t="s">
        <v>26</v>
      </c>
      <c r="D150" s="12" t="s">
        <v>32</v>
      </c>
      <c r="E150" s="12" t="s">
        <v>428</v>
      </c>
      <c r="F150" s="34" t="s">
        <v>444</v>
      </c>
      <c r="G150" s="34" t="s">
        <v>445</v>
      </c>
      <c r="H150" s="36" t="s">
        <v>446</v>
      </c>
      <c r="I150" s="12" t="s">
        <v>37</v>
      </c>
      <c r="J150" s="12" t="s">
        <v>38</v>
      </c>
      <c r="K150" s="12" t="s">
        <v>28</v>
      </c>
      <c r="L150" s="12" t="s">
        <v>28</v>
      </c>
      <c r="M150" s="12" t="s">
        <v>432</v>
      </c>
      <c r="N150" s="9">
        <v>0</v>
      </c>
      <c r="O150" s="12" t="s">
        <v>28</v>
      </c>
      <c r="P150" s="35">
        <v>0</v>
      </c>
      <c r="Q150" s="12" t="s">
        <v>28</v>
      </c>
      <c r="R150" s="9">
        <v>7425000000</v>
      </c>
      <c r="S150" s="10">
        <v>42900</v>
      </c>
      <c r="T150" s="37">
        <v>0</v>
      </c>
      <c r="U150" s="10" t="s">
        <v>28</v>
      </c>
      <c r="V150" s="34" t="s">
        <v>29</v>
      </c>
      <c r="W150" s="15" t="s">
        <v>882</v>
      </c>
      <c r="X150" s="21" t="s">
        <v>887</v>
      </c>
      <c r="Y150" s="67" t="s">
        <v>896</v>
      </c>
      <c r="Z150" s="33" t="s">
        <v>887</v>
      </c>
    </row>
    <row r="151" spans="1:26">
      <c r="A151" s="31">
        <v>150</v>
      </c>
      <c r="B151" s="8" t="s">
        <v>25</v>
      </c>
      <c r="C151" s="8" t="s">
        <v>26</v>
      </c>
      <c r="D151" s="12" t="s">
        <v>32</v>
      </c>
      <c r="E151" s="12" t="s">
        <v>428</v>
      </c>
      <c r="F151" s="34" t="s">
        <v>447</v>
      </c>
      <c r="G151" s="34" t="s">
        <v>448</v>
      </c>
      <c r="H151" s="36" t="s">
        <v>449</v>
      </c>
      <c r="I151" s="12" t="s">
        <v>450</v>
      </c>
      <c r="J151" s="12" t="s">
        <v>38</v>
      </c>
      <c r="K151" s="12" t="s">
        <v>28</v>
      </c>
      <c r="L151" s="12" t="s">
        <v>28</v>
      </c>
      <c r="M151" s="12" t="s">
        <v>38</v>
      </c>
      <c r="N151" s="9">
        <v>0</v>
      </c>
      <c r="O151" s="12" t="s">
        <v>28</v>
      </c>
      <c r="P151" s="9">
        <v>8159000000</v>
      </c>
      <c r="Q151" s="10">
        <v>41239</v>
      </c>
      <c r="R151" s="9">
        <v>14536000000</v>
      </c>
      <c r="S151" s="10">
        <v>42489</v>
      </c>
      <c r="T151" s="37">
        <v>0</v>
      </c>
      <c r="U151" s="10" t="s">
        <v>28</v>
      </c>
      <c r="V151" s="34" t="s">
        <v>29</v>
      </c>
      <c r="W151" s="15" t="s">
        <v>882</v>
      </c>
      <c r="X151" s="21" t="s">
        <v>887</v>
      </c>
      <c r="Y151" s="67" t="s">
        <v>896</v>
      </c>
      <c r="Z151" s="33" t="s">
        <v>887</v>
      </c>
    </row>
    <row r="152" spans="1:26">
      <c r="A152" s="31">
        <v>151</v>
      </c>
      <c r="B152" s="8" t="s">
        <v>25</v>
      </c>
      <c r="C152" s="8" t="s">
        <v>26</v>
      </c>
      <c r="D152" s="12" t="s">
        <v>32</v>
      </c>
      <c r="E152" s="12" t="s">
        <v>428</v>
      </c>
      <c r="F152" s="34" t="s">
        <v>451</v>
      </c>
      <c r="G152" s="34" t="s">
        <v>452</v>
      </c>
      <c r="H152" s="36" t="s">
        <v>453</v>
      </c>
      <c r="I152" s="12" t="s">
        <v>125</v>
      </c>
      <c r="J152" s="12" t="s">
        <v>38</v>
      </c>
      <c r="K152" s="12" t="s">
        <v>28</v>
      </c>
      <c r="L152" s="12" t="s">
        <v>28</v>
      </c>
      <c r="M152" s="12" t="s">
        <v>38</v>
      </c>
      <c r="N152" s="9">
        <v>0</v>
      </c>
      <c r="O152" s="12" t="s">
        <v>28</v>
      </c>
      <c r="P152" s="35">
        <v>0</v>
      </c>
      <c r="Q152" s="12" t="s">
        <v>28</v>
      </c>
      <c r="R152" s="9">
        <v>5753000000</v>
      </c>
      <c r="S152" s="10">
        <v>42713</v>
      </c>
      <c r="T152" s="37">
        <v>0</v>
      </c>
      <c r="U152" s="10" t="s">
        <v>28</v>
      </c>
      <c r="V152" s="34" t="s">
        <v>29</v>
      </c>
      <c r="W152" s="15" t="s">
        <v>880</v>
      </c>
      <c r="X152" s="21" t="s">
        <v>887</v>
      </c>
      <c r="Y152" s="67" t="s">
        <v>68</v>
      </c>
      <c r="Z152" s="33" t="s">
        <v>887</v>
      </c>
    </row>
    <row r="153" spans="1:26">
      <c r="A153" s="31">
        <v>152</v>
      </c>
      <c r="B153" s="8" t="s">
        <v>25</v>
      </c>
      <c r="C153" s="8" t="s">
        <v>26</v>
      </c>
      <c r="D153" s="12" t="s">
        <v>32</v>
      </c>
      <c r="E153" s="12" t="s">
        <v>428</v>
      </c>
      <c r="F153" s="34" t="s">
        <v>454</v>
      </c>
      <c r="G153" s="34" t="s">
        <v>455</v>
      </c>
      <c r="H153" s="36" t="s">
        <v>456</v>
      </c>
      <c r="I153" s="12" t="s">
        <v>37</v>
      </c>
      <c r="J153" s="12" t="s">
        <v>38</v>
      </c>
      <c r="K153" s="12" t="s">
        <v>28</v>
      </c>
      <c r="L153" s="12" t="s">
        <v>28</v>
      </c>
      <c r="M153" s="12" t="s">
        <v>38</v>
      </c>
      <c r="N153" s="9">
        <v>0</v>
      </c>
      <c r="O153" s="12" t="s">
        <v>28</v>
      </c>
      <c r="P153" s="35">
        <v>0</v>
      </c>
      <c r="Q153" s="12" t="s">
        <v>28</v>
      </c>
      <c r="R153" s="35">
        <v>3250500000.0000005</v>
      </c>
      <c r="S153" s="10">
        <v>42704</v>
      </c>
      <c r="T153" s="37">
        <v>4961000000</v>
      </c>
      <c r="U153" s="10">
        <v>45615</v>
      </c>
      <c r="V153" s="34" t="s">
        <v>29</v>
      </c>
      <c r="W153" s="15" t="s">
        <v>882</v>
      </c>
      <c r="X153" s="21" t="s">
        <v>887</v>
      </c>
      <c r="Y153" s="67" t="s">
        <v>896</v>
      </c>
      <c r="Z153" s="33" t="s">
        <v>887</v>
      </c>
    </row>
    <row r="154" spans="1:26">
      <c r="A154" s="31">
        <v>153</v>
      </c>
      <c r="B154" s="8" t="s">
        <v>25</v>
      </c>
      <c r="C154" s="8" t="s">
        <v>26</v>
      </c>
      <c r="D154" s="12" t="s">
        <v>32</v>
      </c>
      <c r="E154" s="12" t="s">
        <v>428</v>
      </c>
      <c r="F154" s="34" t="s">
        <v>457</v>
      </c>
      <c r="G154" s="34" t="s">
        <v>458</v>
      </c>
      <c r="H154" s="36" t="s">
        <v>459</v>
      </c>
      <c r="I154" s="12" t="s">
        <v>57</v>
      </c>
      <c r="J154" s="12" t="s">
        <v>38</v>
      </c>
      <c r="K154" s="12" t="s">
        <v>28</v>
      </c>
      <c r="L154" s="12" t="s">
        <v>28</v>
      </c>
      <c r="M154" s="12" t="s">
        <v>38</v>
      </c>
      <c r="N154" s="9">
        <v>0</v>
      </c>
      <c r="O154" s="12" t="s">
        <v>28</v>
      </c>
      <c r="P154" s="35">
        <v>0</v>
      </c>
      <c r="Q154" s="12" t="s">
        <v>28</v>
      </c>
      <c r="R154" s="35">
        <v>3443000000.0000005</v>
      </c>
      <c r="S154" s="10">
        <v>42731</v>
      </c>
      <c r="T154" s="9">
        <v>5374000000</v>
      </c>
      <c r="U154" s="10">
        <v>45474</v>
      </c>
      <c r="V154" s="34" t="s">
        <v>29</v>
      </c>
      <c r="W154" s="15" t="s">
        <v>880</v>
      </c>
      <c r="X154" s="21" t="s">
        <v>887</v>
      </c>
      <c r="Y154" s="67" t="s">
        <v>68</v>
      </c>
      <c r="Z154" s="33" t="s">
        <v>887</v>
      </c>
    </row>
    <row r="155" spans="1:26">
      <c r="A155" s="31">
        <v>154</v>
      </c>
      <c r="B155" s="8" t="s">
        <v>25</v>
      </c>
      <c r="C155" s="8" t="s">
        <v>26</v>
      </c>
      <c r="D155" s="12" t="s">
        <v>32</v>
      </c>
      <c r="E155" s="12" t="s">
        <v>428</v>
      </c>
      <c r="F155" s="34" t="s">
        <v>460</v>
      </c>
      <c r="G155" s="34" t="s">
        <v>461</v>
      </c>
      <c r="H155" s="36" t="s">
        <v>462</v>
      </c>
      <c r="I155" s="12" t="s">
        <v>57</v>
      </c>
      <c r="J155" s="12" t="s">
        <v>38</v>
      </c>
      <c r="K155" s="12" t="s">
        <v>28</v>
      </c>
      <c r="L155" s="12" t="s">
        <v>28</v>
      </c>
      <c r="M155" s="12" t="s">
        <v>38</v>
      </c>
      <c r="N155" s="9">
        <v>0</v>
      </c>
      <c r="O155" s="12" t="s">
        <v>28</v>
      </c>
      <c r="P155" s="35">
        <v>0</v>
      </c>
      <c r="Q155" s="12" t="s">
        <v>28</v>
      </c>
      <c r="R155" s="9">
        <v>7085000000</v>
      </c>
      <c r="S155" s="10">
        <v>42538</v>
      </c>
      <c r="T155" s="37">
        <v>0</v>
      </c>
      <c r="U155" s="10" t="s">
        <v>28</v>
      </c>
      <c r="V155" s="34" t="s">
        <v>29</v>
      </c>
      <c r="W155" s="15" t="s">
        <v>880</v>
      </c>
      <c r="X155" s="21" t="s">
        <v>887</v>
      </c>
      <c r="Y155" s="67" t="s">
        <v>68</v>
      </c>
      <c r="Z155" s="33" t="s">
        <v>887</v>
      </c>
    </row>
    <row r="156" spans="1:26">
      <c r="A156" s="31">
        <v>155</v>
      </c>
      <c r="B156" s="8" t="s">
        <v>25</v>
      </c>
      <c r="C156" s="8" t="s">
        <v>26</v>
      </c>
      <c r="D156" s="12" t="s">
        <v>32</v>
      </c>
      <c r="E156" s="12" t="s">
        <v>428</v>
      </c>
      <c r="F156" s="34" t="s">
        <v>463</v>
      </c>
      <c r="G156" s="34" t="s">
        <v>464</v>
      </c>
      <c r="H156" s="36" t="s">
        <v>465</v>
      </c>
      <c r="I156" s="12" t="s">
        <v>57</v>
      </c>
      <c r="J156" s="12" t="s">
        <v>38</v>
      </c>
      <c r="K156" s="12" t="s">
        <v>28</v>
      </c>
      <c r="L156" s="12" t="s">
        <v>28</v>
      </c>
      <c r="M156" s="12" t="s">
        <v>38</v>
      </c>
      <c r="N156" s="9">
        <v>0</v>
      </c>
      <c r="O156" s="12" t="s">
        <v>28</v>
      </c>
      <c r="P156" s="35">
        <v>0</v>
      </c>
      <c r="Q156" s="12" t="s">
        <v>28</v>
      </c>
      <c r="R156" s="35">
        <v>1735479900.0000002</v>
      </c>
      <c r="S156" s="10">
        <v>42489</v>
      </c>
      <c r="T156" s="37">
        <v>2162767200</v>
      </c>
      <c r="U156" s="10">
        <v>45474</v>
      </c>
      <c r="V156" s="34" t="s">
        <v>29</v>
      </c>
      <c r="W156" s="15" t="s">
        <v>880</v>
      </c>
      <c r="X156" s="21" t="s">
        <v>887</v>
      </c>
      <c r="Y156" s="67" t="s">
        <v>68</v>
      </c>
      <c r="Z156" s="33" t="s">
        <v>887</v>
      </c>
    </row>
    <row r="157" spans="1:26">
      <c r="A157" s="31">
        <v>156</v>
      </c>
      <c r="B157" s="8" t="s">
        <v>25</v>
      </c>
      <c r="C157" s="8" t="s">
        <v>26</v>
      </c>
      <c r="D157" s="12" t="s">
        <v>32</v>
      </c>
      <c r="E157" s="12" t="s">
        <v>428</v>
      </c>
      <c r="F157" s="34" t="s">
        <v>466</v>
      </c>
      <c r="G157" s="34" t="s">
        <v>467</v>
      </c>
      <c r="H157" s="36" t="s">
        <v>468</v>
      </c>
      <c r="I157" s="12" t="s">
        <v>125</v>
      </c>
      <c r="J157" s="12" t="s">
        <v>38</v>
      </c>
      <c r="K157" s="12" t="s">
        <v>28</v>
      </c>
      <c r="L157" s="12" t="s">
        <v>28</v>
      </c>
      <c r="M157" s="12" t="s">
        <v>38</v>
      </c>
      <c r="N157" s="9">
        <v>0</v>
      </c>
      <c r="O157" s="12" t="s">
        <v>28</v>
      </c>
      <c r="P157" s="9">
        <v>6103900000.000001</v>
      </c>
      <c r="Q157" s="10">
        <v>40282</v>
      </c>
      <c r="R157" s="9">
        <v>8622000000</v>
      </c>
      <c r="S157" s="10">
        <v>42471</v>
      </c>
      <c r="T157" s="9">
        <v>16264000000</v>
      </c>
      <c r="U157" s="10">
        <v>45476</v>
      </c>
      <c r="V157" s="34" t="s">
        <v>29</v>
      </c>
      <c r="W157" s="15" t="s">
        <v>880</v>
      </c>
      <c r="X157" s="21" t="s">
        <v>887</v>
      </c>
      <c r="Y157" s="67" t="s">
        <v>68</v>
      </c>
      <c r="Z157" s="33" t="s">
        <v>887</v>
      </c>
    </row>
    <row r="158" spans="1:26">
      <c r="A158" s="31">
        <v>157</v>
      </c>
      <c r="B158" s="8" t="s">
        <v>25</v>
      </c>
      <c r="C158" s="8" t="s">
        <v>26</v>
      </c>
      <c r="D158" s="12" t="s">
        <v>32</v>
      </c>
      <c r="E158" s="12" t="s">
        <v>428</v>
      </c>
      <c r="F158" s="34" t="s">
        <v>469</v>
      </c>
      <c r="G158" s="34" t="s">
        <v>470</v>
      </c>
      <c r="H158" s="36" t="s">
        <v>471</v>
      </c>
      <c r="I158" s="12" t="s">
        <v>125</v>
      </c>
      <c r="J158" s="12" t="s">
        <v>38</v>
      </c>
      <c r="K158" s="12" t="s">
        <v>28</v>
      </c>
      <c r="L158" s="12" t="s">
        <v>28</v>
      </c>
      <c r="M158" s="12" t="s">
        <v>38</v>
      </c>
      <c r="N158" s="9">
        <v>0</v>
      </c>
      <c r="O158" s="12" t="s">
        <v>28</v>
      </c>
      <c r="P158" s="35">
        <v>0</v>
      </c>
      <c r="Q158" s="12" t="s">
        <v>28</v>
      </c>
      <c r="R158" s="35">
        <v>2562098000</v>
      </c>
      <c r="S158" s="10">
        <v>42599</v>
      </c>
      <c r="T158" s="37">
        <v>0</v>
      </c>
      <c r="U158" s="10" t="s">
        <v>28</v>
      </c>
      <c r="V158" s="34" t="s">
        <v>29</v>
      </c>
      <c r="W158" s="15" t="s">
        <v>880</v>
      </c>
      <c r="X158" s="21" t="s">
        <v>887</v>
      </c>
      <c r="Y158" s="67" t="s">
        <v>68</v>
      </c>
      <c r="Z158" s="33" t="s">
        <v>887</v>
      </c>
    </row>
    <row r="159" spans="1:26">
      <c r="A159" s="31">
        <v>158</v>
      </c>
      <c r="B159" s="8" t="s">
        <v>25</v>
      </c>
      <c r="C159" s="8" t="s">
        <v>26</v>
      </c>
      <c r="D159" s="12" t="s">
        <v>32</v>
      </c>
      <c r="E159" s="12" t="s">
        <v>428</v>
      </c>
      <c r="F159" s="34" t="s">
        <v>472</v>
      </c>
      <c r="G159" s="34" t="s">
        <v>473</v>
      </c>
      <c r="H159" s="36" t="s">
        <v>474</v>
      </c>
      <c r="I159" s="12" t="s">
        <v>43</v>
      </c>
      <c r="J159" s="12" t="s">
        <v>38</v>
      </c>
      <c r="K159" s="12" t="s">
        <v>28</v>
      </c>
      <c r="L159" s="12" t="s">
        <v>28</v>
      </c>
      <c r="M159" s="12" t="s">
        <v>38</v>
      </c>
      <c r="N159" s="9">
        <v>0</v>
      </c>
      <c r="O159" s="12" t="s">
        <v>28</v>
      </c>
      <c r="P159" s="35">
        <v>836872608</v>
      </c>
      <c r="Q159" s="10">
        <v>41134</v>
      </c>
      <c r="R159" s="35">
        <v>0</v>
      </c>
      <c r="S159" s="10" t="s">
        <v>28</v>
      </c>
      <c r="T159" s="37">
        <v>0</v>
      </c>
      <c r="U159" s="10" t="s">
        <v>28</v>
      </c>
      <c r="V159" s="34" t="s">
        <v>79</v>
      </c>
      <c r="W159" s="15" t="s">
        <v>880</v>
      </c>
      <c r="X159" s="21" t="s">
        <v>887</v>
      </c>
      <c r="Y159" s="67" t="s">
        <v>68</v>
      </c>
      <c r="Z159" s="33" t="s">
        <v>887</v>
      </c>
    </row>
    <row r="160" spans="1:26">
      <c r="A160" s="31">
        <v>159</v>
      </c>
      <c r="B160" s="8" t="s">
        <v>25</v>
      </c>
      <c r="C160" s="8" t="s">
        <v>26</v>
      </c>
      <c r="D160" s="12" t="s">
        <v>32</v>
      </c>
      <c r="E160" s="12" t="s">
        <v>428</v>
      </c>
      <c r="F160" s="34" t="s">
        <v>475</v>
      </c>
      <c r="G160" s="34" t="s">
        <v>476</v>
      </c>
      <c r="H160" s="36" t="s">
        <v>477</v>
      </c>
      <c r="I160" s="12" t="s">
        <v>118</v>
      </c>
      <c r="J160" s="12" t="s">
        <v>38</v>
      </c>
      <c r="K160" s="12" t="s">
        <v>28</v>
      </c>
      <c r="L160" s="12" t="s">
        <v>28</v>
      </c>
      <c r="M160" s="12" t="s">
        <v>38</v>
      </c>
      <c r="N160" s="9">
        <v>0</v>
      </c>
      <c r="O160" s="12" t="s">
        <v>28</v>
      </c>
      <c r="P160" s="35">
        <v>0</v>
      </c>
      <c r="Q160" s="12" t="s">
        <v>28</v>
      </c>
      <c r="R160" s="35">
        <v>495206800.00000006</v>
      </c>
      <c r="S160" s="10">
        <v>42825</v>
      </c>
      <c r="T160" s="37">
        <v>0</v>
      </c>
      <c r="U160" s="10" t="s">
        <v>28</v>
      </c>
      <c r="V160" s="34" t="s">
        <v>79</v>
      </c>
      <c r="W160" s="15" t="s">
        <v>880</v>
      </c>
      <c r="X160" s="21" t="s">
        <v>887</v>
      </c>
      <c r="Y160" s="67" t="s">
        <v>68</v>
      </c>
      <c r="Z160" s="33" t="s">
        <v>887</v>
      </c>
    </row>
    <row r="161" spans="1:26">
      <c r="A161" s="31">
        <v>160</v>
      </c>
      <c r="B161" s="8" t="s">
        <v>25</v>
      </c>
      <c r="C161" s="8" t="s">
        <v>26</v>
      </c>
      <c r="D161" s="12" t="s">
        <v>32</v>
      </c>
      <c r="E161" s="12" t="s">
        <v>428</v>
      </c>
      <c r="F161" s="34" t="s">
        <v>478</v>
      </c>
      <c r="G161" s="34" t="s">
        <v>479</v>
      </c>
      <c r="H161" s="36" t="s">
        <v>480</v>
      </c>
      <c r="I161" s="12" t="s">
        <v>125</v>
      </c>
      <c r="J161" s="12" t="s">
        <v>38</v>
      </c>
      <c r="K161" s="12" t="s">
        <v>28</v>
      </c>
      <c r="L161" s="12" t="s">
        <v>28</v>
      </c>
      <c r="M161" s="12" t="s">
        <v>38</v>
      </c>
      <c r="N161" s="9">
        <v>0</v>
      </c>
      <c r="O161" s="12" t="s">
        <v>28</v>
      </c>
      <c r="P161" s="35">
        <v>0</v>
      </c>
      <c r="Q161" s="12" t="s">
        <v>28</v>
      </c>
      <c r="R161" s="35">
        <v>984500000.00000012</v>
      </c>
      <c r="S161" s="10">
        <v>43595</v>
      </c>
      <c r="T161" s="37">
        <v>0</v>
      </c>
      <c r="U161" s="10" t="s">
        <v>28</v>
      </c>
      <c r="V161" s="34" t="s">
        <v>79</v>
      </c>
      <c r="W161" s="15" t="s">
        <v>880</v>
      </c>
      <c r="X161" s="21" t="s">
        <v>887</v>
      </c>
      <c r="Y161" s="67" t="s">
        <v>68</v>
      </c>
      <c r="Z161" s="33" t="s">
        <v>887</v>
      </c>
    </row>
    <row r="162" spans="1:26">
      <c r="A162" s="31">
        <v>161</v>
      </c>
      <c r="B162" s="8" t="s">
        <v>25</v>
      </c>
      <c r="C162" s="8" t="s">
        <v>26</v>
      </c>
      <c r="D162" s="12" t="s">
        <v>32</v>
      </c>
      <c r="E162" s="12" t="s">
        <v>428</v>
      </c>
      <c r="F162" s="34" t="s">
        <v>481</v>
      </c>
      <c r="G162" s="34" t="s">
        <v>482</v>
      </c>
      <c r="H162" s="36" t="s">
        <v>483</v>
      </c>
      <c r="I162" s="12" t="s">
        <v>118</v>
      </c>
      <c r="J162" s="12" t="s">
        <v>38</v>
      </c>
      <c r="K162" s="12" t="s">
        <v>28</v>
      </c>
      <c r="L162" s="12" t="s">
        <v>28</v>
      </c>
      <c r="M162" s="12" t="s">
        <v>38</v>
      </c>
      <c r="N162" s="9">
        <v>0</v>
      </c>
      <c r="O162" s="12" t="s">
        <v>28</v>
      </c>
      <c r="P162" s="35">
        <v>663566812</v>
      </c>
      <c r="Q162" s="38">
        <v>40589</v>
      </c>
      <c r="R162" s="35">
        <v>0</v>
      </c>
      <c r="S162" s="10" t="s">
        <v>28</v>
      </c>
      <c r="T162" s="37">
        <v>0</v>
      </c>
      <c r="U162" s="10" t="s">
        <v>28</v>
      </c>
      <c r="V162" s="34" t="s">
        <v>79</v>
      </c>
      <c r="W162" s="15" t="s">
        <v>880</v>
      </c>
      <c r="X162" s="21" t="s">
        <v>887</v>
      </c>
      <c r="Y162" s="67" t="s">
        <v>68</v>
      </c>
      <c r="Z162" s="33" t="s">
        <v>887</v>
      </c>
    </row>
    <row r="163" spans="1:26">
      <c r="A163" s="31">
        <v>162</v>
      </c>
      <c r="B163" s="8" t="s">
        <v>25</v>
      </c>
      <c r="C163" s="8" t="s">
        <v>26</v>
      </c>
      <c r="D163" s="12" t="s">
        <v>32</v>
      </c>
      <c r="E163" s="12" t="s">
        <v>428</v>
      </c>
      <c r="F163" s="34" t="s">
        <v>484</v>
      </c>
      <c r="G163" s="34" t="s">
        <v>485</v>
      </c>
      <c r="H163" s="36" t="s">
        <v>486</v>
      </c>
      <c r="I163" s="12" t="s">
        <v>53</v>
      </c>
      <c r="J163" s="12" t="s">
        <v>38</v>
      </c>
      <c r="K163" s="12" t="s">
        <v>28</v>
      </c>
      <c r="L163" s="12" t="s">
        <v>28</v>
      </c>
      <c r="M163" s="12" t="s">
        <v>38</v>
      </c>
      <c r="N163" s="9">
        <v>0</v>
      </c>
      <c r="O163" s="12" t="s">
        <v>28</v>
      </c>
      <c r="P163" s="35">
        <v>0</v>
      </c>
      <c r="Q163" s="12" t="s">
        <v>28</v>
      </c>
      <c r="R163" s="35">
        <v>2014980000.0000002</v>
      </c>
      <c r="S163" s="10">
        <v>42536</v>
      </c>
      <c r="T163" s="37">
        <v>0</v>
      </c>
      <c r="U163" s="10" t="s">
        <v>28</v>
      </c>
      <c r="V163" s="34" t="s">
        <v>79</v>
      </c>
      <c r="W163" s="15" t="s">
        <v>880</v>
      </c>
      <c r="X163" s="21" t="s">
        <v>887</v>
      </c>
      <c r="Y163" s="67" t="s">
        <v>68</v>
      </c>
      <c r="Z163" s="33" t="s">
        <v>887</v>
      </c>
    </row>
    <row r="164" spans="1:26">
      <c r="A164" s="31">
        <v>163</v>
      </c>
      <c r="B164" s="8" t="s">
        <v>25</v>
      </c>
      <c r="C164" s="8" t="s">
        <v>26</v>
      </c>
      <c r="D164" s="12" t="s">
        <v>32</v>
      </c>
      <c r="E164" s="12" t="s">
        <v>428</v>
      </c>
      <c r="F164" s="34" t="s">
        <v>487</v>
      </c>
      <c r="G164" s="34" t="s">
        <v>488</v>
      </c>
      <c r="H164" s="36" t="s">
        <v>489</v>
      </c>
      <c r="I164" s="12" t="s">
        <v>57</v>
      </c>
      <c r="J164" s="12" t="s">
        <v>38</v>
      </c>
      <c r="K164" s="12" t="s">
        <v>28</v>
      </c>
      <c r="L164" s="12" t="s">
        <v>28</v>
      </c>
      <c r="M164" s="12" t="s">
        <v>38</v>
      </c>
      <c r="N164" s="9">
        <v>0</v>
      </c>
      <c r="O164" s="12" t="s">
        <v>28</v>
      </c>
      <c r="P164" s="35">
        <v>0</v>
      </c>
      <c r="Q164" s="12" t="s">
        <v>28</v>
      </c>
      <c r="R164" s="35">
        <v>2728002200</v>
      </c>
      <c r="S164" s="10">
        <v>42881</v>
      </c>
      <c r="T164" s="37">
        <v>5823620000</v>
      </c>
      <c r="U164" s="10">
        <v>45618</v>
      </c>
      <c r="V164" s="34" t="s">
        <v>79</v>
      </c>
      <c r="W164" s="15" t="s">
        <v>880</v>
      </c>
      <c r="X164" s="21" t="s">
        <v>887</v>
      </c>
      <c r="Y164" s="67" t="s">
        <v>68</v>
      </c>
      <c r="Z164" s="33" t="s">
        <v>887</v>
      </c>
    </row>
    <row r="165" spans="1:26">
      <c r="A165" s="31">
        <v>163</v>
      </c>
      <c r="B165" s="8" t="s">
        <v>25</v>
      </c>
      <c r="C165" s="8" t="s">
        <v>26</v>
      </c>
      <c r="D165" s="12" t="s">
        <v>32</v>
      </c>
      <c r="E165" s="12" t="s">
        <v>428</v>
      </c>
      <c r="F165" s="34" t="s">
        <v>487</v>
      </c>
      <c r="G165" s="34" t="s">
        <v>488</v>
      </c>
      <c r="H165" s="36" t="s">
        <v>489</v>
      </c>
      <c r="I165" s="12" t="s">
        <v>57</v>
      </c>
      <c r="J165" s="12" t="s">
        <v>38</v>
      </c>
      <c r="K165" s="12" t="s">
        <v>28</v>
      </c>
      <c r="L165" s="12" t="s">
        <v>28</v>
      </c>
      <c r="M165" s="12" t="s">
        <v>38</v>
      </c>
      <c r="N165" s="9">
        <v>0</v>
      </c>
      <c r="O165" s="12" t="s">
        <v>28</v>
      </c>
      <c r="P165" s="35">
        <v>0</v>
      </c>
      <c r="Q165" s="12" t="s">
        <v>28</v>
      </c>
      <c r="R165" s="35">
        <v>2728002200</v>
      </c>
      <c r="S165" s="10">
        <v>42881</v>
      </c>
      <c r="T165" s="37">
        <v>5823620000</v>
      </c>
      <c r="U165" s="10">
        <v>45618</v>
      </c>
      <c r="V165" s="34" t="s">
        <v>79</v>
      </c>
      <c r="W165" s="15" t="s">
        <v>880</v>
      </c>
      <c r="X165" s="21" t="s">
        <v>887</v>
      </c>
      <c r="Y165" s="67" t="s">
        <v>68</v>
      </c>
      <c r="Z165" s="33" t="s">
        <v>887</v>
      </c>
    </row>
    <row r="166" spans="1:26">
      <c r="A166" s="31">
        <v>164</v>
      </c>
      <c r="B166" s="8" t="s">
        <v>25</v>
      </c>
      <c r="C166" s="8" t="s">
        <v>26</v>
      </c>
      <c r="D166" s="12" t="s">
        <v>32</v>
      </c>
      <c r="E166" s="12" t="s">
        <v>428</v>
      </c>
      <c r="F166" s="34" t="s">
        <v>490</v>
      </c>
      <c r="G166" s="34" t="s">
        <v>28</v>
      </c>
      <c r="H166" s="36" t="s">
        <v>491</v>
      </c>
      <c r="I166" s="12" t="s">
        <v>37</v>
      </c>
      <c r="J166" s="12" t="s">
        <v>28</v>
      </c>
      <c r="K166" s="12" t="s">
        <v>28</v>
      </c>
      <c r="L166" s="12" t="s">
        <v>38</v>
      </c>
      <c r="M166" s="12" t="s">
        <v>38</v>
      </c>
      <c r="N166" s="9">
        <v>0</v>
      </c>
      <c r="O166" s="12" t="s">
        <v>28</v>
      </c>
      <c r="P166" s="35">
        <v>0</v>
      </c>
      <c r="Q166" s="12" t="s">
        <v>28</v>
      </c>
      <c r="R166" s="35">
        <v>0</v>
      </c>
      <c r="S166" s="10" t="s">
        <v>28</v>
      </c>
      <c r="T166" s="37">
        <v>0</v>
      </c>
      <c r="U166" s="10" t="s">
        <v>28</v>
      </c>
      <c r="V166" s="11" t="s">
        <v>68</v>
      </c>
      <c r="W166" s="15" t="s">
        <v>68</v>
      </c>
      <c r="X166" s="21" t="s">
        <v>887</v>
      </c>
      <c r="Y166" s="67" t="s">
        <v>894</v>
      </c>
      <c r="Z166" s="33" t="s">
        <v>887</v>
      </c>
    </row>
    <row r="167" spans="1:26">
      <c r="A167" s="31">
        <v>165</v>
      </c>
      <c r="B167" s="8" t="s">
        <v>25</v>
      </c>
      <c r="C167" s="8" t="s">
        <v>26</v>
      </c>
      <c r="D167" s="12" t="s">
        <v>32</v>
      </c>
      <c r="E167" s="12" t="s">
        <v>428</v>
      </c>
      <c r="F167" s="34" t="s">
        <v>492</v>
      </c>
      <c r="G167" s="34" t="s">
        <v>28</v>
      </c>
      <c r="H167" s="36" t="s">
        <v>493</v>
      </c>
      <c r="I167" s="12" t="s">
        <v>118</v>
      </c>
      <c r="J167" s="12" t="s">
        <v>28</v>
      </c>
      <c r="K167" s="12" t="s">
        <v>28</v>
      </c>
      <c r="L167" s="12" t="s">
        <v>38</v>
      </c>
      <c r="M167" s="12" t="s">
        <v>38</v>
      </c>
      <c r="N167" s="9">
        <v>0</v>
      </c>
      <c r="O167" s="12" t="s">
        <v>28</v>
      </c>
      <c r="P167" s="35">
        <v>0</v>
      </c>
      <c r="Q167" s="12" t="s">
        <v>28</v>
      </c>
      <c r="R167" s="35">
        <v>0</v>
      </c>
      <c r="S167" s="10" t="s">
        <v>28</v>
      </c>
      <c r="T167" s="37">
        <v>0</v>
      </c>
      <c r="U167" s="10" t="s">
        <v>28</v>
      </c>
      <c r="V167" s="11" t="s">
        <v>68</v>
      </c>
      <c r="W167" s="15" t="s">
        <v>68</v>
      </c>
      <c r="X167" s="21" t="s">
        <v>887</v>
      </c>
      <c r="Y167" s="67" t="s">
        <v>68</v>
      </c>
      <c r="Z167" s="33" t="s">
        <v>887</v>
      </c>
    </row>
    <row r="168" spans="1:26">
      <c r="A168" s="31">
        <v>166</v>
      </c>
      <c r="B168" s="8" t="s">
        <v>25</v>
      </c>
      <c r="C168" s="8" t="s">
        <v>26</v>
      </c>
      <c r="D168" s="12" t="s">
        <v>32</v>
      </c>
      <c r="E168" s="12" t="s">
        <v>428</v>
      </c>
      <c r="F168" s="34" t="s">
        <v>494</v>
      </c>
      <c r="G168" s="34" t="s">
        <v>28</v>
      </c>
      <c r="H168" s="36" t="s">
        <v>495</v>
      </c>
      <c r="I168" s="12" t="s">
        <v>37</v>
      </c>
      <c r="J168" s="12" t="s">
        <v>28</v>
      </c>
      <c r="K168" s="12" t="s">
        <v>28</v>
      </c>
      <c r="L168" s="12" t="s">
        <v>38</v>
      </c>
      <c r="M168" s="12" t="s">
        <v>38</v>
      </c>
      <c r="N168" s="9">
        <v>0</v>
      </c>
      <c r="O168" s="12" t="s">
        <v>28</v>
      </c>
      <c r="P168" s="35">
        <v>0</v>
      </c>
      <c r="Q168" s="12" t="s">
        <v>28</v>
      </c>
      <c r="R168" s="35">
        <v>0</v>
      </c>
      <c r="S168" s="10" t="s">
        <v>28</v>
      </c>
      <c r="T168" s="37">
        <v>0</v>
      </c>
      <c r="U168" s="10" t="s">
        <v>28</v>
      </c>
      <c r="V168" s="11" t="s">
        <v>68</v>
      </c>
      <c r="W168" s="15" t="s">
        <v>68</v>
      </c>
      <c r="X168" s="21" t="s">
        <v>887</v>
      </c>
      <c r="Y168" s="67" t="s">
        <v>895</v>
      </c>
      <c r="Z168" s="33" t="s">
        <v>887</v>
      </c>
    </row>
    <row r="169" spans="1:26">
      <c r="A169" s="31">
        <v>167</v>
      </c>
      <c r="B169" s="8" t="s">
        <v>25</v>
      </c>
      <c r="C169" s="8" t="s">
        <v>26</v>
      </c>
      <c r="D169" s="12" t="s">
        <v>32</v>
      </c>
      <c r="E169" s="12" t="s">
        <v>428</v>
      </c>
      <c r="F169" s="34" t="s">
        <v>496</v>
      </c>
      <c r="G169" s="34" t="s">
        <v>28</v>
      </c>
      <c r="H169" s="36" t="s">
        <v>497</v>
      </c>
      <c r="I169" s="12" t="s">
        <v>43</v>
      </c>
      <c r="J169" s="12" t="s">
        <v>28</v>
      </c>
      <c r="K169" s="12" t="s">
        <v>28</v>
      </c>
      <c r="L169" s="12" t="s">
        <v>38</v>
      </c>
      <c r="M169" s="12" t="s">
        <v>38</v>
      </c>
      <c r="N169" s="9">
        <v>0</v>
      </c>
      <c r="O169" s="12" t="s">
        <v>28</v>
      </c>
      <c r="P169" s="35">
        <v>0</v>
      </c>
      <c r="Q169" s="12" t="s">
        <v>28</v>
      </c>
      <c r="R169" s="35">
        <v>0</v>
      </c>
      <c r="S169" s="10" t="s">
        <v>28</v>
      </c>
      <c r="T169" s="37">
        <v>0</v>
      </c>
      <c r="U169" s="10" t="s">
        <v>28</v>
      </c>
      <c r="V169" s="11" t="s">
        <v>68</v>
      </c>
      <c r="W169" s="15" t="s">
        <v>68</v>
      </c>
      <c r="X169" s="21" t="s">
        <v>887</v>
      </c>
      <c r="Y169" s="67" t="s">
        <v>68</v>
      </c>
      <c r="Z169" s="33" t="s">
        <v>887</v>
      </c>
    </row>
    <row r="170" spans="1:26">
      <c r="A170" s="31">
        <v>168</v>
      </c>
      <c r="B170" s="8" t="s">
        <v>25</v>
      </c>
      <c r="C170" s="8" t="s">
        <v>26</v>
      </c>
      <c r="D170" s="12" t="s">
        <v>32</v>
      </c>
      <c r="E170" s="12" t="s">
        <v>428</v>
      </c>
      <c r="F170" s="34" t="s">
        <v>498</v>
      </c>
      <c r="G170" s="34" t="s">
        <v>28</v>
      </c>
      <c r="H170" s="36" t="s">
        <v>499</v>
      </c>
      <c r="I170" s="12" t="s">
        <v>53</v>
      </c>
      <c r="J170" s="12" t="s">
        <v>28</v>
      </c>
      <c r="K170" s="12" t="s">
        <v>28</v>
      </c>
      <c r="L170" s="12" t="s">
        <v>38</v>
      </c>
      <c r="M170" s="12" t="s">
        <v>38</v>
      </c>
      <c r="N170" s="9">
        <v>0</v>
      </c>
      <c r="O170" s="12" t="s">
        <v>28</v>
      </c>
      <c r="P170" s="35">
        <v>0</v>
      </c>
      <c r="Q170" s="12" t="s">
        <v>28</v>
      </c>
      <c r="R170" s="35">
        <v>0</v>
      </c>
      <c r="S170" s="10" t="s">
        <v>28</v>
      </c>
      <c r="T170" s="37">
        <v>0</v>
      </c>
      <c r="U170" s="10" t="s">
        <v>28</v>
      </c>
      <c r="V170" s="11" t="s">
        <v>68</v>
      </c>
      <c r="W170" s="15" t="s">
        <v>68</v>
      </c>
      <c r="X170" s="21" t="s">
        <v>887</v>
      </c>
      <c r="Y170" s="67" t="s">
        <v>68</v>
      </c>
      <c r="Z170" s="33" t="s">
        <v>887</v>
      </c>
    </row>
    <row r="171" spans="1:26">
      <c r="A171" s="31">
        <v>169</v>
      </c>
      <c r="B171" s="8" t="s">
        <v>25</v>
      </c>
      <c r="C171" s="8" t="s">
        <v>26</v>
      </c>
      <c r="D171" s="12" t="s">
        <v>32</v>
      </c>
      <c r="E171" s="12" t="s">
        <v>428</v>
      </c>
      <c r="F171" s="34" t="s">
        <v>500</v>
      </c>
      <c r="G171" s="34" t="s">
        <v>28</v>
      </c>
      <c r="H171" s="36" t="s">
        <v>501</v>
      </c>
      <c r="I171" s="12" t="s">
        <v>53</v>
      </c>
      <c r="J171" s="12" t="s">
        <v>28</v>
      </c>
      <c r="K171" s="12" t="s">
        <v>28</v>
      </c>
      <c r="L171" s="12" t="s">
        <v>38</v>
      </c>
      <c r="M171" s="12" t="s">
        <v>38</v>
      </c>
      <c r="N171" s="9">
        <v>0</v>
      </c>
      <c r="O171" s="12" t="s">
        <v>28</v>
      </c>
      <c r="P171" s="35">
        <v>0</v>
      </c>
      <c r="Q171" s="12" t="s">
        <v>28</v>
      </c>
      <c r="R171" s="35">
        <v>0</v>
      </c>
      <c r="S171" s="10" t="s">
        <v>28</v>
      </c>
      <c r="T171" s="37">
        <v>0</v>
      </c>
      <c r="U171" s="10" t="s">
        <v>28</v>
      </c>
      <c r="V171" s="11" t="s">
        <v>68</v>
      </c>
      <c r="W171" s="15" t="s">
        <v>68</v>
      </c>
      <c r="X171" s="21" t="s">
        <v>887</v>
      </c>
      <c r="Y171" s="67" t="s">
        <v>68</v>
      </c>
      <c r="Z171" s="33" t="s">
        <v>887</v>
      </c>
    </row>
    <row r="172" spans="1:26">
      <c r="A172" s="31">
        <v>170</v>
      </c>
      <c r="B172" s="8" t="s">
        <v>25</v>
      </c>
      <c r="C172" s="8" t="s">
        <v>26</v>
      </c>
      <c r="D172" s="12" t="s">
        <v>32</v>
      </c>
      <c r="E172" s="12" t="s">
        <v>502</v>
      </c>
      <c r="F172" s="34" t="s">
        <v>503</v>
      </c>
      <c r="G172" s="34" t="s">
        <v>504</v>
      </c>
      <c r="H172" s="36" t="s">
        <v>505</v>
      </c>
      <c r="I172" s="12" t="s">
        <v>227</v>
      </c>
      <c r="J172" s="12" t="s">
        <v>38</v>
      </c>
      <c r="K172" s="12" t="s">
        <v>432</v>
      </c>
      <c r="L172" s="12" t="s">
        <v>28</v>
      </c>
      <c r="M172" s="12" t="s">
        <v>28</v>
      </c>
      <c r="N172" s="9">
        <v>73150000000</v>
      </c>
      <c r="O172" s="10">
        <v>40067</v>
      </c>
      <c r="P172" s="9">
        <v>69300000000</v>
      </c>
      <c r="Q172" s="10">
        <v>40725</v>
      </c>
      <c r="R172" s="9">
        <v>64166000000</v>
      </c>
      <c r="S172" s="10">
        <v>43068</v>
      </c>
      <c r="T172" s="37">
        <v>99642400000.000015</v>
      </c>
      <c r="U172" s="10">
        <v>45593</v>
      </c>
      <c r="V172" s="34" t="s">
        <v>506</v>
      </c>
      <c r="W172" s="15" t="s">
        <v>881</v>
      </c>
      <c r="X172" s="21" t="s">
        <v>887</v>
      </c>
      <c r="Y172" s="67" t="s">
        <v>68</v>
      </c>
      <c r="Z172" s="33" t="s">
        <v>887</v>
      </c>
    </row>
    <row r="173" spans="1:26">
      <c r="A173" s="31">
        <v>171</v>
      </c>
      <c r="B173" s="8" t="s">
        <v>25</v>
      </c>
      <c r="C173" s="8" t="s">
        <v>26</v>
      </c>
      <c r="D173" s="12" t="s">
        <v>32</v>
      </c>
      <c r="E173" s="12" t="s">
        <v>502</v>
      </c>
      <c r="F173" s="34" t="s">
        <v>507</v>
      </c>
      <c r="G173" s="34" t="s">
        <v>508</v>
      </c>
      <c r="H173" s="36" t="s">
        <v>509</v>
      </c>
      <c r="I173" s="12" t="s">
        <v>118</v>
      </c>
      <c r="J173" s="12" t="s">
        <v>38</v>
      </c>
      <c r="K173" s="12" t="s">
        <v>28</v>
      </c>
      <c r="L173" s="12" t="s">
        <v>28</v>
      </c>
      <c r="M173" s="12" t="s">
        <v>38</v>
      </c>
      <c r="N173" s="9">
        <v>0</v>
      </c>
      <c r="O173" s="12" t="s">
        <v>28</v>
      </c>
      <c r="P173" s="35">
        <v>0</v>
      </c>
      <c r="Q173" s="12" t="s">
        <v>28</v>
      </c>
      <c r="R173" s="35">
        <v>832592999.70000005</v>
      </c>
      <c r="S173" s="10">
        <v>42384</v>
      </c>
      <c r="T173" s="37">
        <v>2018500000.0000002</v>
      </c>
      <c r="U173" s="10">
        <v>45446</v>
      </c>
      <c r="V173" s="34" t="s">
        <v>506</v>
      </c>
      <c r="W173" s="15" t="s">
        <v>881</v>
      </c>
      <c r="X173" s="21" t="s">
        <v>887</v>
      </c>
      <c r="Y173" s="67" t="s">
        <v>68</v>
      </c>
      <c r="Z173" s="33" t="s">
        <v>887</v>
      </c>
    </row>
    <row r="174" spans="1:26">
      <c r="A174" s="31">
        <v>172</v>
      </c>
      <c r="B174" s="8" t="s">
        <v>25</v>
      </c>
      <c r="C174" s="8" t="s">
        <v>26</v>
      </c>
      <c r="D174" s="12" t="s">
        <v>32</v>
      </c>
      <c r="E174" s="12" t="s">
        <v>502</v>
      </c>
      <c r="F174" s="34" t="s">
        <v>510</v>
      </c>
      <c r="G174" s="34" t="s">
        <v>511</v>
      </c>
      <c r="H174" s="36" t="s">
        <v>512</v>
      </c>
      <c r="I174" s="12" t="s">
        <v>43</v>
      </c>
      <c r="J174" s="12" t="s">
        <v>38</v>
      </c>
      <c r="K174" s="12" t="s">
        <v>28</v>
      </c>
      <c r="L174" s="12" t="s">
        <v>28</v>
      </c>
      <c r="M174" s="12" t="s">
        <v>38</v>
      </c>
      <c r="N174" s="9">
        <v>0</v>
      </c>
      <c r="O174" s="12" t="s">
        <v>28</v>
      </c>
      <c r="P174" s="9">
        <v>8635000000</v>
      </c>
      <c r="Q174" s="10">
        <v>40407</v>
      </c>
      <c r="R174" s="9">
        <v>23727000000</v>
      </c>
      <c r="S174" s="10">
        <v>42726</v>
      </c>
      <c r="T174" s="37">
        <v>0</v>
      </c>
      <c r="U174" s="10" t="s">
        <v>28</v>
      </c>
      <c r="V174" s="34" t="s">
        <v>506</v>
      </c>
      <c r="W174" s="15" t="s">
        <v>881</v>
      </c>
      <c r="X174" s="21" t="s">
        <v>887</v>
      </c>
      <c r="Y174" s="67" t="s">
        <v>68</v>
      </c>
      <c r="Z174" s="33" t="s">
        <v>887</v>
      </c>
    </row>
    <row r="175" spans="1:26">
      <c r="A175" s="31">
        <v>173</v>
      </c>
      <c r="B175" s="8" t="s">
        <v>25</v>
      </c>
      <c r="C175" s="8" t="s">
        <v>26</v>
      </c>
      <c r="D175" s="12" t="s">
        <v>32</v>
      </c>
      <c r="E175" s="12" t="s">
        <v>502</v>
      </c>
      <c r="F175" s="34" t="s">
        <v>513</v>
      </c>
      <c r="G175" s="34" t="s">
        <v>514</v>
      </c>
      <c r="H175" s="36" t="s">
        <v>515</v>
      </c>
      <c r="I175" s="12" t="s">
        <v>43</v>
      </c>
      <c r="J175" s="12" t="s">
        <v>38</v>
      </c>
      <c r="K175" s="12" t="s">
        <v>28</v>
      </c>
      <c r="L175" s="12" t="s">
        <v>28</v>
      </c>
      <c r="M175" s="12" t="s">
        <v>38</v>
      </c>
      <c r="N175" s="9">
        <v>11027500000</v>
      </c>
      <c r="O175" s="10">
        <v>39542</v>
      </c>
      <c r="P175" s="9">
        <v>7535000000.000001</v>
      </c>
      <c r="Q175" s="10">
        <v>40539</v>
      </c>
      <c r="R175" s="9">
        <v>14916000000</v>
      </c>
      <c r="S175" s="10">
        <v>42538</v>
      </c>
      <c r="T175" s="37">
        <v>0</v>
      </c>
      <c r="U175" s="10" t="s">
        <v>28</v>
      </c>
      <c r="V175" s="34" t="s">
        <v>506</v>
      </c>
      <c r="W175" s="15" t="s">
        <v>881</v>
      </c>
      <c r="X175" s="21" t="s">
        <v>887</v>
      </c>
      <c r="Y175" s="67" t="s">
        <v>68</v>
      </c>
      <c r="Z175" s="33" t="s">
        <v>887</v>
      </c>
    </row>
    <row r="176" spans="1:26">
      <c r="A176" s="31">
        <v>174</v>
      </c>
      <c r="B176" s="8" t="s">
        <v>25</v>
      </c>
      <c r="C176" s="8" t="s">
        <v>26</v>
      </c>
      <c r="D176" s="12" t="s">
        <v>32</v>
      </c>
      <c r="E176" s="12" t="s">
        <v>502</v>
      </c>
      <c r="F176" s="34" t="s">
        <v>516</v>
      </c>
      <c r="G176" s="34" t="s">
        <v>517</v>
      </c>
      <c r="H176" s="36" t="s">
        <v>518</v>
      </c>
      <c r="I176" s="12" t="s">
        <v>43</v>
      </c>
      <c r="J176" s="12" t="s">
        <v>38</v>
      </c>
      <c r="K176" s="12" t="s">
        <v>28</v>
      </c>
      <c r="L176" s="12" t="s">
        <v>28</v>
      </c>
      <c r="M176" s="12" t="s">
        <v>38</v>
      </c>
      <c r="N176" s="9">
        <v>0</v>
      </c>
      <c r="O176" s="12" t="s">
        <v>28</v>
      </c>
      <c r="P176" s="9">
        <v>5324000000</v>
      </c>
      <c r="Q176" s="10">
        <v>40610</v>
      </c>
      <c r="R176" s="9">
        <v>15684000000</v>
      </c>
      <c r="S176" s="10">
        <v>42580</v>
      </c>
      <c r="T176" s="37">
        <v>0</v>
      </c>
      <c r="U176" s="10" t="s">
        <v>28</v>
      </c>
      <c r="V176" s="34" t="s">
        <v>506</v>
      </c>
      <c r="W176" s="15" t="s">
        <v>881</v>
      </c>
      <c r="X176" s="21" t="s">
        <v>887</v>
      </c>
      <c r="Y176" s="67" t="s">
        <v>68</v>
      </c>
      <c r="Z176" s="33" t="s">
        <v>887</v>
      </c>
    </row>
    <row r="177" spans="1:26">
      <c r="A177" s="31">
        <v>175</v>
      </c>
      <c r="B177" s="8" t="s">
        <v>25</v>
      </c>
      <c r="C177" s="8" t="s">
        <v>26</v>
      </c>
      <c r="D177" s="12" t="s">
        <v>32</v>
      </c>
      <c r="E177" s="12" t="s">
        <v>502</v>
      </c>
      <c r="F177" s="34" t="s">
        <v>519</v>
      </c>
      <c r="G177" s="34" t="s">
        <v>520</v>
      </c>
      <c r="H177" s="36" t="s">
        <v>521</v>
      </c>
      <c r="I177" s="12" t="s">
        <v>125</v>
      </c>
      <c r="J177" s="12" t="s">
        <v>38</v>
      </c>
      <c r="K177" s="12" t="s">
        <v>28</v>
      </c>
      <c r="L177" s="12" t="s">
        <v>28</v>
      </c>
      <c r="M177" s="12" t="s">
        <v>38</v>
      </c>
      <c r="N177" s="9">
        <v>0</v>
      </c>
      <c r="O177" s="12" t="s">
        <v>28</v>
      </c>
      <c r="P177" s="9">
        <v>7018000000.000001</v>
      </c>
      <c r="Q177" s="10">
        <v>40476</v>
      </c>
      <c r="R177" s="9">
        <v>8360000000</v>
      </c>
      <c r="S177" s="10">
        <v>42733</v>
      </c>
      <c r="T177" s="37">
        <v>0</v>
      </c>
      <c r="U177" s="10" t="s">
        <v>28</v>
      </c>
      <c r="V177" s="34" t="s">
        <v>506</v>
      </c>
      <c r="W177" s="15" t="s">
        <v>881</v>
      </c>
      <c r="X177" s="21" t="s">
        <v>887</v>
      </c>
      <c r="Y177" s="67" t="s">
        <v>68</v>
      </c>
      <c r="Z177" s="33" t="s">
        <v>887</v>
      </c>
    </row>
    <row r="178" spans="1:26">
      <c r="A178" s="31">
        <v>176</v>
      </c>
      <c r="B178" s="8" t="s">
        <v>25</v>
      </c>
      <c r="C178" s="8" t="s">
        <v>26</v>
      </c>
      <c r="D178" s="12" t="s">
        <v>32</v>
      </c>
      <c r="E178" s="12" t="s">
        <v>502</v>
      </c>
      <c r="F178" s="34" t="s">
        <v>522</v>
      </c>
      <c r="G178" s="34" t="s">
        <v>523</v>
      </c>
      <c r="H178" s="36" t="s">
        <v>524</v>
      </c>
      <c r="I178" s="12" t="s">
        <v>125</v>
      </c>
      <c r="J178" s="12" t="s">
        <v>38</v>
      </c>
      <c r="K178" s="12" t="s">
        <v>28</v>
      </c>
      <c r="L178" s="12" t="s">
        <v>28</v>
      </c>
      <c r="M178" s="12" t="s">
        <v>38</v>
      </c>
      <c r="N178" s="9">
        <v>8476600000.000001</v>
      </c>
      <c r="O178" s="10">
        <v>39932</v>
      </c>
      <c r="P178" s="9">
        <v>8137841897</v>
      </c>
      <c r="Q178" s="10">
        <v>40697</v>
      </c>
      <c r="R178" s="9">
        <v>5074000000</v>
      </c>
      <c r="S178" s="10">
        <v>42621</v>
      </c>
      <c r="T178" s="37">
        <v>0</v>
      </c>
      <c r="U178" s="10" t="s">
        <v>28</v>
      </c>
      <c r="V178" s="34" t="s">
        <v>506</v>
      </c>
      <c r="W178" s="15" t="s">
        <v>881</v>
      </c>
      <c r="X178" s="21" t="s">
        <v>887</v>
      </c>
      <c r="Y178" s="67" t="s">
        <v>68</v>
      </c>
      <c r="Z178" s="33" t="s">
        <v>887</v>
      </c>
    </row>
    <row r="179" spans="1:26">
      <c r="A179" s="31">
        <v>177</v>
      </c>
      <c r="B179" s="8" t="s">
        <v>25</v>
      </c>
      <c r="C179" s="8" t="s">
        <v>26</v>
      </c>
      <c r="D179" s="12" t="s">
        <v>32</v>
      </c>
      <c r="E179" s="12" t="s">
        <v>502</v>
      </c>
      <c r="F179" s="34" t="s">
        <v>525</v>
      </c>
      <c r="G179" s="34" t="s">
        <v>526</v>
      </c>
      <c r="H179" s="36" t="s">
        <v>527</v>
      </c>
      <c r="I179" s="12" t="s">
        <v>528</v>
      </c>
      <c r="J179" s="12" t="s">
        <v>38</v>
      </c>
      <c r="K179" s="12" t="s">
        <v>28</v>
      </c>
      <c r="L179" s="12" t="s">
        <v>28</v>
      </c>
      <c r="M179" s="12" t="s">
        <v>38</v>
      </c>
      <c r="N179" s="9">
        <v>0</v>
      </c>
      <c r="O179" s="12" t="s">
        <v>28</v>
      </c>
      <c r="P179" s="35">
        <v>0</v>
      </c>
      <c r="Q179" s="12" t="s">
        <v>28</v>
      </c>
      <c r="R179" s="9">
        <v>5331000000</v>
      </c>
      <c r="S179" s="10">
        <v>42429</v>
      </c>
      <c r="T179" s="37">
        <v>0</v>
      </c>
      <c r="U179" s="10" t="s">
        <v>28</v>
      </c>
      <c r="V179" s="34" t="s">
        <v>506</v>
      </c>
      <c r="W179" s="15" t="s">
        <v>881</v>
      </c>
      <c r="X179" s="21" t="s">
        <v>887</v>
      </c>
      <c r="Y179" s="67" t="s">
        <v>68</v>
      </c>
      <c r="Z179" s="33" t="s">
        <v>887</v>
      </c>
    </row>
    <row r="180" spans="1:26">
      <c r="A180" s="31">
        <v>178</v>
      </c>
      <c r="B180" s="8" t="s">
        <v>25</v>
      </c>
      <c r="C180" s="8" t="s">
        <v>26</v>
      </c>
      <c r="D180" s="12" t="s">
        <v>32</v>
      </c>
      <c r="E180" s="12" t="s">
        <v>502</v>
      </c>
      <c r="F180" s="34" t="s">
        <v>529</v>
      </c>
      <c r="G180" s="34" t="s">
        <v>530</v>
      </c>
      <c r="H180" s="36" t="s">
        <v>531</v>
      </c>
      <c r="I180" s="12" t="s">
        <v>37</v>
      </c>
      <c r="J180" s="12" t="s">
        <v>38</v>
      </c>
      <c r="K180" s="12" t="s">
        <v>28</v>
      </c>
      <c r="L180" s="12" t="s">
        <v>28</v>
      </c>
      <c r="M180" s="12" t="s">
        <v>38</v>
      </c>
      <c r="N180" s="9">
        <v>0</v>
      </c>
      <c r="O180" s="12" t="s">
        <v>28</v>
      </c>
      <c r="P180" s="35">
        <v>0</v>
      </c>
      <c r="Q180" s="12" t="s">
        <v>28</v>
      </c>
      <c r="R180" s="35">
        <v>0</v>
      </c>
      <c r="S180" s="10" t="s">
        <v>28</v>
      </c>
      <c r="T180" s="9">
        <v>5244000000</v>
      </c>
      <c r="U180" s="10">
        <v>45426</v>
      </c>
      <c r="V180" s="34" t="s">
        <v>506</v>
      </c>
      <c r="W180" s="15" t="s">
        <v>881</v>
      </c>
      <c r="X180" s="21" t="s">
        <v>887</v>
      </c>
      <c r="Y180" s="67" t="s">
        <v>68</v>
      </c>
      <c r="Z180" s="33" t="s">
        <v>887</v>
      </c>
    </row>
    <row r="181" spans="1:26">
      <c r="A181" s="31">
        <v>179</v>
      </c>
      <c r="B181" s="8" t="s">
        <v>25</v>
      </c>
      <c r="C181" s="8" t="s">
        <v>26</v>
      </c>
      <c r="D181" s="12" t="s">
        <v>32</v>
      </c>
      <c r="E181" s="12" t="s">
        <v>502</v>
      </c>
      <c r="F181" s="34" t="s">
        <v>532</v>
      </c>
      <c r="G181" s="34" t="s">
        <v>533</v>
      </c>
      <c r="H181" s="36" t="s">
        <v>534</v>
      </c>
      <c r="I181" s="12" t="s">
        <v>118</v>
      </c>
      <c r="J181" s="12" t="s">
        <v>38</v>
      </c>
      <c r="K181" s="12" t="s">
        <v>28</v>
      </c>
      <c r="L181" s="12" t="s">
        <v>28</v>
      </c>
      <c r="M181" s="12" t="s">
        <v>38</v>
      </c>
      <c r="N181" s="9">
        <v>0</v>
      </c>
      <c r="O181" s="12" t="s">
        <v>28</v>
      </c>
      <c r="P181" s="35">
        <v>0</v>
      </c>
      <c r="Q181" s="12" t="s">
        <v>28</v>
      </c>
      <c r="R181" s="35">
        <v>0</v>
      </c>
      <c r="S181" s="10" t="s">
        <v>28</v>
      </c>
      <c r="T181" s="37">
        <v>4554748000</v>
      </c>
      <c r="U181" s="10">
        <v>45476</v>
      </c>
      <c r="V181" s="34" t="s">
        <v>506</v>
      </c>
      <c r="W181" s="15" t="s">
        <v>881</v>
      </c>
      <c r="X181" s="21" t="s">
        <v>887</v>
      </c>
      <c r="Y181" s="67" t="s">
        <v>68</v>
      </c>
      <c r="Z181" s="33" t="s">
        <v>887</v>
      </c>
    </row>
    <row r="182" spans="1:26">
      <c r="A182" s="31">
        <v>180</v>
      </c>
      <c r="B182" s="8" t="s">
        <v>25</v>
      </c>
      <c r="C182" s="8" t="s">
        <v>26</v>
      </c>
      <c r="D182" s="12" t="s">
        <v>32</v>
      </c>
      <c r="E182" s="12" t="s">
        <v>502</v>
      </c>
      <c r="F182" s="34" t="s">
        <v>535</v>
      </c>
      <c r="G182" s="34" t="s">
        <v>536</v>
      </c>
      <c r="H182" s="36" t="s">
        <v>537</v>
      </c>
      <c r="I182" s="12" t="s">
        <v>43</v>
      </c>
      <c r="J182" s="12" t="s">
        <v>38</v>
      </c>
      <c r="K182" s="12" t="s">
        <v>28</v>
      </c>
      <c r="L182" s="12" t="s">
        <v>28</v>
      </c>
      <c r="M182" s="12" t="s">
        <v>38</v>
      </c>
      <c r="N182" s="9">
        <v>0</v>
      </c>
      <c r="O182" s="12" t="s">
        <v>28</v>
      </c>
      <c r="P182" s="35">
        <v>0</v>
      </c>
      <c r="Q182" s="12" t="s">
        <v>28</v>
      </c>
      <c r="R182" s="9">
        <v>11022000000</v>
      </c>
      <c r="S182" s="10">
        <v>43068</v>
      </c>
      <c r="T182" s="37">
        <v>0</v>
      </c>
      <c r="U182" s="10" t="s">
        <v>28</v>
      </c>
      <c r="V182" s="34" t="s">
        <v>506</v>
      </c>
      <c r="W182" s="15" t="s">
        <v>881</v>
      </c>
      <c r="X182" s="21" t="s">
        <v>887</v>
      </c>
      <c r="Y182" s="67" t="s">
        <v>68</v>
      </c>
      <c r="Z182" s="33" t="s">
        <v>887</v>
      </c>
    </row>
    <row r="183" spans="1:26">
      <c r="A183" s="31">
        <v>181</v>
      </c>
      <c r="B183" s="8" t="s">
        <v>25</v>
      </c>
      <c r="C183" s="8" t="s">
        <v>26</v>
      </c>
      <c r="D183" s="12" t="s">
        <v>32</v>
      </c>
      <c r="E183" s="12" t="s">
        <v>502</v>
      </c>
      <c r="F183" s="34" t="s">
        <v>538</v>
      </c>
      <c r="G183" s="34" t="s">
        <v>539</v>
      </c>
      <c r="H183" s="36" t="s">
        <v>540</v>
      </c>
      <c r="I183" s="12" t="s">
        <v>118</v>
      </c>
      <c r="J183" s="12" t="s">
        <v>38</v>
      </c>
      <c r="K183" s="12" t="s">
        <v>38</v>
      </c>
      <c r="L183" s="12" t="s">
        <v>28</v>
      </c>
      <c r="M183" s="12" t="s">
        <v>28</v>
      </c>
      <c r="N183" s="9">
        <v>0</v>
      </c>
      <c r="O183" s="12" t="s">
        <v>28</v>
      </c>
      <c r="P183" s="9">
        <v>133650000000</v>
      </c>
      <c r="Q183" s="10">
        <v>40704</v>
      </c>
      <c r="R183" s="9">
        <v>46824000000</v>
      </c>
      <c r="S183" s="10">
        <v>42842</v>
      </c>
      <c r="T183" s="37">
        <v>0</v>
      </c>
      <c r="U183" s="10" t="s">
        <v>28</v>
      </c>
      <c r="V183" s="34" t="s">
        <v>506</v>
      </c>
      <c r="W183" s="15" t="s">
        <v>881</v>
      </c>
      <c r="X183" s="21" t="s">
        <v>887</v>
      </c>
      <c r="Y183" s="67" t="s">
        <v>68</v>
      </c>
      <c r="Z183" s="33" t="s">
        <v>887</v>
      </c>
    </row>
    <row r="184" spans="1:26">
      <c r="A184" s="31">
        <v>182</v>
      </c>
      <c r="B184" s="8" t="s">
        <v>25</v>
      </c>
      <c r="C184" s="8" t="s">
        <v>26</v>
      </c>
      <c r="D184" s="12" t="s">
        <v>32</v>
      </c>
      <c r="E184" s="12" t="s">
        <v>502</v>
      </c>
      <c r="F184" s="34" t="s">
        <v>541</v>
      </c>
      <c r="G184" s="34" t="s">
        <v>542</v>
      </c>
      <c r="H184" s="36" t="s">
        <v>543</v>
      </c>
      <c r="I184" s="12" t="s">
        <v>118</v>
      </c>
      <c r="J184" s="12" t="s">
        <v>38</v>
      </c>
      <c r="K184" s="12" t="s">
        <v>38</v>
      </c>
      <c r="L184" s="12" t="s">
        <v>28</v>
      </c>
      <c r="M184" s="12" t="s">
        <v>28</v>
      </c>
      <c r="N184" s="9">
        <v>0</v>
      </c>
      <c r="O184" s="12" t="s">
        <v>28</v>
      </c>
      <c r="P184" s="9">
        <v>9130000000</v>
      </c>
      <c r="Q184" s="10">
        <v>40779</v>
      </c>
      <c r="R184" s="35">
        <v>0</v>
      </c>
      <c r="S184" s="10" t="s">
        <v>28</v>
      </c>
      <c r="T184" s="37">
        <v>0</v>
      </c>
      <c r="U184" s="10" t="s">
        <v>28</v>
      </c>
      <c r="V184" s="34" t="s">
        <v>506</v>
      </c>
      <c r="W184" s="15" t="s">
        <v>881</v>
      </c>
      <c r="X184" s="21" t="s">
        <v>887</v>
      </c>
      <c r="Y184" s="67" t="s">
        <v>68</v>
      </c>
      <c r="Z184" s="33" t="s">
        <v>887</v>
      </c>
    </row>
    <row r="185" spans="1:26">
      <c r="A185" s="31">
        <v>182</v>
      </c>
      <c r="B185" s="8" t="s">
        <v>25</v>
      </c>
      <c r="C185" s="8" t="s">
        <v>26</v>
      </c>
      <c r="D185" s="12" t="s">
        <v>32</v>
      </c>
      <c r="E185" s="12" t="s">
        <v>502</v>
      </c>
      <c r="F185" s="34" t="s">
        <v>544</v>
      </c>
      <c r="G185" s="34" t="s">
        <v>545</v>
      </c>
      <c r="H185" s="36" t="s">
        <v>546</v>
      </c>
      <c r="I185" s="12"/>
      <c r="J185" s="12"/>
      <c r="K185" s="12"/>
      <c r="L185" s="12"/>
      <c r="M185" s="12"/>
      <c r="N185" s="9">
        <v>0</v>
      </c>
      <c r="O185" s="12"/>
      <c r="P185" s="9">
        <v>0</v>
      </c>
      <c r="Q185" s="10"/>
      <c r="R185" s="35">
        <v>3971000000.0000005</v>
      </c>
      <c r="S185" s="10">
        <v>43159</v>
      </c>
      <c r="T185" s="37"/>
      <c r="U185" s="10"/>
      <c r="V185" s="34" t="s">
        <v>506</v>
      </c>
      <c r="W185" s="15" t="s">
        <v>881</v>
      </c>
      <c r="X185" s="21" t="s">
        <v>887</v>
      </c>
      <c r="Y185" s="67" t="s">
        <v>68</v>
      </c>
      <c r="Z185" s="33" t="s">
        <v>887</v>
      </c>
    </row>
    <row r="186" spans="1:26">
      <c r="A186" s="31">
        <v>183</v>
      </c>
      <c r="B186" s="8" t="s">
        <v>25</v>
      </c>
      <c r="C186" s="8" t="s">
        <v>26</v>
      </c>
      <c r="D186" s="12" t="s">
        <v>32</v>
      </c>
      <c r="E186" s="12" t="s">
        <v>502</v>
      </c>
      <c r="F186" s="34" t="s">
        <v>547</v>
      </c>
      <c r="G186" s="34" t="s">
        <v>28</v>
      </c>
      <c r="H186" s="36" t="s">
        <v>548</v>
      </c>
      <c r="I186" s="12" t="s">
        <v>125</v>
      </c>
      <c r="J186" s="12" t="s">
        <v>38</v>
      </c>
      <c r="K186" s="12" t="s">
        <v>28</v>
      </c>
      <c r="L186" s="12" t="s">
        <v>28</v>
      </c>
      <c r="M186" s="12" t="s">
        <v>38</v>
      </c>
      <c r="N186" s="9">
        <v>0</v>
      </c>
      <c r="O186" s="12" t="s">
        <v>28</v>
      </c>
      <c r="P186" s="35">
        <v>0</v>
      </c>
      <c r="Q186" s="12" t="s">
        <v>28</v>
      </c>
      <c r="R186" s="35">
        <v>0</v>
      </c>
      <c r="S186" s="10" t="s">
        <v>28</v>
      </c>
      <c r="T186" s="37">
        <v>0</v>
      </c>
      <c r="U186" s="10" t="s">
        <v>28</v>
      </c>
      <c r="V186" s="34" t="s">
        <v>68</v>
      </c>
      <c r="W186" s="15" t="s">
        <v>68</v>
      </c>
      <c r="X186" s="21" t="s">
        <v>887</v>
      </c>
      <c r="Y186" s="67" t="s">
        <v>68</v>
      </c>
      <c r="Z186" s="33" t="s">
        <v>887</v>
      </c>
    </row>
    <row r="187" spans="1:26">
      <c r="A187" s="31">
        <v>184</v>
      </c>
      <c r="B187" s="8" t="s">
        <v>25</v>
      </c>
      <c r="C187" s="8" t="s">
        <v>26</v>
      </c>
      <c r="D187" s="12" t="s">
        <v>32</v>
      </c>
      <c r="E187" s="12" t="s">
        <v>502</v>
      </c>
      <c r="F187" s="34" t="s">
        <v>549</v>
      </c>
      <c r="G187" s="34" t="s">
        <v>550</v>
      </c>
      <c r="H187" s="36" t="s">
        <v>551</v>
      </c>
      <c r="I187" s="12" t="s">
        <v>125</v>
      </c>
      <c r="J187" s="12" t="s">
        <v>38</v>
      </c>
      <c r="K187" s="12" t="s">
        <v>28</v>
      </c>
      <c r="L187" s="12" t="s">
        <v>28</v>
      </c>
      <c r="M187" s="12" t="s">
        <v>38</v>
      </c>
      <c r="N187" s="9">
        <v>0</v>
      </c>
      <c r="O187" s="12" t="s">
        <v>28</v>
      </c>
      <c r="P187" s="35">
        <v>0</v>
      </c>
      <c r="Q187" s="12" t="s">
        <v>28</v>
      </c>
      <c r="R187" s="35">
        <v>368500000</v>
      </c>
      <c r="S187" s="10">
        <v>43122</v>
      </c>
      <c r="T187" s="37">
        <v>0</v>
      </c>
      <c r="U187" s="10" t="s">
        <v>28</v>
      </c>
      <c r="V187" s="34" t="s">
        <v>506</v>
      </c>
      <c r="W187" s="15" t="s">
        <v>881</v>
      </c>
      <c r="X187" s="21" t="s">
        <v>887</v>
      </c>
      <c r="Y187" s="67" t="s">
        <v>68</v>
      </c>
      <c r="Z187" s="33" t="s">
        <v>887</v>
      </c>
    </row>
    <row r="188" spans="1:26">
      <c r="A188" s="31">
        <v>185</v>
      </c>
      <c r="B188" s="8" t="s">
        <v>25</v>
      </c>
      <c r="C188" s="8" t="s">
        <v>26</v>
      </c>
      <c r="D188" s="12" t="s">
        <v>32</v>
      </c>
      <c r="E188" s="12" t="s">
        <v>502</v>
      </c>
      <c r="F188" s="34" t="s">
        <v>552</v>
      </c>
      <c r="G188" s="34" t="s">
        <v>553</v>
      </c>
      <c r="H188" s="36" t="s">
        <v>554</v>
      </c>
      <c r="I188" s="12" t="s">
        <v>118</v>
      </c>
      <c r="J188" s="12" t="s">
        <v>38</v>
      </c>
      <c r="K188" s="12" t="s">
        <v>38</v>
      </c>
      <c r="L188" s="12" t="s">
        <v>28</v>
      </c>
      <c r="M188" s="12" t="s">
        <v>28</v>
      </c>
      <c r="N188" s="9">
        <v>0</v>
      </c>
      <c r="O188" s="12" t="s">
        <v>28</v>
      </c>
      <c r="P188" s="9">
        <v>11900000000</v>
      </c>
      <c r="Q188" s="10">
        <v>41019</v>
      </c>
      <c r="R188" s="35">
        <v>0</v>
      </c>
      <c r="S188" s="10" t="s">
        <v>28</v>
      </c>
      <c r="T188" s="37">
        <v>0</v>
      </c>
      <c r="U188" s="10" t="s">
        <v>28</v>
      </c>
      <c r="V188" s="34" t="s">
        <v>555</v>
      </c>
      <c r="W188" s="15" t="s">
        <v>881</v>
      </c>
      <c r="X188" s="21" t="s">
        <v>887</v>
      </c>
      <c r="Y188" s="67" t="s">
        <v>68</v>
      </c>
      <c r="Z188" s="33" t="s">
        <v>887</v>
      </c>
    </row>
    <row r="189" spans="1:26">
      <c r="A189" s="31">
        <v>185</v>
      </c>
      <c r="B189" s="8" t="s">
        <v>25</v>
      </c>
      <c r="C189" s="8" t="s">
        <v>26</v>
      </c>
      <c r="D189" s="12" t="s">
        <v>32</v>
      </c>
      <c r="E189" s="12" t="s">
        <v>502</v>
      </c>
      <c r="F189" s="34" t="s">
        <v>556</v>
      </c>
      <c r="G189" s="34" t="s">
        <v>557</v>
      </c>
      <c r="H189" s="36" t="s">
        <v>558</v>
      </c>
      <c r="I189" s="12"/>
      <c r="J189" s="12"/>
      <c r="K189" s="12"/>
      <c r="L189" s="12"/>
      <c r="M189" s="12"/>
      <c r="N189" s="9">
        <v>0</v>
      </c>
      <c r="O189" s="12" t="s">
        <v>28</v>
      </c>
      <c r="P189" s="9">
        <v>0</v>
      </c>
      <c r="Q189" s="12" t="s">
        <v>28</v>
      </c>
      <c r="R189" s="35">
        <v>4290000000.0000005</v>
      </c>
      <c r="S189" s="10">
        <v>42361</v>
      </c>
      <c r="T189" s="37"/>
      <c r="U189" s="10"/>
      <c r="V189" s="34" t="s">
        <v>555</v>
      </c>
      <c r="W189" s="15" t="s">
        <v>881</v>
      </c>
      <c r="X189" s="21" t="s">
        <v>887</v>
      </c>
      <c r="Y189" s="67" t="s">
        <v>68</v>
      </c>
      <c r="Z189" s="33" t="s">
        <v>887</v>
      </c>
    </row>
    <row r="190" spans="1:26">
      <c r="A190" s="31">
        <v>186</v>
      </c>
      <c r="B190" s="8" t="s">
        <v>25</v>
      </c>
      <c r="C190" s="8" t="s">
        <v>26</v>
      </c>
      <c r="D190" s="12" t="s">
        <v>32</v>
      </c>
      <c r="E190" s="12" t="s">
        <v>502</v>
      </c>
      <c r="F190" s="34" t="s">
        <v>559</v>
      </c>
      <c r="G190" s="34" t="s">
        <v>560</v>
      </c>
      <c r="H190" s="36" t="s">
        <v>561</v>
      </c>
      <c r="I190" s="12" t="s">
        <v>53</v>
      </c>
      <c r="J190" s="12" t="s">
        <v>38</v>
      </c>
      <c r="K190" s="12" t="s">
        <v>28</v>
      </c>
      <c r="L190" s="12" t="s">
        <v>28</v>
      </c>
      <c r="M190" s="12" t="s">
        <v>432</v>
      </c>
      <c r="N190" s="9">
        <v>0</v>
      </c>
      <c r="O190" s="12" t="s">
        <v>28</v>
      </c>
      <c r="P190" s="35">
        <v>0</v>
      </c>
      <c r="Q190" s="12" t="s">
        <v>28</v>
      </c>
      <c r="R190" s="35">
        <v>0</v>
      </c>
      <c r="S190" s="10" t="s">
        <v>28</v>
      </c>
      <c r="T190" s="37">
        <v>0</v>
      </c>
      <c r="U190" s="10" t="s">
        <v>28</v>
      </c>
      <c r="V190" s="34" t="s">
        <v>68</v>
      </c>
      <c r="W190" s="15" t="s">
        <v>68</v>
      </c>
      <c r="X190" s="21" t="s">
        <v>887</v>
      </c>
      <c r="Y190" s="67" t="s">
        <v>68</v>
      </c>
      <c r="Z190" s="33" t="s">
        <v>887</v>
      </c>
    </row>
    <row r="191" spans="1:26">
      <c r="A191" s="31">
        <v>187</v>
      </c>
      <c r="B191" s="8" t="s">
        <v>25</v>
      </c>
      <c r="C191" s="8" t="s">
        <v>26</v>
      </c>
      <c r="D191" s="12" t="s">
        <v>32</v>
      </c>
      <c r="E191" s="12" t="s">
        <v>502</v>
      </c>
      <c r="F191" s="34" t="s">
        <v>562</v>
      </c>
      <c r="G191" s="34" t="s">
        <v>563</v>
      </c>
      <c r="H191" s="36" t="s">
        <v>564</v>
      </c>
      <c r="I191" s="12" t="s">
        <v>57</v>
      </c>
      <c r="J191" s="12" t="s">
        <v>38</v>
      </c>
      <c r="K191" s="12" t="s">
        <v>28</v>
      </c>
      <c r="L191" s="12" t="s">
        <v>28</v>
      </c>
      <c r="M191" s="12" t="s">
        <v>38</v>
      </c>
      <c r="N191" s="9">
        <v>0</v>
      </c>
      <c r="O191" s="12" t="s">
        <v>28</v>
      </c>
      <c r="P191" s="9">
        <v>13605900000.000002</v>
      </c>
      <c r="Q191" s="10">
        <v>40540</v>
      </c>
      <c r="R191" s="9">
        <v>12731000000</v>
      </c>
      <c r="S191" s="10">
        <v>42369</v>
      </c>
      <c r="T191" s="9">
        <v>24205000000</v>
      </c>
      <c r="U191" s="10">
        <v>45281</v>
      </c>
      <c r="V191" s="34" t="s">
        <v>506</v>
      </c>
      <c r="W191" s="15" t="s">
        <v>881</v>
      </c>
      <c r="X191" s="21" t="s">
        <v>887</v>
      </c>
      <c r="Y191" s="67" t="s">
        <v>68</v>
      </c>
      <c r="Z191" s="33" t="s">
        <v>887</v>
      </c>
    </row>
    <row r="192" spans="1:26">
      <c r="A192" s="31">
        <v>188</v>
      </c>
      <c r="B192" s="8" t="s">
        <v>25</v>
      </c>
      <c r="C192" s="8" t="s">
        <v>26</v>
      </c>
      <c r="D192" s="12" t="s">
        <v>32</v>
      </c>
      <c r="E192" s="12" t="s">
        <v>502</v>
      </c>
      <c r="F192" s="34" t="s">
        <v>565</v>
      </c>
      <c r="G192" s="34" t="s">
        <v>566</v>
      </c>
      <c r="H192" s="36" t="s">
        <v>567</v>
      </c>
      <c r="I192" s="12" t="s">
        <v>118</v>
      </c>
      <c r="J192" s="12" t="s">
        <v>38</v>
      </c>
      <c r="K192" s="12" t="s">
        <v>28</v>
      </c>
      <c r="L192" s="12" t="s">
        <v>28</v>
      </c>
      <c r="M192" s="12" t="s">
        <v>38</v>
      </c>
      <c r="N192" s="9">
        <v>0</v>
      </c>
      <c r="O192" s="12" t="s">
        <v>28</v>
      </c>
      <c r="P192" s="35">
        <v>0</v>
      </c>
      <c r="Q192" s="12" t="s">
        <v>28</v>
      </c>
      <c r="R192" s="35">
        <v>3512366000.0000005</v>
      </c>
      <c r="S192" s="10">
        <v>42683</v>
      </c>
      <c r="T192" s="37">
        <v>0</v>
      </c>
      <c r="U192" s="10" t="s">
        <v>28</v>
      </c>
      <c r="V192" s="34" t="s">
        <v>506</v>
      </c>
      <c r="W192" s="15" t="s">
        <v>881</v>
      </c>
      <c r="X192" s="21" t="s">
        <v>887</v>
      </c>
      <c r="Y192" s="67" t="s">
        <v>68</v>
      </c>
      <c r="Z192" s="33" t="s">
        <v>887</v>
      </c>
    </row>
    <row r="193" spans="1:26">
      <c r="A193" s="31">
        <v>189</v>
      </c>
      <c r="B193" s="8" t="s">
        <v>25</v>
      </c>
      <c r="C193" s="8" t="s">
        <v>26</v>
      </c>
      <c r="D193" s="12" t="s">
        <v>32</v>
      </c>
      <c r="E193" s="12" t="s">
        <v>502</v>
      </c>
      <c r="F193" s="34" t="s">
        <v>568</v>
      </c>
      <c r="G193" s="34" t="s">
        <v>569</v>
      </c>
      <c r="H193" s="36" t="s">
        <v>570</v>
      </c>
      <c r="I193" s="12" t="s">
        <v>118</v>
      </c>
      <c r="J193" s="12" t="s">
        <v>38</v>
      </c>
      <c r="K193" s="12" t="s">
        <v>28</v>
      </c>
      <c r="L193" s="12" t="s">
        <v>28</v>
      </c>
      <c r="M193" s="12" t="s">
        <v>38</v>
      </c>
      <c r="N193" s="9">
        <v>0</v>
      </c>
      <c r="O193" s="12" t="s">
        <v>28</v>
      </c>
      <c r="P193" s="35">
        <v>0</v>
      </c>
      <c r="Q193" s="12" t="s">
        <v>28</v>
      </c>
      <c r="R193" s="35">
        <v>2090000000.0000002</v>
      </c>
      <c r="S193" s="10">
        <v>42402</v>
      </c>
      <c r="T193" s="37">
        <v>3364900000.0000005</v>
      </c>
      <c r="U193" s="38">
        <v>45540</v>
      </c>
      <c r="V193" s="34" t="s">
        <v>506</v>
      </c>
      <c r="W193" s="15" t="s">
        <v>881</v>
      </c>
      <c r="X193" s="21" t="s">
        <v>887</v>
      </c>
      <c r="Y193" s="67" t="s">
        <v>68</v>
      </c>
      <c r="Z193" s="33" t="s">
        <v>887</v>
      </c>
    </row>
    <row r="194" spans="1:26">
      <c r="A194" s="31">
        <v>190</v>
      </c>
      <c r="B194" s="8" t="s">
        <v>25</v>
      </c>
      <c r="C194" s="8" t="s">
        <v>26</v>
      </c>
      <c r="D194" s="12" t="s">
        <v>32</v>
      </c>
      <c r="E194" s="12" t="s">
        <v>502</v>
      </c>
      <c r="F194" s="34" t="s">
        <v>571</v>
      </c>
      <c r="G194" s="34" t="s">
        <v>572</v>
      </c>
      <c r="H194" s="36" t="s">
        <v>573</v>
      </c>
      <c r="I194" s="12" t="s">
        <v>53</v>
      </c>
      <c r="J194" s="12" t="s">
        <v>38</v>
      </c>
      <c r="K194" s="12" t="s">
        <v>28</v>
      </c>
      <c r="L194" s="12" t="s">
        <v>28</v>
      </c>
      <c r="M194" s="12" t="s">
        <v>38</v>
      </c>
      <c r="N194" s="9">
        <v>0</v>
      </c>
      <c r="O194" s="12" t="s">
        <v>28</v>
      </c>
      <c r="P194" s="35">
        <v>0</v>
      </c>
      <c r="Q194" s="12" t="s">
        <v>28</v>
      </c>
      <c r="R194" s="35">
        <v>73700000</v>
      </c>
      <c r="S194" s="10">
        <v>43398</v>
      </c>
      <c r="T194" s="37">
        <v>0</v>
      </c>
      <c r="U194" s="10" t="s">
        <v>28</v>
      </c>
      <c r="V194" s="34" t="s">
        <v>506</v>
      </c>
      <c r="W194" s="15" t="s">
        <v>881</v>
      </c>
      <c r="X194" s="21" t="s">
        <v>887</v>
      </c>
      <c r="Y194" s="67" t="s">
        <v>68</v>
      </c>
      <c r="Z194" s="33" t="s">
        <v>887</v>
      </c>
    </row>
    <row r="195" spans="1:26">
      <c r="A195" s="31">
        <v>191</v>
      </c>
      <c r="B195" s="8" t="s">
        <v>25</v>
      </c>
      <c r="C195" s="8" t="s">
        <v>26</v>
      </c>
      <c r="D195" s="12" t="s">
        <v>32</v>
      </c>
      <c r="E195" s="12" t="s">
        <v>502</v>
      </c>
      <c r="F195" s="34" t="s">
        <v>574</v>
      </c>
      <c r="G195" s="34" t="s">
        <v>575</v>
      </c>
      <c r="H195" s="36" t="s">
        <v>576</v>
      </c>
      <c r="I195" s="12" t="s">
        <v>53</v>
      </c>
      <c r="J195" s="12" t="s">
        <v>38</v>
      </c>
      <c r="K195" s="12" t="s">
        <v>28</v>
      </c>
      <c r="L195" s="12" t="s">
        <v>28</v>
      </c>
      <c r="M195" s="12" t="s">
        <v>38</v>
      </c>
      <c r="N195" s="9">
        <v>0</v>
      </c>
      <c r="O195" s="12" t="s">
        <v>28</v>
      </c>
      <c r="P195" s="35">
        <v>0</v>
      </c>
      <c r="Q195" s="12" t="s">
        <v>28</v>
      </c>
      <c r="R195" s="35">
        <v>1232000000</v>
      </c>
      <c r="S195" s="10">
        <v>42901</v>
      </c>
      <c r="T195" s="37">
        <v>0</v>
      </c>
      <c r="U195" s="10" t="s">
        <v>28</v>
      </c>
      <c r="V195" s="34" t="s">
        <v>506</v>
      </c>
      <c r="W195" s="15" t="s">
        <v>881</v>
      </c>
      <c r="X195" s="21" t="s">
        <v>887</v>
      </c>
      <c r="Y195" s="67" t="s">
        <v>68</v>
      </c>
      <c r="Z195" s="33" t="s">
        <v>887</v>
      </c>
    </row>
    <row r="196" spans="1:26">
      <c r="A196" s="31">
        <v>192</v>
      </c>
      <c r="B196" s="8" t="s">
        <v>25</v>
      </c>
      <c r="C196" s="8" t="s">
        <v>26</v>
      </c>
      <c r="D196" s="12" t="s">
        <v>32</v>
      </c>
      <c r="E196" s="12" t="s">
        <v>502</v>
      </c>
      <c r="F196" s="34" t="s">
        <v>577</v>
      </c>
      <c r="G196" s="34" t="s">
        <v>578</v>
      </c>
      <c r="H196" s="36" t="s">
        <v>579</v>
      </c>
      <c r="I196" s="12" t="s">
        <v>118</v>
      </c>
      <c r="J196" s="12" t="s">
        <v>38</v>
      </c>
      <c r="K196" s="12" t="s">
        <v>28</v>
      </c>
      <c r="L196" s="12" t="s">
        <v>28</v>
      </c>
      <c r="M196" s="12" t="s">
        <v>432</v>
      </c>
      <c r="N196" s="9">
        <v>0</v>
      </c>
      <c r="O196" s="12" t="s">
        <v>28</v>
      </c>
      <c r="P196" s="35">
        <v>0</v>
      </c>
      <c r="Q196" s="12" t="s">
        <v>28</v>
      </c>
      <c r="R196" s="35">
        <v>3025000000.0000005</v>
      </c>
      <c r="S196" s="10">
        <v>42745</v>
      </c>
      <c r="T196" s="37">
        <v>0</v>
      </c>
      <c r="U196" s="10" t="s">
        <v>28</v>
      </c>
      <c r="V196" s="34" t="s">
        <v>506</v>
      </c>
      <c r="W196" s="15" t="s">
        <v>881</v>
      </c>
      <c r="X196" s="21" t="s">
        <v>887</v>
      </c>
      <c r="Y196" s="67" t="s">
        <v>68</v>
      </c>
      <c r="Z196" s="33" t="s">
        <v>887</v>
      </c>
    </row>
    <row r="197" spans="1:26">
      <c r="A197" s="31">
        <v>193</v>
      </c>
      <c r="B197" s="8" t="s">
        <v>25</v>
      </c>
      <c r="C197" s="8" t="s">
        <v>26</v>
      </c>
      <c r="D197" s="12" t="s">
        <v>32</v>
      </c>
      <c r="E197" s="12" t="s">
        <v>502</v>
      </c>
      <c r="F197" s="34" t="s">
        <v>580</v>
      </c>
      <c r="G197" s="34" t="s">
        <v>581</v>
      </c>
      <c r="H197" s="36" t="s">
        <v>582</v>
      </c>
      <c r="I197" s="12" t="s">
        <v>37</v>
      </c>
      <c r="J197" s="12" t="s">
        <v>38</v>
      </c>
      <c r="K197" s="12" t="s">
        <v>28</v>
      </c>
      <c r="L197" s="12" t="s">
        <v>28</v>
      </c>
      <c r="M197" s="12" t="s">
        <v>38</v>
      </c>
      <c r="N197" s="9">
        <v>0</v>
      </c>
      <c r="O197" s="12" t="s">
        <v>28</v>
      </c>
      <c r="P197" s="35">
        <v>0</v>
      </c>
      <c r="Q197" s="12" t="s">
        <v>28</v>
      </c>
      <c r="R197" s="35">
        <v>0</v>
      </c>
      <c r="S197" s="10" t="s">
        <v>28</v>
      </c>
      <c r="T197" s="37">
        <v>0</v>
      </c>
      <c r="U197" s="10" t="s">
        <v>28</v>
      </c>
      <c r="V197" s="34" t="s">
        <v>68</v>
      </c>
      <c r="W197" s="15" t="s">
        <v>68</v>
      </c>
      <c r="X197" s="21" t="s">
        <v>887</v>
      </c>
      <c r="Y197" s="67" t="s">
        <v>68</v>
      </c>
      <c r="Z197" s="33" t="s">
        <v>887</v>
      </c>
    </row>
    <row r="198" spans="1:26">
      <c r="A198" s="31">
        <v>194</v>
      </c>
      <c r="B198" s="8" t="s">
        <v>25</v>
      </c>
      <c r="C198" s="8" t="s">
        <v>26</v>
      </c>
      <c r="D198" s="12" t="s">
        <v>32</v>
      </c>
      <c r="E198" s="12" t="s">
        <v>502</v>
      </c>
      <c r="F198" s="34" t="s">
        <v>583</v>
      </c>
      <c r="G198" s="34" t="s">
        <v>584</v>
      </c>
      <c r="H198" s="36" t="s">
        <v>585</v>
      </c>
      <c r="I198" s="12" t="s">
        <v>37</v>
      </c>
      <c r="J198" s="12" t="s">
        <v>38</v>
      </c>
      <c r="K198" s="12" t="s">
        <v>28</v>
      </c>
      <c r="L198" s="12" t="s">
        <v>28</v>
      </c>
      <c r="M198" s="12" t="s">
        <v>38</v>
      </c>
      <c r="N198" s="9">
        <v>14468300000.000002</v>
      </c>
      <c r="O198" s="10">
        <v>41654</v>
      </c>
      <c r="P198" s="35">
        <v>0</v>
      </c>
      <c r="Q198" s="12" t="s">
        <v>28</v>
      </c>
      <c r="R198" s="35">
        <v>14366000000.000002</v>
      </c>
      <c r="S198" s="41">
        <v>43735</v>
      </c>
      <c r="T198" s="9">
        <v>20678000000</v>
      </c>
      <c r="U198" s="10">
        <v>45481</v>
      </c>
      <c r="V198" s="34" t="s">
        <v>555</v>
      </c>
      <c r="W198" s="15" t="s">
        <v>881</v>
      </c>
      <c r="X198" s="21" t="s">
        <v>887</v>
      </c>
      <c r="Y198" s="67" t="s">
        <v>899</v>
      </c>
      <c r="Z198" s="33" t="s">
        <v>887</v>
      </c>
    </row>
    <row r="199" spans="1:26">
      <c r="A199" s="31">
        <v>195</v>
      </c>
      <c r="B199" s="8" t="s">
        <v>25</v>
      </c>
      <c r="C199" s="8" t="s">
        <v>26</v>
      </c>
      <c r="D199" s="12" t="s">
        <v>32</v>
      </c>
      <c r="E199" s="12" t="s">
        <v>502</v>
      </c>
      <c r="F199" s="34" t="s">
        <v>586</v>
      </c>
      <c r="G199" s="34" t="s">
        <v>587</v>
      </c>
      <c r="H199" s="36" t="s">
        <v>588</v>
      </c>
      <c r="I199" s="12" t="s">
        <v>118</v>
      </c>
      <c r="J199" s="12" t="s">
        <v>38</v>
      </c>
      <c r="K199" s="12" t="s">
        <v>28</v>
      </c>
      <c r="L199" s="12" t="s">
        <v>28</v>
      </c>
      <c r="M199" s="12" t="s">
        <v>38</v>
      </c>
      <c r="N199" s="9">
        <v>0</v>
      </c>
      <c r="O199" s="12" t="s">
        <v>28</v>
      </c>
      <c r="P199" s="9">
        <v>19689848860</v>
      </c>
      <c r="Q199" s="10">
        <v>40707</v>
      </c>
      <c r="R199" s="9">
        <v>20590000000</v>
      </c>
      <c r="S199" s="10">
        <v>43661</v>
      </c>
      <c r="T199" s="37">
        <v>0</v>
      </c>
      <c r="U199" s="10" t="s">
        <v>28</v>
      </c>
      <c r="V199" s="34" t="s">
        <v>555</v>
      </c>
      <c r="W199" s="15" t="s">
        <v>881</v>
      </c>
      <c r="X199" s="21" t="s">
        <v>68</v>
      </c>
      <c r="Y199" s="67" t="s">
        <v>68</v>
      </c>
      <c r="Z199" s="33" t="s">
        <v>887</v>
      </c>
    </row>
    <row r="200" spans="1:26">
      <c r="A200" s="31">
        <v>196</v>
      </c>
      <c r="B200" s="8" t="s">
        <v>25</v>
      </c>
      <c r="C200" s="8" t="s">
        <v>26</v>
      </c>
      <c r="D200" s="12" t="s">
        <v>32</v>
      </c>
      <c r="E200" s="12" t="s">
        <v>502</v>
      </c>
      <c r="F200" s="34" t="s">
        <v>589</v>
      </c>
      <c r="G200" s="34" t="s">
        <v>590</v>
      </c>
      <c r="H200" s="36" t="s">
        <v>591</v>
      </c>
      <c r="I200" s="12" t="s">
        <v>125</v>
      </c>
      <c r="J200" s="12" t="s">
        <v>38</v>
      </c>
      <c r="K200" s="12" t="s">
        <v>28</v>
      </c>
      <c r="L200" s="12" t="s">
        <v>28</v>
      </c>
      <c r="M200" s="12" t="s">
        <v>38</v>
      </c>
      <c r="N200" s="9">
        <v>0</v>
      </c>
      <c r="O200" s="12" t="s">
        <v>28</v>
      </c>
      <c r="P200" s="9">
        <v>6703000000</v>
      </c>
      <c r="Q200" s="10">
        <v>41990</v>
      </c>
      <c r="R200" s="9">
        <v>6609000000</v>
      </c>
      <c r="S200" s="10">
        <v>43656</v>
      </c>
      <c r="T200" s="37">
        <v>0</v>
      </c>
      <c r="U200" s="10" t="s">
        <v>28</v>
      </c>
      <c r="V200" s="34" t="s">
        <v>555</v>
      </c>
      <c r="W200" s="15" t="s">
        <v>881</v>
      </c>
      <c r="X200" s="21" t="s">
        <v>887</v>
      </c>
      <c r="Y200" s="67" t="s">
        <v>68</v>
      </c>
      <c r="Z200" s="33" t="s">
        <v>887</v>
      </c>
    </row>
    <row r="201" spans="1:26">
      <c r="A201" s="31">
        <v>197</v>
      </c>
      <c r="B201" s="8" t="s">
        <v>25</v>
      </c>
      <c r="C201" s="8" t="s">
        <v>26</v>
      </c>
      <c r="D201" s="12" t="s">
        <v>32</v>
      </c>
      <c r="E201" s="12" t="s">
        <v>502</v>
      </c>
      <c r="F201" s="34" t="s">
        <v>589</v>
      </c>
      <c r="G201" s="34" t="s">
        <v>590</v>
      </c>
      <c r="H201" s="36" t="s">
        <v>592</v>
      </c>
      <c r="I201" s="12" t="s">
        <v>125</v>
      </c>
      <c r="J201" s="12" t="s">
        <v>38</v>
      </c>
      <c r="K201" s="12" t="s">
        <v>28</v>
      </c>
      <c r="L201" s="12" t="s">
        <v>28</v>
      </c>
      <c r="M201" s="12" t="s">
        <v>38</v>
      </c>
      <c r="N201" s="9">
        <v>0</v>
      </c>
      <c r="O201" s="12" t="s">
        <v>28</v>
      </c>
      <c r="P201" s="9">
        <v>7703701610</v>
      </c>
      <c r="Q201" s="10">
        <v>40605</v>
      </c>
      <c r="R201" s="35">
        <v>0</v>
      </c>
      <c r="S201" s="10" t="s">
        <v>28</v>
      </c>
      <c r="T201" s="37">
        <v>0</v>
      </c>
      <c r="U201" s="10" t="s">
        <v>28</v>
      </c>
      <c r="V201" s="34" t="s">
        <v>555</v>
      </c>
      <c r="W201" s="15" t="s">
        <v>881</v>
      </c>
      <c r="X201" s="21" t="s">
        <v>887</v>
      </c>
      <c r="Y201" s="67" t="s">
        <v>68</v>
      </c>
      <c r="Z201" s="33" t="s">
        <v>887</v>
      </c>
    </row>
    <row r="202" spans="1:26">
      <c r="A202" s="31">
        <v>198</v>
      </c>
      <c r="B202" s="8" t="s">
        <v>25</v>
      </c>
      <c r="C202" s="8" t="s">
        <v>26</v>
      </c>
      <c r="D202" s="12" t="s">
        <v>32</v>
      </c>
      <c r="E202" s="12" t="s">
        <v>502</v>
      </c>
      <c r="F202" s="34" t="s">
        <v>593</v>
      </c>
      <c r="G202" s="34" t="s">
        <v>594</v>
      </c>
      <c r="H202" s="36" t="s">
        <v>595</v>
      </c>
      <c r="I202" s="12" t="s">
        <v>53</v>
      </c>
      <c r="J202" s="12" t="s">
        <v>38</v>
      </c>
      <c r="K202" s="12" t="s">
        <v>28</v>
      </c>
      <c r="L202" s="12" t="s">
        <v>28</v>
      </c>
      <c r="M202" s="12" t="s">
        <v>38</v>
      </c>
      <c r="N202" s="9">
        <v>0</v>
      </c>
      <c r="O202" s="12" t="s">
        <v>28</v>
      </c>
      <c r="P202" s="35">
        <v>0</v>
      </c>
      <c r="Q202" s="12" t="s">
        <v>28</v>
      </c>
      <c r="R202" s="35">
        <v>3590400000.0000005</v>
      </c>
      <c r="S202" s="10">
        <v>43787</v>
      </c>
      <c r="T202" s="37">
        <v>0</v>
      </c>
      <c r="U202" s="10" t="s">
        <v>28</v>
      </c>
      <c r="V202" s="34" t="s">
        <v>555</v>
      </c>
      <c r="W202" s="15" t="s">
        <v>881</v>
      </c>
      <c r="X202" s="21" t="s">
        <v>68</v>
      </c>
      <c r="Y202" s="67" t="s">
        <v>68</v>
      </c>
      <c r="Z202" s="33" t="s">
        <v>887</v>
      </c>
    </row>
    <row r="203" spans="1:26">
      <c r="A203" s="31">
        <v>199</v>
      </c>
      <c r="B203" s="8" t="s">
        <v>25</v>
      </c>
      <c r="C203" s="8" t="s">
        <v>26</v>
      </c>
      <c r="D203" s="12" t="s">
        <v>32</v>
      </c>
      <c r="E203" s="12" t="s">
        <v>502</v>
      </c>
      <c r="F203" s="34" t="s">
        <v>596</v>
      </c>
      <c r="G203" s="34" t="s">
        <v>597</v>
      </c>
      <c r="H203" s="36" t="s">
        <v>598</v>
      </c>
      <c r="I203" s="12" t="s">
        <v>53</v>
      </c>
      <c r="J203" s="12" t="s">
        <v>38</v>
      </c>
      <c r="K203" s="12" t="s">
        <v>28</v>
      </c>
      <c r="L203" s="12" t="s">
        <v>28</v>
      </c>
      <c r="M203" s="12" t="s">
        <v>38</v>
      </c>
      <c r="N203" s="9">
        <v>0</v>
      </c>
      <c r="O203" s="12" t="s">
        <v>28</v>
      </c>
      <c r="P203" s="35">
        <v>1073105990.0000001</v>
      </c>
      <c r="Q203" s="10">
        <v>42115</v>
      </c>
      <c r="R203" s="35">
        <v>1219782740</v>
      </c>
      <c r="S203" s="10">
        <v>43958</v>
      </c>
      <c r="T203" s="37">
        <v>0</v>
      </c>
      <c r="U203" s="10" t="s">
        <v>28</v>
      </c>
      <c r="V203" s="34" t="s">
        <v>555</v>
      </c>
      <c r="W203" s="15" t="s">
        <v>881</v>
      </c>
      <c r="X203" s="21" t="s">
        <v>68</v>
      </c>
      <c r="Y203" s="67" t="s">
        <v>68</v>
      </c>
      <c r="Z203" s="33" t="s">
        <v>887</v>
      </c>
    </row>
    <row r="204" spans="1:26">
      <c r="A204" s="31">
        <v>200</v>
      </c>
      <c r="B204" s="8" t="s">
        <v>25</v>
      </c>
      <c r="C204" s="8" t="s">
        <v>26</v>
      </c>
      <c r="D204" s="12" t="s">
        <v>32</v>
      </c>
      <c r="E204" s="12" t="s">
        <v>502</v>
      </c>
      <c r="F204" s="34" t="s">
        <v>599</v>
      </c>
      <c r="G204" s="34" t="s">
        <v>600</v>
      </c>
      <c r="H204" s="36" t="s">
        <v>601</v>
      </c>
      <c r="I204" s="12" t="s">
        <v>53</v>
      </c>
      <c r="J204" s="12" t="s">
        <v>38</v>
      </c>
      <c r="K204" s="12" t="s">
        <v>28</v>
      </c>
      <c r="L204" s="12" t="s">
        <v>28</v>
      </c>
      <c r="M204" s="12" t="s">
        <v>38</v>
      </c>
      <c r="N204" s="9">
        <v>0</v>
      </c>
      <c r="O204" s="12" t="s">
        <v>28</v>
      </c>
      <c r="P204" s="35">
        <v>0</v>
      </c>
      <c r="Q204" s="12" t="s">
        <v>28</v>
      </c>
      <c r="R204" s="35">
        <v>0</v>
      </c>
      <c r="S204" s="10" t="s">
        <v>28</v>
      </c>
      <c r="T204" s="37">
        <v>0</v>
      </c>
      <c r="U204" s="10" t="s">
        <v>28</v>
      </c>
      <c r="V204" s="34" t="s">
        <v>68</v>
      </c>
      <c r="W204" s="15" t="s">
        <v>68</v>
      </c>
      <c r="X204" s="21" t="s">
        <v>887</v>
      </c>
      <c r="Y204" s="67" t="s">
        <v>68</v>
      </c>
      <c r="Z204" s="33" t="s">
        <v>887</v>
      </c>
    </row>
    <row r="205" spans="1:26">
      <c r="A205" s="31">
        <v>201</v>
      </c>
      <c r="B205" s="8" t="s">
        <v>25</v>
      </c>
      <c r="C205" s="8" t="s">
        <v>26</v>
      </c>
      <c r="D205" s="12" t="s">
        <v>32</v>
      </c>
      <c r="E205" s="12" t="s">
        <v>502</v>
      </c>
      <c r="F205" s="34" t="s">
        <v>602</v>
      </c>
      <c r="G205" s="34" t="s">
        <v>603</v>
      </c>
      <c r="H205" s="36" t="s">
        <v>604</v>
      </c>
      <c r="I205" s="12" t="s">
        <v>53</v>
      </c>
      <c r="J205" s="12" t="s">
        <v>38</v>
      </c>
      <c r="K205" s="12" t="s">
        <v>28</v>
      </c>
      <c r="L205" s="12" t="s">
        <v>28</v>
      </c>
      <c r="M205" s="12" t="s">
        <v>38</v>
      </c>
      <c r="N205" s="9">
        <v>0</v>
      </c>
      <c r="O205" s="12" t="s">
        <v>28</v>
      </c>
      <c r="P205" s="35">
        <v>0</v>
      </c>
      <c r="Q205" s="12" t="s">
        <v>28</v>
      </c>
      <c r="R205" s="35">
        <v>1152868200</v>
      </c>
      <c r="S205" s="10">
        <v>42611</v>
      </c>
      <c r="T205" s="9">
        <v>5720000000</v>
      </c>
      <c r="U205" s="10">
        <v>45246</v>
      </c>
      <c r="V205" s="34" t="s">
        <v>506</v>
      </c>
      <c r="W205" s="15" t="s">
        <v>881</v>
      </c>
      <c r="X205" s="21" t="s">
        <v>887</v>
      </c>
      <c r="Y205" s="67" t="s">
        <v>68</v>
      </c>
      <c r="Z205" s="33" t="s">
        <v>887</v>
      </c>
    </row>
    <row r="206" spans="1:26">
      <c r="A206" s="31">
        <v>202</v>
      </c>
      <c r="B206" s="8" t="s">
        <v>25</v>
      </c>
      <c r="C206" s="8" t="s">
        <v>26</v>
      </c>
      <c r="D206" s="12" t="s">
        <v>32</v>
      </c>
      <c r="E206" s="12" t="s">
        <v>502</v>
      </c>
      <c r="F206" s="34" t="s">
        <v>605</v>
      </c>
      <c r="G206" s="34" t="s">
        <v>606</v>
      </c>
      <c r="H206" s="36" t="s">
        <v>607</v>
      </c>
      <c r="I206" s="12" t="s">
        <v>118</v>
      </c>
      <c r="J206" s="12" t="s">
        <v>38</v>
      </c>
      <c r="K206" s="12" t="s">
        <v>28</v>
      </c>
      <c r="L206" s="12" t="s">
        <v>28</v>
      </c>
      <c r="M206" s="12" t="s">
        <v>38</v>
      </c>
      <c r="N206" s="9">
        <v>0</v>
      </c>
      <c r="O206" s="12" t="s">
        <v>28</v>
      </c>
      <c r="P206" s="9">
        <v>6154500000.000001</v>
      </c>
      <c r="Q206" s="10">
        <v>40388</v>
      </c>
      <c r="R206" s="35">
        <v>0</v>
      </c>
      <c r="S206" s="10" t="s">
        <v>28</v>
      </c>
      <c r="T206" s="37">
        <v>1991901000.1000001</v>
      </c>
      <c r="U206" s="10">
        <v>45187</v>
      </c>
      <c r="V206" s="34" t="s">
        <v>506</v>
      </c>
      <c r="W206" s="15" t="s">
        <v>881</v>
      </c>
      <c r="X206" s="21" t="s">
        <v>887</v>
      </c>
      <c r="Y206" s="67" t="s">
        <v>68</v>
      </c>
      <c r="Z206" s="33" t="s">
        <v>887</v>
      </c>
    </row>
    <row r="207" spans="1:26">
      <c r="A207" s="31">
        <v>203</v>
      </c>
      <c r="B207" s="8" t="s">
        <v>25</v>
      </c>
      <c r="C207" s="8" t="s">
        <v>26</v>
      </c>
      <c r="D207" s="12" t="s">
        <v>32</v>
      </c>
      <c r="E207" s="12" t="s">
        <v>502</v>
      </c>
      <c r="F207" s="34" t="s">
        <v>608</v>
      </c>
      <c r="G207" s="34" t="s">
        <v>609</v>
      </c>
      <c r="H207" s="36" t="s">
        <v>610</v>
      </c>
      <c r="I207" s="12" t="s">
        <v>57</v>
      </c>
      <c r="J207" s="12" t="s">
        <v>38</v>
      </c>
      <c r="K207" s="12" t="s">
        <v>28</v>
      </c>
      <c r="L207" s="12" t="s">
        <v>28</v>
      </c>
      <c r="M207" s="12" t="s">
        <v>38</v>
      </c>
      <c r="N207" s="9">
        <v>0</v>
      </c>
      <c r="O207" s="12" t="s">
        <v>28</v>
      </c>
      <c r="P207" s="35">
        <v>0</v>
      </c>
      <c r="Q207" s="12" t="s">
        <v>28</v>
      </c>
      <c r="R207" s="35">
        <v>0</v>
      </c>
      <c r="S207" s="10" t="s">
        <v>28</v>
      </c>
      <c r="T207" s="37">
        <v>0</v>
      </c>
      <c r="U207" s="10" t="s">
        <v>28</v>
      </c>
      <c r="V207" s="34" t="s">
        <v>68</v>
      </c>
      <c r="W207" s="15" t="s">
        <v>68</v>
      </c>
      <c r="X207" s="21" t="s">
        <v>887</v>
      </c>
      <c r="Y207" s="67" t="s">
        <v>68</v>
      </c>
      <c r="Z207" s="33" t="s">
        <v>887</v>
      </c>
    </row>
    <row r="208" spans="1:26">
      <c r="A208" s="31">
        <v>204</v>
      </c>
      <c r="B208" s="8" t="s">
        <v>25</v>
      </c>
      <c r="C208" s="8" t="s">
        <v>26</v>
      </c>
      <c r="D208" s="12" t="s">
        <v>32</v>
      </c>
      <c r="E208" s="12" t="s">
        <v>502</v>
      </c>
      <c r="F208" s="34" t="s">
        <v>611</v>
      </c>
      <c r="G208" s="34" t="s">
        <v>612</v>
      </c>
      <c r="H208" s="36" t="s">
        <v>613</v>
      </c>
      <c r="I208" s="12" t="s">
        <v>57</v>
      </c>
      <c r="J208" s="12" t="s">
        <v>38</v>
      </c>
      <c r="K208" s="12" t="s">
        <v>28</v>
      </c>
      <c r="L208" s="12" t="s">
        <v>28</v>
      </c>
      <c r="M208" s="12" t="s">
        <v>38</v>
      </c>
      <c r="N208" s="9">
        <v>0</v>
      </c>
      <c r="O208" s="12" t="s">
        <v>28</v>
      </c>
      <c r="P208" s="35">
        <v>0</v>
      </c>
      <c r="Q208" s="12" t="s">
        <v>28</v>
      </c>
      <c r="R208" s="35">
        <v>3833478000.0000005</v>
      </c>
      <c r="S208" s="10">
        <v>42853</v>
      </c>
      <c r="T208" s="37">
        <v>0</v>
      </c>
      <c r="U208" s="10" t="s">
        <v>28</v>
      </c>
      <c r="V208" s="34" t="s">
        <v>555</v>
      </c>
      <c r="W208" s="15" t="s">
        <v>881</v>
      </c>
      <c r="X208" s="21" t="s">
        <v>887</v>
      </c>
      <c r="Y208" s="67" t="s">
        <v>68</v>
      </c>
      <c r="Z208" s="33" t="s">
        <v>887</v>
      </c>
    </row>
    <row r="209" spans="1:26">
      <c r="A209" s="31">
        <v>205</v>
      </c>
      <c r="B209" s="8" t="s">
        <v>25</v>
      </c>
      <c r="C209" s="8" t="s">
        <v>26</v>
      </c>
      <c r="D209" s="12" t="s">
        <v>32</v>
      </c>
      <c r="E209" s="12" t="s">
        <v>502</v>
      </c>
      <c r="F209" s="34" t="s">
        <v>614</v>
      </c>
      <c r="G209" s="34" t="s">
        <v>28</v>
      </c>
      <c r="H209" s="36" t="s">
        <v>615</v>
      </c>
      <c r="I209" s="12" t="s">
        <v>53</v>
      </c>
      <c r="J209" s="12" t="s">
        <v>28</v>
      </c>
      <c r="K209" s="12" t="s">
        <v>28</v>
      </c>
      <c r="L209" s="12" t="s">
        <v>38</v>
      </c>
      <c r="M209" s="12" t="s">
        <v>38</v>
      </c>
      <c r="N209" s="9">
        <v>0</v>
      </c>
      <c r="O209" s="12" t="s">
        <v>28</v>
      </c>
      <c r="P209" s="35">
        <v>0</v>
      </c>
      <c r="Q209" s="12" t="s">
        <v>28</v>
      </c>
      <c r="R209" s="35">
        <v>0</v>
      </c>
      <c r="S209" s="10" t="s">
        <v>28</v>
      </c>
      <c r="T209" s="37">
        <v>0</v>
      </c>
      <c r="U209" s="10" t="s">
        <v>28</v>
      </c>
      <c r="V209" s="34" t="s">
        <v>68</v>
      </c>
      <c r="W209" s="15" t="s">
        <v>68</v>
      </c>
      <c r="X209" s="21" t="s">
        <v>887</v>
      </c>
      <c r="Y209" s="67" t="s">
        <v>68</v>
      </c>
      <c r="Z209" s="33" t="s">
        <v>887</v>
      </c>
    </row>
    <row r="210" spans="1:26">
      <c r="A210" s="31">
        <v>206</v>
      </c>
      <c r="B210" s="8" t="s">
        <v>25</v>
      </c>
      <c r="C210" s="8" t="s">
        <v>26</v>
      </c>
      <c r="D210" s="12" t="s">
        <v>32</v>
      </c>
      <c r="E210" s="12" t="s">
        <v>502</v>
      </c>
      <c r="F210" s="34" t="s">
        <v>616</v>
      </c>
      <c r="G210" s="34" t="s">
        <v>617</v>
      </c>
      <c r="H210" s="36" t="s">
        <v>618</v>
      </c>
      <c r="I210" s="12" t="s">
        <v>53</v>
      </c>
      <c r="J210" s="12" t="s">
        <v>38</v>
      </c>
      <c r="K210" s="12" t="s">
        <v>28</v>
      </c>
      <c r="L210" s="12" t="s">
        <v>28</v>
      </c>
      <c r="M210" s="12" t="s">
        <v>432</v>
      </c>
      <c r="N210" s="9">
        <v>0</v>
      </c>
      <c r="O210" s="12" t="s">
        <v>28</v>
      </c>
      <c r="P210" s="35">
        <v>0</v>
      </c>
      <c r="Q210" s="12" t="s">
        <v>28</v>
      </c>
      <c r="R210" s="42">
        <v>3184500000.0000005</v>
      </c>
      <c r="S210" s="10">
        <v>42601</v>
      </c>
      <c r="T210" s="9">
        <v>5548000000</v>
      </c>
      <c r="U210" s="10">
        <v>45436</v>
      </c>
      <c r="V210" s="34" t="s">
        <v>506</v>
      </c>
      <c r="W210" s="15" t="s">
        <v>881</v>
      </c>
      <c r="X210" s="21" t="s">
        <v>887</v>
      </c>
      <c r="Y210" s="67" t="s">
        <v>68</v>
      </c>
      <c r="Z210" s="33" t="s">
        <v>887</v>
      </c>
    </row>
    <row r="211" spans="1:26">
      <c r="A211" s="31">
        <v>207</v>
      </c>
      <c r="B211" s="8" t="s">
        <v>25</v>
      </c>
      <c r="C211" s="8" t="s">
        <v>26</v>
      </c>
      <c r="D211" s="12" t="s">
        <v>32</v>
      </c>
      <c r="E211" s="12" t="s">
        <v>502</v>
      </c>
      <c r="F211" s="34" t="s">
        <v>619</v>
      </c>
      <c r="G211" s="34" t="s">
        <v>620</v>
      </c>
      <c r="H211" s="36" t="s">
        <v>621</v>
      </c>
      <c r="I211" s="12" t="s">
        <v>53</v>
      </c>
      <c r="J211" s="12" t="s">
        <v>38</v>
      </c>
      <c r="K211" s="12" t="s">
        <v>28</v>
      </c>
      <c r="L211" s="43" t="s">
        <v>28</v>
      </c>
      <c r="M211" s="12" t="s">
        <v>38</v>
      </c>
      <c r="N211" s="9">
        <v>0</v>
      </c>
      <c r="O211" s="12" t="s">
        <v>28</v>
      </c>
      <c r="P211" s="35">
        <v>0</v>
      </c>
      <c r="Q211" s="12" t="s">
        <v>28</v>
      </c>
      <c r="R211" s="42">
        <v>4341150000</v>
      </c>
      <c r="S211" s="10">
        <v>43070</v>
      </c>
      <c r="T211" s="37">
        <v>0</v>
      </c>
      <c r="U211" s="10" t="s">
        <v>28</v>
      </c>
      <c r="V211" s="34" t="s">
        <v>622</v>
      </c>
      <c r="W211" s="15" t="s">
        <v>881</v>
      </c>
      <c r="X211" s="21" t="s">
        <v>68</v>
      </c>
      <c r="Y211" s="67" t="s">
        <v>68</v>
      </c>
      <c r="Z211" s="33" t="s">
        <v>887</v>
      </c>
    </row>
    <row r="212" spans="1:26">
      <c r="A212" s="31">
        <v>208</v>
      </c>
      <c r="B212" s="8" t="s">
        <v>25</v>
      </c>
      <c r="C212" s="8" t="s">
        <v>26</v>
      </c>
      <c r="D212" s="12" t="s">
        <v>32</v>
      </c>
      <c r="E212" s="12" t="s">
        <v>502</v>
      </c>
      <c r="F212" s="34" t="s">
        <v>623</v>
      </c>
      <c r="G212" s="34" t="s">
        <v>624</v>
      </c>
      <c r="H212" s="36" t="s">
        <v>625</v>
      </c>
      <c r="I212" s="12" t="s">
        <v>53</v>
      </c>
      <c r="J212" s="12" t="s">
        <v>38</v>
      </c>
      <c r="K212" s="12" t="s">
        <v>28</v>
      </c>
      <c r="L212" s="12" t="s">
        <v>28</v>
      </c>
      <c r="M212" s="12" t="s">
        <v>38</v>
      </c>
      <c r="N212" s="9">
        <v>0</v>
      </c>
      <c r="O212" s="12" t="s">
        <v>28</v>
      </c>
      <c r="P212" s="35">
        <v>0</v>
      </c>
      <c r="Q212" s="12" t="s">
        <v>28</v>
      </c>
      <c r="R212" s="42">
        <v>4509467411.9000006</v>
      </c>
      <c r="S212" s="10">
        <v>43300</v>
      </c>
      <c r="T212" s="37">
        <v>0</v>
      </c>
      <c r="U212" s="10" t="s">
        <v>28</v>
      </c>
      <c r="V212" s="34" t="s">
        <v>622</v>
      </c>
      <c r="W212" s="15" t="s">
        <v>881</v>
      </c>
      <c r="X212" s="21" t="s">
        <v>68</v>
      </c>
      <c r="Y212" s="67" t="s">
        <v>68</v>
      </c>
      <c r="Z212" s="33" t="s">
        <v>887</v>
      </c>
    </row>
    <row r="213" spans="1:26">
      <c r="A213" s="31">
        <v>209</v>
      </c>
      <c r="B213" s="8" t="s">
        <v>25</v>
      </c>
      <c r="C213" s="8" t="s">
        <v>26</v>
      </c>
      <c r="D213" s="12" t="s">
        <v>32</v>
      </c>
      <c r="E213" s="12" t="s">
        <v>502</v>
      </c>
      <c r="F213" s="34" t="s">
        <v>626</v>
      </c>
      <c r="G213" s="34" t="s">
        <v>627</v>
      </c>
      <c r="H213" s="36" t="s">
        <v>628</v>
      </c>
      <c r="I213" s="12" t="s">
        <v>53</v>
      </c>
      <c r="J213" s="12" t="s">
        <v>38</v>
      </c>
      <c r="K213" s="12" t="s">
        <v>28</v>
      </c>
      <c r="L213" s="12" t="s">
        <v>28</v>
      </c>
      <c r="M213" s="12" t="s">
        <v>38</v>
      </c>
      <c r="N213" s="9">
        <v>0</v>
      </c>
      <c r="O213" s="12" t="s">
        <v>28</v>
      </c>
      <c r="P213" s="35">
        <v>0</v>
      </c>
      <c r="Q213" s="12" t="s">
        <v>28</v>
      </c>
      <c r="R213" s="42">
        <v>530000000.20000005</v>
      </c>
      <c r="S213" s="10">
        <v>42740</v>
      </c>
      <c r="T213" s="37">
        <v>0</v>
      </c>
      <c r="U213" s="10" t="s">
        <v>28</v>
      </c>
      <c r="V213" s="34" t="s">
        <v>622</v>
      </c>
      <c r="W213" s="15" t="s">
        <v>881</v>
      </c>
      <c r="X213" s="21" t="s">
        <v>68</v>
      </c>
      <c r="Y213" s="67" t="s">
        <v>68</v>
      </c>
      <c r="Z213" s="33" t="s">
        <v>887</v>
      </c>
    </row>
    <row r="214" spans="1:26">
      <c r="A214" s="31">
        <v>210</v>
      </c>
      <c r="B214" s="8" t="s">
        <v>25</v>
      </c>
      <c r="C214" s="8" t="s">
        <v>26</v>
      </c>
      <c r="D214" s="12" t="s">
        <v>32</v>
      </c>
      <c r="E214" s="12" t="s">
        <v>502</v>
      </c>
      <c r="F214" s="34" t="s">
        <v>629</v>
      </c>
      <c r="G214" s="34" t="s">
        <v>630</v>
      </c>
      <c r="H214" s="36" t="s">
        <v>631</v>
      </c>
      <c r="I214" s="12" t="s">
        <v>53</v>
      </c>
      <c r="J214" s="12" t="s">
        <v>38</v>
      </c>
      <c r="K214" s="12" t="s">
        <v>28</v>
      </c>
      <c r="L214" s="12" t="s">
        <v>28</v>
      </c>
      <c r="M214" s="12" t="s">
        <v>38</v>
      </c>
      <c r="N214" s="9">
        <v>0</v>
      </c>
      <c r="O214" s="12" t="s">
        <v>28</v>
      </c>
      <c r="P214" s="35">
        <v>0</v>
      </c>
      <c r="Q214" s="12" t="s">
        <v>28</v>
      </c>
      <c r="R214" s="42">
        <v>852500000.00000012</v>
      </c>
      <c r="S214" s="10">
        <v>42914</v>
      </c>
      <c r="T214" s="37">
        <v>0</v>
      </c>
      <c r="U214" s="10" t="s">
        <v>28</v>
      </c>
      <c r="V214" s="34" t="s">
        <v>622</v>
      </c>
      <c r="W214" s="15" t="s">
        <v>881</v>
      </c>
      <c r="X214" s="21" t="s">
        <v>68</v>
      </c>
      <c r="Y214" s="67" t="s">
        <v>68</v>
      </c>
      <c r="Z214" s="33" t="s">
        <v>887</v>
      </c>
    </row>
    <row r="215" spans="1:26">
      <c r="A215" s="31">
        <v>211</v>
      </c>
      <c r="B215" s="8" t="s">
        <v>25</v>
      </c>
      <c r="C215" s="8" t="s">
        <v>26</v>
      </c>
      <c r="D215" s="12" t="s">
        <v>32</v>
      </c>
      <c r="E215" s="12" t="s">
        <v>502</v>
      </c>
      <c r="F215" s="34" t="s">
        <v>632</v>
      </c>
      <c r="G215" s="34" t="s">
        <v>633</v>
      </c>
      <c r="H215" s="36" t="s">
        <v>634</v>
      </c>
      <c r="I215" s="12" t="s">
        <v>53</v>
      </c>
      <c r="J215" s="12" t="s">
        <v>38</v>
      </c>
      <c r="K215" s="12" t="s">
        <v>28</v>
      </c>
      <c r="L215" s="12" t="s">
        <v>28</v>
      </c>
      <c r="M215" s="12" t="s">
        <v>38</v>
      </c>
      <c r="N215" s="9">
        <v>0</v>
      </c>
      <c r="O215" s="12" t="s">
        <v>28</v>
      </c>
      <c r="P215" s="35">
        <v>0</v>
      </c>
      <c r="Q215" s="12" t="s">
        <v>28</v>
      </c>
      <c r="R215" s="42">
        <v>322080000</v>
      </c>
      <c r="S215" s="10">
        <v>42916</v>
      </c>
      <c r="T215" s="37">
        <v>0</v>
      </c>
      <c r="U215" s="10" t="s">
        <v>28</v>
      </c>
      <c r="V215" s="34" t="s">
        <v>622</v>
      </c>
      <c r="W215" s="15" t="s">
        <v>881</v>
      </c>
      <c r="X215" s="21" t="s">
        <v>68</v>
      </c>
      <c r="Y215" s="67" t="s">
        <v>68</v>
      </c>
      <c r="Z215" s="33" t="s">
        <v>887</v>
      </c>
    </row>
    <row r="216" spans="1:26">
      <c r="A216" s="31">
        <v>212</v>
      </c>
      <c r="B216" s="8" t="s">
        <v>25</v>
      </c>
      <c r="C216" s="8" t="s">
        <v>26</v>
      </c>
      <c r="D216" s="12" t="s">
        <v>32</v>
      </c>
      <c r="E216" s="12" t="s">
        <v>502</v>
      </c>
      <c r="F216" s="34" t="s">
        <v>635</v>
      </c>
      <c r="G216" s="34" t="s">
        <v>636</v>
      </c>
      <c r="H216" s="36" t="s">
        <v>637</v>
      </c>
      <c r="I216" s="12" t="s">
        <v>53</v>
      </c>
      <c r="J216" s="12" t="s">
        <v>38</v>
      </c>
      <c r="K216" s="12" t="s">
        <v>28</v>
      </c>
      <c r="L216" s="12" t="s">
        <v>28</v>
      </c>
      <c r="M216" s="12" t="s">
        <v>38</v>
      </c>
      <c r="N216" s="9">
        <v>0</v>
      </c>
      <c r="O216" s="12" t="s">
        <v>28</v>
      </c>
      <c r="P216" s="35">
        <v>0</v>
      </c>
      <c r="Q216" s="12" t="s">
        <v>28</v>
      </c>
      <c r="R216" s="42">
        <v>283922100</v>
      </c>
      <c r="S216" s="10">
        <v>42716</v>
      </c>
      <c r="T216" s="37">
        <v>0</v>
      </c>
      <c r="U216" s="10" t="s">
        <v>28</v>
      </c>
      <c r="V216" s="34" t="s">
        <v>622</v>
      </c>
      <c r="W216" s="15" t="s">
        <v>881</v>
      </c>
      <c r="X216" s="21" t="s">
        <v>68</v>
      </c>
      <c r="Y216" s="67" t="s">
        <v>68</v>
      </c>
      <c r="Z216" s="33" t="s">
        <v>887</v>
      </c>
    </row>
    <row r="217" spans="1:26">
      <c r="A217" s="31">
        <v>213</v>
      </c>
      <c r="B217" s="8" t="s">
        <v>25</v>
      </c>
      <c r="C217" s="8" t="s">
        <v>26</v>
      </c>
      <c r="D217" s="12" t="s">
        <v>32</v>
      </c>
      <c r="E217" s="12" t="s">
        <v>502</v>
      </c>
      <c r="F217" s="34" t="s">
        <v>638</v>
      </c>
      <c r="G217" s="34" t="s">
        <v>639</v>
      </c>
      <c r="H217" s="36" t="s">
        <v>640</v>
      </c>
      <c r="I217" s="12" t="s">
        <v>125</v>
      </c>
      <c r="J217" s="12" t="s">
        <v>38</v>
      </c>
      <c r="K217" s="12" t="s">
        <v>28</v>
      </c>
      <c r="L217" s="12" t="s">
        <v>28</v>
      </c>
      <c r="M217" s="12" t="s">
        <v>38</v>
      </c>
      <c r="N217" s="9">
        <v>0</v>
      </c>
      <c r="O217" s="12" t="s">
        <v>28</v>
      </c>
      <c r="P217" s="35">
        <v>0</v>
      </c>
      <c r="Q217" s="12" t="s">
        <v>28</v>
      </c>
      <c r="R217" s="42">
        <v>2099051900.0000002</v>
      </c>
      <c r="S217" s="10">
        <v>42818</v>
      </c>
      <c r="T217" s="37">
        <v>0</v>
      </c>
      <c r="U217" s="10" t="s">
        <v>28</v>
      </c>
      <c r="V217" s="34" t="s">
        <v>622</v>
      </c>
      <c r="W217" s="15" t="s">
        <v>881</v>
      </c>
      <c r="X217" s="21" t="s">
        <v>68</v>
      </c>
      <c r="Y217" s="67" t="s">
        <v>68</v>
      </c>
      <c r="Z217" s="33" t="s">
        <v>887</v>
      </c>
    </row>
    <row r="218" spans="1:26">
      <c r="A218" s="31">
        <v>214</v>
      </c>
      <c r="B218" s="8" t="s">
        <v>25</v>
      </c>
      <c r="C218" s="8" t="s">
        <v>26</v>
      </c>
      <c r="D218" s="12" t="s">
        <v>32</v>
      </c>
      <c r="E218" s="12" t="s">
        <v>502</v>
      </c>
      <c r="F218" s="34" t="s">
        <v>641</v>
      </c>
      <c r="G218" s="34" t="s">
        <v>642</v>
      </c>
      <c r="H218" s="36" t="s">
        <v>643</v>
      </c>
      <c r="I218" s="12" t="s">
        <v>118</v>
      </c>
      <c r="J218" s="12" t="s">
        <v>38</v>
      </c>
      <c r="K218" s="12" t="s">
        <v>28</v>
      </c>
      <c r="L218" s="12" t="s">
        <v>28</v>
      </c>
      <c r="M218" s="12" t="s">
        <v>38</v>
      </c>
      <c r="N218" s="9">
        <v>0</v>
      </c>
      <c r="O218" s="12" t="s">
        <v>28</v>
      </c>
      <c r="P218" s="35">
        <v>0</v>
      </c>
      <c r="Q218" s="12" t="s">
        <v>28</v>
      </c>
      <c r="R218" s="42">
        <v>19026999999.700001</v>
      </c>
      <c r="S218" s="10">
        <v>45068</v>
      </c>
      <c r="T218" s="37">
        <v>0</v>
      </c>
      <c r="U218" s="10" t="s">
        <v>28</v>
      </c>
      <c r="V218" s="34" t="s">
        <v>622</v>
      </c>
      <c r="W218" s="15" t="s">
        <v>881</v>
      </c>
      <c r="X218" s="21" t="s">
        <v>68</v>
      </c>
      <c r="Y218" s="67" t="s">
        <v>68</v>
      </c>
      <c r="Z218" s="33" t="s">
        <v>887</v>
      </c>
    </row>
    <row r="219" spans="1:26">
      <c r="A219" s="31">
        <v>215</v>
      </c>
      <c r="B219" s="8" t="s">
        <v>25</v>
      </c>
      <c r="C219" s="8" t="s">
        <v>26</v>
      </c>
      <c r="D219" s="12" t="s">
        <v>32</v>
      </c>
      <c r="E219" s="12" t="s">
        <v>502</v>
      </c>
      <c r="F219" s="34" t="s">
        <v>644</v>
      </c>
      <c r="G219" s="34" t="s">
        <v>645</v>
      </c>
      <c r="H219" s="36" t="s">
        <v>646</v>
      </c>
      <c r="I219" s="12" t="s">
        <v>53</v>
      </c>
      <c r="J219" s="12" t="s">
        <v>38</v>
      </c>
      <c r="K219" s="12" t="s">
        <v>28</v>
      </c>
      <c r="L219" s="12" t="s">
        <v>28</v>
      </c>
      <c r="M219" s="12" t="s">
        <v>38</v>
      </c>
      <c r="N219" s="9">
        <v>0</v>
      </c>
      <c r="O219" s="12" t="s">
        <v>28</v>
      </c>
      <c r="P219" s="35">
        <v>0</v>
      </c>
      <c r="Q219" s="12" t="s">
        <v>28</v>
      </c>
      <c r="R219" s="42">
        <v>576457310</v>
      </c>
      <c r="S219" s="10">
        <v>42640</v>
      </c>
      <c r="T219" s="37">
        <v>0</v>
      </c>
      <c r="U219" s="10" t="s">
        <v>28</v>
      </c>
      <c r="V219" s="34" t="s">
        <v>622</v>
      </c>
      <c r="W219" s="15" t="s">
        <v>881</v>
      </c>
      <c r="X219" s="21" t="s">
        <v>68</v>
      </c>
      <c r="Y219" s="67" t="s">
        <v>68</v>
      </c>
      <c r="Z219" s="33" t="s">
        <v>887</v>
      </c>
    </row>
    <row r="220" spans="1:26">
      <c r="A220" s="31">
        <v>216</v>
      </c>
      <c r="B220" s="8" t="s">
        <v>25</v>
      </c>
      <c r="C220" s="8" t="s">
        <v>26</v>
      </c>
      <c r="D220" s="12" t="s">
        <v>32</v>
      </c>
      <c r="E220" s="12" t="s">
        <v>502</v>
      </c>
      <c r="F220" s="34" t="s">
        <v>647</v>
      </c>
      <c r="G220" s="34" t="s">
        <v>28</v>
      </c>
      <c r="H220" s="36" t="s">
        <v>648</v>
      </c>
      <c r="I220" s="12" t="s">
        <v>118</v>
      </c>
      <c r="J220" s="12" t="s">
        <v>28</v>
      </c>
      <c r="K220" s="12" t="s">
        <v>28</v>
      </c>
      <c r="L220" s="12" t="s">
        <v>38</v>
      </c>
      <c r="M220" s="12" t="s">
        <v>38</v>
      </c>
      <c r="N220" s="9">
        <v>0</v>
      </c>
      <c r="O220" s="12" t="s">
        <v>28</v>
      </c>
      <c r="P220" s="35">
        <v>0</v>
      </c>
      <c r="Q220" s="12" t="s">
        <v>28</v>
      </c>
      <c r="R220" s="35">
        <v>0</v>
      </c>
      <c r="S220" s="10" t="s">
        <v>28</v>
      </c>
      <c r="T220" s="37">
        <v>0</v>
      </c>
      <c r="U220" s="10" t="s">
        <v>28</v>
      </c>
      <c r="V220" s="34" t="s">
        <v>68</v>
      </c>
      <c r="W220" s="15" t="s">
        <v>68</v>
      </c>
      <c r="X220" s="21" t="s">
        <v>887</v>
      </c>
      <c r="Y220" s="67" t="s">
        <v>68</v>
      </c>
      <c r="Z220" s="33" t="s">
        <v>887</v>
      </c>
    </row>
    <row r="221" spans="1:26">
      <c r="A221" s="31">
        <v>217</v>
      </c>
      <c r="B221" s="8" t="s">
        <v>25</v>
      </c>
      <c r="C221" s="8" t="s">
        <v>26</v>
      </c>
      <c r="D221" s="12" t="s">
        <v>32</v>
      </c>
      <c r="E221" s="12" t="s">
        <v>502</v>
      </c>
      <c r="F221" s="34" t="s">
        <v>649</v>
      </c>
      <c r="G221" s="34" t="s">
        <v>28</v>
      </c>
      <c r="H221" s="36" t="s">
        <v>650</v>
      </c>
      <c r="I221" s="12" t="s">
        <v>53</v>
      </c>
      <c r="J221" s="12" t="s">
        <v>28</v>
      </c>
      <c r="K221" s="12" t="s">
        <v>28</v>
      </c>
      <c r="L221" s="12" t="s">
        <v>38</v>
      </c>
      <c r="M221" s="12" t="s">
        <v>38</v>
      </c>
      <c r="N221" s="9">
        <v>0</v>
      </c>
      <c r="O221" s="12" t="s">
        <v>28</v>
      </c>
      <c r="P221" s="35">
        <v>0</v>
      </c>
      <c r="Q221" s="12" t="s">
        <v>28</v>
      </c>
      <c r="R221" s="35">
        <v>0</v>
      </c>
      <c r="S221" s="10" t="s">
        <v>28</v>
      </c>
      <c r="T221" s="37">
        <v>0</v>
      </c>
      <c r="U221" s="10" t="s">
        <v>28</v>
      </c>
      <c r="V221" s="34" t="s">
        <v>68</v>
      </c>
      <c r="W221" s="15" t="s">
        <v>68</v>
      </c>
      <c r="X221" s="21" t="s">
        <v>887</v>
      </c>
      <c r="Y221" s="67" t="s">
        <v>68</v>
      </c>
      <c r="Z221" s="33" t="s">
        <v>887</v>
      </c>
    </row>
    <row r="222" spans="1:26">
      <c r="A222" s="31">
        <v>218</v>
      </c>
      <c r="B222" s="8" t="s">
        <v>25</v>
      </c>
      <c r="C222" s="8" t="s">
        <v>26</v>
      </c>
      <c r="D222" s="12" t="s">
        <v>32</v>
      </c>
      <c r="E222" s="12" t="s">
        <v>502</v>
      </c>
      <c r="F222" s="34" t="s">
        <v>651</v>
      </c>
      <c r="G222" s="34" t="s">
        <v>28</v>
      </c>
      <c r="H222" s="36" t="s">
        <v>652</v>
      </c>
      <c r="I222" s="12" t="s">
        <v>37</v>
      </c>
      <c r="J222" s="12" t="s">
        <v>28</v>
      </c>
      <c r="K222" s="12" t="s">
        <v>28</v>
      </c>
      <c r="L222" s="12" t="s">
        <v>38</v>
      </c>
      <c r="M222" s="12" t="s">
        <v>38</v>
      </c>
      <c r="N222" s="9">
        <v>0</v>
      </c>
      <c r="O222" s="12" t="s">
        <v>28</v>
      </c>
      <c r="P222" s="35">
        <v>0</v>
      </c>
      <c r="Q222" s="12" t="s">
        <v>28</v>
      </c>
      <c r="R222" s="35">
        <v>0</v>
      </c>
      <c r="S222" s="10" t="s">
        <v>28</v>
      </c>
      <c r="T222" s="37">
        <v>0</v>
      </c>
      <c r="U222" s="10" t="s">
        <v>28</v>
      </c>
      <c r="V222" s="34" t="s">
        <v>68</v>
      </c>
      <c r="W222" s="15" t="s">
        <v>68</v>
      </c>
      <c r="X222" s="21" t="s">
        <v>887</v>
      </c>
      <c r="Y222" s="67" t="s">
        <v>68</v>
      </c>
      <c r="Z222" s="33" t="s">
        <v>887</v>
      </c>
    </row>
    <row r="223" spans="1:26">
      <c r="A223" s="31">
        <v>219</v>
      </c>
      <c r="B223" s="8" t="s">
        <v>25</v>
      </c>
      <c r="C223" s="8" t="s">
        <v>26</v>
      </c>
      <c r="D223" s="12" t="s">
        <v>32</v>
      </c>
      <c r="E223" s="12" t="s">
        <v>502</v>
      </c>
      <c r="F223" s="34" t="s">
        <v>653</v>
      </c>
      <c r="G223" s="34" t="s">
        <v>28</v>
      </c>
      <c r="H223" s="36" t="s">
        <v>654</v>
      </c>
      <c r="I223" s="12" t="s">
        <v>53</v>
      </c>
      <c r="J223" s="12" t="s">
        <v>28</v>
      </c>
      <c r="K223" s="12" t="s">
        <v>28</v>
      </c>
      <c r="L223" s="12" t="s">
        <v>38</v>
      </c>
      <c r="M223" s="12" t="s">
        <v>38</v>
      </c>
      <c r="N223" s="9">
        <v>0</v>
      </c>
      <c r="O223" s="12" t="s">
        <v>28</v>
      </c>
      <c r="P223" s="35">
        <v>0</v>
      </c>
      <c r="Q223" s="12" t="s">
        <v>28</v>
      </c>
      <c r="R223" s="35">
        <v>0</v>
      </c>
      <c r="S223" s="10" t="s">
        <v>28</v>
      </c>
      <c r="T223" s="37">
        <v>0</v>
      </c>
      <c r="U223" s="10" t="s">
        <v>28</v>
      </c>
      <c r="V223" s="34" t="s">
        <v>68</v>
      </c>
      <c r="W223" s="15" t="s">
        <v>68</v>
      </c>
      <c r="X223" s="21" t="s">
        <v>887</v>
      </c>
      <c r="Y223" s="67" t="s">
        <v>68</v>
      </c>
      <c r="Z223" s="33" t="s">
        <v>887</v>
      </c>
    </row>
    <row r="224" spans="1:26">
      <c r="A224" s="31">
        <v>220</v>
      </c>
      <c r="B224" s="8" t="s">
        <v>25</v>
      </c>
      <c r="C224" s="8" t="s">
        <v>26</v>
      </c>
      <c r="D224" s="12" t="s">
        <v>32</v>
      </c>
      <c r="E224" s="12" t="s">
        <v>502</v>
      </c>
      <c r="F224" s="34" t="s">
        <v>655</v>
      </c>
      <c r="G224" s="34" t="s">
        <v>28</v>
      </c>
      <c r="H224" s="36" t="s">
        <v>656</v>
      </c>
      <c r="I224" s="12" t="s">
        <v>53</v>
      </c>
      <c r="J224" s="12" t="s">
        <v>28</v>
      </c>
      <c r="K224" s="12" t="s">
        <v>28</v>
      </c>
      <c r="L224" s="12" t="s">
        <v>38</v>
      </c>
      <c r="M224" s="12" t="s">
        <v>38</v>
      </c>
      <c r="N224" s="9">
        <v>0</v>
      </c>
      <c r="O224" s="12" t="s">
        <v>28</v>
      </c>
      <c r="P224" s="35">
        <v>0</v>
      </c>
      <c r="Q224" s="12" t="s">
        <v>28</v>
      </c>
      <c r="R224" s="35">
        <v>0</v>
      </c>
      <c r="S224" s="10" t="s">
        <v>28</v>
      </c>
      <c r="T224" s="37">
        <v>0</v>
      </c>
      <c r="U224" s="10" t="s">
        <v>28</v>
      </c>
      <c r="V224" s="34" t="s">
        <v>68</v>
      </c>
      <c r="W224" s="15" t="s">
        <v>68</v>
      </c>
      <c r="X224" s="21" t="s">
        <v>887</v>
      </c>
      <c r="Y224" s="67" t="s">
        <v>68</v>
      </c>
      <c r="Z224" s="33" t="s">
        <v>887</v>
      </c>
    </row>
    <row r="225" spans="1:26">
      <c r="A225" s="31">
        <v>221</v>
      </c>
      <c r="B225" s="8" t="s">
        <v>25</v>
      </c>
      <c r="C225" s="8" t="s">
        <v>26</v>
      </c>
      <c r="D225" s="12" t="s">
        <v>32</v>
      </c>
      <c r="E225" s="12" t="s">
        <v>502</v>
      </c>
      <c r="F225" s="34" t="s">
        <v>657</v>
      </c>
      <c r="G225" s="34" t="s">
        <v>28</v>
      </c>
      <c r="H225" s="36" t="s">
        <v>658</v>
      </c>
      <c r="I225" s="12" t="s">
        <v>61</v>
      </c>
      <c r="J225" s="12" t="s">
        <v>28</v>
      </c>
      <c r="K225" s="12" t="s">
        <v>28</v>
      </c>
      <c r="L225" s="12" t="s">
        <v>38</v>
      </c>
      <c r="M225" s="12" t="s">
        <v>38</v>
      </c>
      <c r="N225" s="9">
        <v>0</v>
      </c>
      <c r="O225" s="12" t="s">
        <v>28</v>
      </c>
      <c r="P225" s="35">
        <v>0</v>
      </c>
      <c r="Q225" s="12" t="s">
        <v>28</v>
      </c>
      <c r="R225" s="35">
        <v>0</v>
      </c>
      <c r="S225" s="10" t="s">
        <v>28</v>
      </c>
      <c r="T225" s="37">
        <v>0</v>
      </c>
      <c r="U225" s="10" t="s">
        <v>28</v>
      </c>
      <c r="V225" s="34" t="s">
        <v>68</v>
      </c>
      <c r="W225" s="15" t="s">
        <v>68</v>
      </c>
      <c r="X225" s="21" t="s">
        <v>887</v>
      </c>
      <c r="Y225" s="67" t="s">
        <v>68</v>
      </c>
      <c r="Z225" s="33" t="s">
        <v>887</v>
      </c>
    </row>
    <row r="226" spans="1:26">
      <c r="A226" s="31">
        <v>222</v>
      </c>
      <c r="B226" s="8" t="s">
        <v>25</v>
      </c>
      <c r="C226" s="8" t="s">
        <v>26</v>
      </c>
      <c r="D226" s="12" t="s">
        <v>32</v>
      </c>
      <c r="E226" s="12" t="s">
        <v>502</v>
      </c>
      <c r="F226" s="34" t="s">
        <v>659</v>
      </c>
      <c r="G226" s="34" t="s">
        <v>28</v>
      </c>
      <c r="H226" s="36" t="s">
        <v>660</v>
      </c>
      <c r="I226" s="12" t="s">
        <v>53</v>
      </c>
      <c r="J226" s="12" t="s">
        <v>28</v>
      </c>
      <c r="K226" s="12" t="s">
        <v>28</v>
      </c>
      <c r="L226" s="12" t="s">
        <v>38</v>
      </c>
      <c r="M226" s="12" t="s">
        <v>38</v>
      </c>
      <c r="N226" s="9">
        <v>0</v>
      </c>
      <c r="O226" s="12" t="s">
        <v>28</v>
      </c>
      <c r="P226" s="35">
        <v>0</v>
      </c>
      <c r="Q226" s="12" t="s">
        <v>28</v>
      </c>
      <c r="R226" s="35">
        <v>0</v>
      </c>
      <c r="S226" s="10" t="s">
        <v>28</v>
      </c>
      <c r="T226" s="37">
        <v>0</v>
      </c>
      <c r="U226" s="10" t="s">
        <v>28</v>
      </c>
      <c r="V226" s="34" t="s">
        <v>68</v>
      </c>
      <c r="W226" s="15" t="s">
        <v>68</v>
      </c>
      <c r="X226" s="21" t="s">
        <v>887</v>
      </c>
      <c r="Y226" s="67" t="s">
        <v>68</v>
      </c>
      <c r="Z226" s="33" t="s">
        <v>887</v>
      </c>
    </row>
    <row r="227" spans="1:26">
      <c r="A227" s="31">
        <v>223</v>
      </c>
      <c r="B227" s="8" t="s">
        <v>25</v>
      </c>
      <c r="C227" s="8" t="s">
        <v>26</v>
      </c>
      <c r="D227" s="12" t="s">
        <v>32</v>
      </c>
      <c r="E227" s="12" t="s">
        <v>502</v>
      </c>
      <c r="F227" s="34" t="s">
        <v>661</v>
      </c>
      <c r="G227" s="34" t="s">
        <v>28</v>
      </c>
      <c r="H227" s="36" t="s">
        <v>662</v>
      </c>
      <c r="I227" s="12" t="s">
        <v>53</v>
      </c>
      <c r="J227" s="12" t="s">
        <v>28</v>
      </c>
      <c r="K227" s="12" t="s">
        <v>28</v>
      </c>
      <c r="L227" s="12" t="s">
        <v>38</v>
      </c>
      <c r="M227" s="12" t="s">
        <v>38</v>
      </c>
      <c r="N227" s="9">
        <v>0</v>
      </c>
      <c r="O227" s="12" t="s">
        <v>28</v>
      </c>
      <c r="P227" s="35">
        <v>0</v>
      </c>
      <c r="Q227" s="12" t="s">
        <v>28</v>
      </c>
      <c r="R227" s="35">
        <v>0</v>
      </c>
      <c r="S227" s="10" t="s">
        <v>28</v>
      </c>
      <c r="T227" s="37">
        <v>0</v>
      </c>
      <c r="U227" s="10" t="s">
        <v>28</v>
      </c>
      <c r="V227" s="34" t="s">
        <v>68</v>
      </c>
      <c r="W227" s="15" t="s">
        <v>68</v>
      </c>
      <c r="X227" s="21" t="s">
        <v>887</v>
      </c>
      <c r="Y227" s="67" t="s">
        <v>68</v>
      </c>
      <c r="Z227" s="33" t="s">
        <v>887</v>
      </c>
    </row>
    <row r="228" spans="1:26">
      <c r="A228" s="31">
        <v>224</v>
      </c>
      <c r="B228" s="8" t="s">
        <v>25</v>
      </c>
      <c r="C228" s="8" t="s">
        <v>26</v>
      </c>
      <c r="D228" s="12" t="s">
        <v>32</v>
      </c>
      <c r="E228" s="12" t="s">
        <v>502</v>
      </c>
      <c r="F228" s="34" t="s">
        <v>663</v>
      </c>
      <c r="G228" s="34" t="s">
        <v>28</v>
      </c>
      <c r="H228" s="36" t="s">
        <v>664</v>
      </c>
      <c r="I228" s="12" t="s">
        <v>53</v>
      </c>
      <c r="J228" s="12" t="s">
        <v>28</v>
      </c>
      <c r="K228" s="12" t="s">
        <v>28</v>
      </c>
      <c r="L228" s="12" t="s">
        <v>38</v>
      </c>
      <c r="M228" s="12" t="s">
        <v>38</v>
      </c>
      <c r="N228" s="9">
        <v>0</v>
      </c>
      <c r="O228" s="12" t="s">
        <v>28</v>
      </c>
      <c r="P228" s="35">
        <v>0</v>
      </c>
      <c r="Q228" s="12" t="s">
        <v>28</v>
      </c>
      <c r="R228" s="35">
        <v>0</v>
      </c>
      <c r="S228" s="10" t="s">
        <v>28</v>
      </c>
      <c r="T228" s="37">
        <v>0</v>
      </c>
      <c r="U228" s="10" t="s">
        <v>28</v>
      </c>
      <c r="V228" s="34" t="s">
        <v>68</v>
      </c>
      <c r="W228" s="15" t="s">
        <v>68</v>
      </c>
      <c r="X228" s="21" t="s">
        <v>887</v>
      </c>
      <c r="Y228" s="67" t="s">
        <v>68</v>
      </c>
      <c r="Z228" s="33" t="s">
        <v>887</v>
      </c>
    </row>
    <row r="229" spans="1:26">
      <c r="A229" s="31">
        <v>225</v>
      </c>
      <c r="B229" s="8" t="s">
        <v>25</v>
      </c>
      <c r="C229" s="8" t="s">
        <v>26</v>
      </c>
      <c r="D229" s="12" t="s">
        <v>32</v>
      </c>
      <c r="E229" s="12" t="s">
        <v>502</v>
      </c>
      <c r="F229" s="34" t="s">
        <v>665</v>
      </c>
      <c r="G229" s="34" t="s">
        <v>28</v>
      </c>
      <c r="H229" s="36" t="s">
        <v>666</v>
      </c>
      <c r="I229" s="12" t="s">
        <v>43</v>
      </c>
      <c r="J229" s="12" t="s">
        <v>28</v>
      </c>
      <c r="K229" s="12" t="s">
        <v>28</v>
      </c>
      <c r="L229" s="12" t="s">
        <v>38</v>
      </c>
      <c r="M229" s="12" t="s">
        <v>38</v>
      </c>
      <c r="N229" s="9">
        <v>0</v>
      </c>
      <c r="O229" s="12" t="s">
        <v>28</v>
      </c>
      <c r="P229" s="35">
        <v>0</v>
      </c>
      <c r="Q229" s="12" t="s">
        <v>28</v>
      </c>
      <c r="R229" s="35">
        <v>0</v>
      </c>
      <c r="S229" s="10" t="s">
        <v>28</v>
      </c>
      <c r="T229" s="37">
        <v>0</v>
      </c>
      <c r="U229" s="10" t="s">
        <v>28</v>
      </c>
      <c r="V229" s="34" t="s">
        <v>68</v>
      </c>
      <c r="W229" s="15" t="s">
        <v>68</v>
      </c>
      <c r="X229" s="21" t="s">
        <v>887</v>
      </c>
      <c r="Y229" s="67" t="s">
        <v>68</v>
      </c>
      <c r="Z229" s="33" t="s">
        <v>887</v>
      </c>
    </row>
    <row r="230" spans="1:26">
      <c r="A230" s="31">
        <v>226</v>
      </c>
      <c r="B230" s="8" t="s">
        <v>25</v>
      </c>
      <c r="C230" s="8" t="s">
        <v>26</v>
      </c>
      <c r="D230" s="12" t="s">
        <v>32</v>
      </c>
      <c r="E230" s="12" t="s">
        <v>502</v>
      </c>
      <c r="F230" s="34" t="s">
        <v>667</v>
      </c>
      <c r="G230" s="34" t="s">
        <v>28</v>
      </c>
      <c r="H230" s="36" t="s">
        <v>668</v>
      </c>
      <c r="I230" s="12" t="s">
        <v>528</v>
      </c>
      <c r="J230" s="12" t="s">
        <v>28</v>
      </c>
      <c r="K230" s="12" t="s">
        <v>28</v>
      </c>
      <c r="L230" s="12" t="s">
        <v>38</v>
      </c>
      <c r="M230" s="12" t="s">
        <v>38</v>
      </c>
      <c r="N230" s="9">
        <v>0</v>
      </c>
      <c r="O230" s="12" t="s">
        <v>28</v>
      </c>
      <c r="P230" s="35">
        <v>0</v>
      </c>
      <c r="Q230" s="12" t="s">
        <v>28</v>
      </c>
      <c r="R230" s="35">
        <v>0</v>
      </c>
      <c r="S230" s="10" t="s">
        <v>28</v>
      </c>
      <c r="T230" s="37">
        <v>0</v>
      </c>
      <c r="U230" s="10" t="s">
        <v>28</v>
      </c>
      <c r="V230" s="34" t="s">
        <v>68</v>
      </c>
      <c r="W230" s="15" t="s">
        <v>68</v>
      </c>
      <c r="X230" s="21" t="s">
        <v>887</v>
      </c>
      <c r="Y230" s="67" t="s">
        <v>68</v>
      </c>
      <c r="Z230" s="33" t="s">
        <v>887</v>
      </c>
    </row>
    <row r="231" spans="1:26">
      <c r="A231" s="31">
        <v>227</v>
      </c>
      <c r="B231" s="8" t="s">
        <v>25</v>
      </c>
      <c r="C231" s="8" t="s">
        <v>26</v>
      </c>
      <c r="D231" s="12" t="s">
        <v>32</v>
      </c>
      <c r="E231" s="12" t="s">
        <v>502</v>
      </c>
      <c r="F231" s="34" t="s">
        <v>669</v>
      </c>
      <c r="G231" s="34" t="s">
        <v>670</v>
      </c>
      <c r="H231" s="36" t="s">
        <v>671</v>
      </c>
      <c r="I231" s="12" t="s">
        <v>118</v>
      </c>
      <c r="J231" s="12" t="s">
        <v>38</v>
      </c>
      <c r="K231" s="12" t="s">
        <v>28</v>
      </c>
      <c r="L231" s="12" t="s">
        <v>28</v>
      </c>
      <c r="M231" s="12" t="s">
        <v>38</v>
      </c>
      <c r="N231" s="9">
        <v>0</v>
      </c>
      <c r="O231" s="12" t="s">
        <v>28</v>
      </c>
      <c r="P231" s="35">
        <v>0</v>
      </c>
      <c r="Q231" s="12" t="s">
        <v>28</v>
      </c>
      <c r="R231" s="35">
        <v>1400000074</v>
      </c>
      <c r="S231" s="10">
        <v>43616</v>
      </c>
      <c r="T231" s="37">
        <v>0</v>
      </c>
      <c r="U231" s="10" t="s">
        <v>28</v>
      </c>
      <c r="V231" s="34" t="s">
        <v>622</v>
      </c>
      <c r="W231" s="15" t="s">
        <v>881</v>
      </c>
      <c r="X231" s="21" t="s">
        <v>68</v>
      </c>
      <c r="Y231" s="67" t="s">
        <v>68</v>
      </c>
      <c r="Z231" s="33" t="s">
        <v>887</v>
      </c>
    </row>
    <row r="232" spans="1:26">
      <c r="A232" s="31">
        <v>228</v>
      </c>
      <c r="B232" s="8" t="s">
        <v>25</v>
      </c>
      <c r="C232" s="8" t="s">
        <v>26</v>
      </c>
      <c r="D232" s="12" t="s">
        <v>32</v>
      </c>
      <c r="E232" s="12" t="s">
        <v>502</v>
      </c>
      <c r="F232" s="34" t="s">
        <v>672</v>
      </c>
      <c r="G232" s="34"/>
      <c r="H232" s="36" t="s">
        <v>673</v>
      </c>
      <c r="I232" s="12" t="s">
        <v>118</v>
      </c>
      <c r="J232" s="12" t="s">
        <v>28</v>
      </c>
      <c r="K232" s="12" t="s">
        <v>28</v>
      </c>
      <c r="L232" s="12" t="s">
        <v>38</v>
      </c>
      <c r="M232" s="12" t="s">
        <v>38</v>
      </c>
      <c r="N232" s="9">
        <v>0</v>
      </c>
      <c r="O232" s="12" t="s">
        <v>28</v>
      </c>
      <c r="P232" s="35">
        <v>0</v>
      </c>
      <c r="Q232" s="12" t="s">
        <v>28</v>
      </c>
      <c r="R232" s="35"/>
      <c r="S232" s="10"/>
      <c r="T232" s="37">
        <v>0</v>
      </c>
      <c r="U232" s="10" t="s">
        <v>28</v>
      </c>
      <c r="V232" s="34" t="s">
        <v>68</v>
      </c>
      <c r="W232" s="15" t="s">
        <v>68</v>
      </c>
      <c r="X232" s="21" t="s">
        <v>887</v>
      </c>
      <c r="Y232" s="67" t="s">
        <v>68</v>
      </c>
      <c r="Z232" s="33" t="s">
        <v>887</v>
      </c>
    </row>
    <row r="233" spans="1:26">
      <c r="A233" s="31">
        <v>229</v>
      </c>
      <c r="B233" s="8" t="s">
        <v>25</v>
      </c>
      <c r="C233" s="8" t="s">
        <v>26</v>
      </c>
      <c r="D233" s="12" t="s">
        <v>32</v>
      </c>
      <c r="E233" s="12" t="s">
        <v>502</v>
      </c>
      <c r="F233" s="34" t="s">
        <v>674</v>
      </c>
      <c r="G233" s="34" t="s">
        <v>675</v>
      </c>
      <c r="H233" s="36" t="s">
        <v>676</v>
      </c>
      <c r="I233" s="12" t="s">
        <v>118</v>
      </c>
      <c r="J233" s="12" t="s">
        <v>38</v>
      </c>
      <c r="K233" s="12" t="s">
        <v>28</v>
      </c>
      <c r="L233" s="12" t="s">
        <v>28</v>
      </c>
      <c r="M233" s="12" t="s">
        <v>38</v>
      </c>
      <c r="N233" s="9">
        <v>0</v>
      </c>
      <c r="O233" s="12" t="s">
        <v>28</v>
      </c>
      <c r="P233" s="35">
        <v>0</v>
      </c>
      <c r="Q233" s="12" t="s">
        <v>28</v>
      </c>
      <c r="R233" s="35">
        <v>2072291710.5000002</v>
      </c>
      <c r="S233" s="10">
        <v>43522</v>
      </c>
      <c r="T233" s="37">
        <v>0</v>
      </c>
      <c r="U233" s="10" t="s">
        <v>28</v>
      </c>
      <c r="V233" s="34" t="s">
        <v>622</v>
      </c>
      <c r="W233" s="15" t="s">
        <v>881</v>
      </c>
      <c r="X233" s="21" t="s">
        <v>68</v>
      </c>
      <c r="Y233" s="67" t="s">
        <v>68</v>
      </c>
      <c r="Z233" s="33" t="s">
        <v>887</v>
      </c>
    </row>
    <row r="234" spans="1:26">
      <c r="A234" s="31">
        <v>230</v>
      </c>
      <c r="B234" s="8" t="s">
        <v>25</v>
      </c>
      <c r="C234" s="8" t="s">
        <v>26</v>
      </c>
      <c r="D234" s="12" t="s">
        <v>32</v>
      </c>
      <c r="E234" s="12" t="s">
        <v>502</v>
      </c>
      <c r="F234" s="34" t="s">
        <v>677</v>
      </c>
      <c r="G234" s="34" t="s">
        <v>678</v>
      </c>
      <c r="H234" s="36" t="s">
        <v>679</v>
      </c>
      <c r="I234" s="12" t="s">
        <v>118</v>
      </c>
      <c r="J234" s="12" t="s">
        <v>38</v>
      </c>
      <c r="K234" s="12" t="s">
        <v>28</v>
      </c>
      <c r="L234" s="12" t="s">
        <v>28</v>
      </c>
      <c r="M234" s="12" t="s">
        <v>38</v>
      </c>
      <c r="N234" s="9">
        <v>0</v>
      </c>
      <c r="O234" s="12" t="s">
        <v>28</v>
      </c>
      <c r="P234" s="35">
        <v>0</v>
      </c>
      <c r="Q234" s="12" t="s">
        <v>28</v>
      </c>
      <c r="R234" s="35">
        <v>268693539.40000004</v>
      </c>
      <c r="S234" s="10">
        <v>43522</v>
      </c>
      <c r="T234" s="37">
        <v>0</v>
      </c>
      <c r="U234" s="10" t="s">
        <v>28</v>
      </c>
      <c r="V234" s="34" t="s">
        <v>622</v>
      </c>
      <c r="W234" s="15" t="s">
        <v>881</v>
      </c>
      <c r="X234" s="21" t="s">
        <v>68</v>
      </c>
      <c r="Y234" s="67" t="s">
        <v>68</v>
      </c>
      <c r="Z234" s="33" t="s">
        <v>887</v>
      </c>
    </row>
    <row r="235" spans="1:26">
      <c r="A235" s="31">
        <v>231</v>
      </c>
      <c r="B235" s="8" t="s">
        <v>25</v>
      </c>
      <c r="C235" s="8" t="s">
        <v>26</v>
      </c>
      <c r="D235" s="12" t="s">
        <v>32</v>
      </c>
      <c r="E235" s="12" t="s">
        <v>502</v>
      </c>
      <c r="F235" s="34" t="s">
        <v>680</v>
      </c>
      <c r="G235" s="34"/>
      <c r="H235" s="36" t="s">
        <v>681</v>
      </c>
      <c r="I235" s="12" t="s">
        <v>53</v>
      </c>
      <c r="J235" s="12" t="s">
        <v>28</v>
      </c>
      <c r="K235" s="12" t="s">
        <v>28</v>
      </c>
      <c r="L235" s="12" t="s">
        <v>38</v>
      </c>
      <c r="M235" s="12" t="s">
        <v>38</v>
      </c>
      <c r="N235" s="9">
        <v>0</v>
      </c>
      <c r="O235" s="12" t="s">
        <v>28</v>
      </c>
      <c r="P235" s="35">
        <v>0</v>
      </c>
      <c r="Q235" s="12" t="s">
        <v>28</v>
      </c>
      <c r="R235" s="35"/>
      <c r="S235" s="10"/>
      <c r="T235" s="37">
        <v>0</v>
      </c>
      <c r="U235" s="10" t="s">
        <v>28</v>
      </c>
      <c r="V235" s="34" t="s">
        <v>68</v>
      </c>
      <c r="W235" s="15" t="s">
        <v>68</v>
      </c>
      <c r="X235" s="21" t="s">
        <v>887</v>
      </c>
      <c r="Y235" s="67" t="s">
        <v>68</v>
      </c>
      <c r="Z235" s="33" t="s">
        <v>887</v>
      </c>
    </row>
    <row r="236" spans="1:26">
      <c r="A236" s="31">
        <v>232</v>
      </c>
      <c r="B236" s="8" t="s">
        <v>25</v>
      </c>
      <c r="C236" s="8" t="s">
        <v>26</v>
      </c>
      <c r="D236" s="12" t="s">
        <v>32</v>
      </c>
      <c r="E236" s="12" t="s">
        <v>502</v>
      </c>
      <c r="F236" s="34" t="s">
        <v>682</v>
      </c>
      <c r="G236" s="34"/>
      <c r="H236" s="36" t="s">
        <v>683</v>
      </c>
      <c r="I236" s="12" t="s">
        <v>61</v>
      </c>
      <c r="J236" s="12" t="s">
        <v>28</v>
      </c>
      <c r="K236" s="12" t="s">
        <v>28</v>
      </c>
      <c r="L236" s="12" t="s">
        <v>38</v>
      </c>
      <c r="M236" s="12" t="s">
        <v>38</v>
      </c>
      <c r="N236" s="9">
        <v>0</v>
      </c>
      <c r="O236" s="12" t="s">
        <v>28</v>
      </c>
      <c r="P236" s="35">
        <v>0</v>
      </c>
      <c r="Q236" s="12" t="s">
        <v>28</v>
      </c>
      <c r="R236" s="35"/>
      <c r="S236" s="10"/>
      <c r="T236" s="37">
        <v>0</v>
      </c>
      <c r="U236" s="10" t="s">
        <v>28</v>
      </c>
      <c r="V236" s="34" t="s">
        <v>68</v>
      </c>
      <c r="W236" s="15" t="s">
        <v>68</v>
      </c>
      <c r="X236" s="21" t="s">
        <v>887</v>
      </c>
      <c r="Y236" s="67" t="s">
        <v>68</v>
      </c>
      <c r="Z236" s="33" t="s">
        <v>887</v>
      </c>
    </row>
    <row r="237" spans="1:26">
      <c r="A237" s="31">
        <v>233</v>
      </c>
      <c r="B237" s="8" t="s">
        <v>25</v>
      </c>
      <c r="C237" s="8" t="s">
        <v>26</v>
      </c>
      <c r="D237" s="12" t="s">
        <v>32</v>
      </c>
      <c r="E237" s="12" t="s">
        <v>502</v>
      </c>
      <c r="F237" s="34" t="s">
        <v>684</v>
      </c>
      <c r="G237" s="34"/>
      <c r="H237" s="36" t="s">
        <v>685</v>
      </c>
      <c r="I237" s="12" t="s">
        <v>53</v>
      </c>
      <c r="J237" s="12" t="s">
        <v>28</v>
      </c>
      <c r="K237" s="12" t="s">
        <v>28</v>
      </c>
      <c r="L237" s="12" t="s">
        <v>38</v>
      </c>
      <c r="M237" s="12" t="s">
        <v>38</v>
      </c>
      <c r="N237" s="9">
        <v>0</v>
      </c>
      <c r="O237" s="12" t="s">
        <v>28</v>
      </c>
      <c r="P237" s="35">
        <v>0</v>
      </c>
      <c r="Q237" s="12" t="s">
        <v>28</v>
      </c>
      <c r="R237" s="35"/>
      <c r="S237" s="10"/>
      <c r="T237" s="37">
        <v>0</v>
      </c>
      <c r="U237" s="10" t="s">
        <v>28</v>
      </c>
      <c r="V237" s="34" t="s">
        <v>68</v>
      </c>
      <c r="W237" s="15" t="s">
        <v>68</v>
      </c>
      <c r="X237" s="21" t="s">
        <v>887</v>
      </c>
      <c r="Y237" s="67" t="s">
        <v>68</v>
      </c>
      <c r="Z237" s="33" t="s">
        <v>887</v>
      </c>
    </row>
    <row r="238" spans="1:26">
      <c r="A238" s="31">
        <v>234</v>
      </c>
      <c r="B238" s="8" t="s">
        <v>25</v>
      </c>
      <c r="C238" s="8" t="s">
        <v>26</v>
      </c>
      <c r="D238" s="12" t="s">
        <v>32</v>
      </c>
      <c r="E238" s="12" t="s">
        <v>502</v>
      </c>
      <c r="F238" s="34" t="s">
        <v>686</v>
      </c>
      <c r="G238" s="34"/>
      <c r="H238" s="36" t="s">
        <v>687</v>
      </c>
      <c r="I238" s="12" t="s">
        <v>53</v>
      </c>
      <c r="J238" s="12" t="s">
        <v>28</v>
      </c>
      <c r="K238" s="12" t="s">
        <v>28</v>
      </c>
      <c r="L238" s="12" t="s">
        <v>38</v>
      </c>
      <c r="M238" s="12" t="s">
        <v>38</v>
      </c>
      <c r="N238" s="9">
        <v>0</v>
      </c>
      <c r="O238" s="12" t="s">
        <v>28</v>
      </c>
      <c r="P238" s="35">
        <v>0</v>
      </c>
      <c r="Q238" s="12" t="s">
        <v>28</v>
      </c>
      <c r="R238" s="35"/>
      <c r="S238" s="10"/>
      <c r="T238" s="37">
        <v>0</v>
      </c>
      <c r="U238" s="10" t="s">
        <v>28</v>
      </c>
      <c r="V238" s="34" t="s">
        <v>68</v>
      </c>
      <c r="W238" s="15" t="s">
        <v>68</v>
      </c>
      <c r="X238" s="21" t="s">
        <v>887</v>
      </c>
      <c r="Y238" s="67" t="s">
        <v>68</v>
      </c>
      <c r="Z238" s="33" t="s">
        <v>887</v>
      </c>
    </row>
    <row r="239" spans="1:26">
      <c r="A239" s="31">
        <v>235</v>
      </c>
      <c r="B239" s="8" t="s">
        <v>25</v>
      </c>
      <c r="C239" s="8" t="s">
        <v>26</v>
      </c>
      <c r="D239" s="12" t="s">
        <v>32</v>
      </c>
      <c r="E239" s="12" t="s">
        <v>502</v>
      </c>
      <c r="F239" s="34" t="s">
        <v>688</v>
      </c>
      <c r="G239" s="34" t="s">
        <v>689</v>
      </c>
      <c r="H239" s="36" t="s">
        <v>690</v>
      </c>
      <c r="I239" s="12" t="s">
        <v>118</v>
      </c>
      <c r="J239" s="12" t="s">
        <v>38</v>
      </c>
      <c r="K239" s="12" t="s">
        <v>28</v>
      </c>
      <c r="L239" s="12" t="s">
        <v>28</v>
      </c>
      <c r="M239" s="12" t="s">
        <v>38</v>
      </c>
      <c r="N239" s="9">
        <v>0</v>
      </c>
      <c r="O239" s="12" t="s">
        <v>28</v>
      </c>
      <c r="P239" s="35">
        <v>0</v>
      </c>
      <c r="Q239" s="12" t="s">
        <v>28</v>
      </c>
      <c r="R239" s="35">
        <v>1445948900</v>
      </c>
      <c r="S239" s="10">
        <v>43592</v>
      </c>
      <c r="T239" s="37">
        <v>0</v>
      </c>
      <c r="U239" s="10" t="s">
        <v>28</v>
      </c>
      <c r="V239" s="34" t="s">
        <v>622</v>
      </c>
      <c r="W239" s="15" t="s">
        <v>881</v>
      </c>
      <c r="X239" s="21" t="s">
        <v>68</v>
      </c>
      <c r="Y239" s="67" t="s">
        <v>68</v>
      </c>
      <c r="Z239" s="33" t="s">
        <v>887</v>
      </c>
    </row>
    <row r="240" spans="1:26">
      <c r="A240" s="31">
        <v>236</v>
      </c>
      <c r="B240" s="8" t="s">
        <v>25</v>
      </c>
      <c r="C240" s="8" t="s">
        <v>26</v>
      </c>
      <c r="D240" s="12" t="s">
        <v>32</v>
      </c>
      <c r="E240" s="12" t="s">
        <v>502</v>
      </c>
      <c r="F240" s="34" t="s">
        <v>691</v>
      </c>
      <c r="G240" s="34"/>
      <c r="H240" s="36" t="s">
        <v>692</v>
      </c>
      <c r="I240" s="12" t="s">
        <v>125</v>
      </c>
      <c r="J240" s="12" t="s">
        <v>28</v>
      </c>
      <c r="K240" s="12" t="s">
        <v>28</v>
      </c>
      <c r="L240" s="12" t="s">
        <v>38</v>
      </c>
      <c r="M240" s="12" t="s">
        <v>38</v>
      </c>
      <c r="N240" s="9">
        <v>0</v>
      </c>
      <c r="O240" s="12" t="s">
        <v>28</v>
      </c>
      <c r="P240" s="35">
        <v>0</v>
      </c>
      <c r="Q240" s="12" t="s">
        <v>28</v>
      </c>
      <c r="R240" s="35"/>
      <c r="S240" s="10"/>
      <c r="T240" s="37">
        <v>0</v>
      </c>
      <c r="U240" s="10" t="s">
        <v>28</v>
      </c>
      <c r="V240" s="34" t="s">
        <v>68</v>
      </c>
      <c r="W240" s="15" t="s">
        <v>68</v>
      </c>
      <c r="X240" s="21" t="s">
        <v>887</v>
      </c>
      <c r="Y240" s="67" t="s">
        <v>68</v>
      </c>
      <c r="Z240" s="33" t="s">
        <v>887</v>
      </c>
    </row>
    <row r="241" spans="1:26">
      <c r="A241" s="31">
        <v>237</v>
      </c>
      <c r="B241" s="8" t="s">
        <v>25</v>
      </c>
      <c r="C241" s="8" t="s">
        <v>26</v>
      </c>
      <c r="D241" s="12" t="s">
        <v>32</v>
      </c>
      <c r="E241" s="12" t="s">
        <v>502</v>
      </c>
      <c r="F241" s="34" t="s">
        <v>693</v>
      </c>
      <c r="G241" s="34" t="s">
        <v>694</v>
      </c>
      <c r="H241" s="36" t="s">
        <v>695</v>
      </c>
      <c r="I241" s="12" t="s">
        <v>28</v>
      </c>
      <c r="J241" s="12" t="s">
        <v>28</v>
      </c>
      <c r="K241" s="12" t="s">
        <v>28</v>
      </c>
      <c r="L241" s="12" t="s">
        <v>28</v>
      </c>
      <c r="M241" s="12" t="s">
        <v>28</v>
      </c>
      <c r="N241" s="9">
        <v>0</v>
      </c>
      <c r="O241" s="12" t="s">
        <v>28</v>
      </c>
      <c r="P241" s="35">
        <v>0</v>
      </c>
      <c r="Q241" s="12" t="s">
        <v>28</v>
      </c>
      <c r="R241" s="9">
        <v>11882310000.000002</v>
      </c>
      <c r="S241" s="10">
        <v>45195</v>
      </c>
      <c r="T241" s="37">
        <v>0</v>
      </c>
      <c r="U241" s="10" t="s">
        <v>28</v>
      </c>
      <c r="V241" s="34" t="s">
        <v>506</v>
      </c>
      <c r="W241" s="15" t="s">
        <v>881</v>
      </c>
      <c r="X241" s="21" t="s">
        <v>887</v>
      </c>
      <c r="Y241" s="67" t="s">
        <v>68</v>
      </c>
      <c r="Z241" s="33" t="s">
        <v>887</v>
      </c>
    </row>
    <row r="242" spans="1:26">
      <c r="A242" s="31">
        <v>238</v>
      </c>
      <c r="B242" s="8" t="s">
        <v>25</v>
      </c>
      <c r="C242" s="8" t="s">
        <v>26</v>
      </c>
      <c r="D242" s="12" t="s">
        <v>32</v>
      </c>
      <c r="E242" s="44" t="s">
        <v>696</v>
      </c>
      <c r="F242" s="34" t="s">
        <v>697</v>
      </c>
      <c r="G242" s="34" t="s">
        <v>698</v>
      </c>
      <c r="H242" s="36" t="s">
        <v>699</v>
      </c>
      <c r="I242" s="12" t="s">
        <v>53</v>
      </c>
      <c r="J242" s="12" t="s">
        <v>38</v>
      </c>
      <c r="K242" s="12" t="s">
        <v>28</v>
      </c>
      <c r="L242" s="12" t="s">
        <v>28</v>
      </c>
      <c r="M242" s="12" t="s">
        <v>38</v>
      </c>
      <c r="N242" s="9">
        <v>15620000000.000002</v>
      </c>
      <c r="O242" s="10">
        <v>39758</v>
      </c>
      <c r="P242" s="35">
        <v>0</v>
      </c>
      <c r="Q242" s="12" t="s">
        <v>28</v>
      </c>
      <c r="R242" s="9">
        <v>12887000000</v>
      </c>
      <c r="S242" s="10">
        <v>43297</v>
      </c>
      <c r="T242" s="37">
        <v>0</v>
      </c>
      <c r="U242" s="10" t="s">
        <v>28</v>
      </c>
      <c r="V242" s="34" t="s">
        <v>700</v>
      </c>
      <c r="W242" s="15" t="s">
        <v>880</v>
      </c>
      <c r="X242" s="21" t="s">
        <v>68</v>
      </c>
      <c r="Y242" s="67" t="s">
        <v>68</v>
      </c>
      <c r="Z242" s="33" t="s">
        <v>887</v>
      </c>
    </row>
    <row r="243" spans="1:26">
      <c r="A243" s="31">
        <v>239</v>
      </c>
      <c r="B243" s="8" t="s">
        <v>25</v>
      </c>
      <c r="C243" s="8" t="s">
        <v>26</v>
      </c>
      <c r="D243" s="12" t="s">
        <v>32</v>
      </c>
      <c r="E243" s="44" t="s">
        <v>696</v>
      </c>
      <c r="F243" s="34" t="s">
        <v>701</v>
      </c>
      <c r="G243" s="34" t="s">
        <v>702</v>
      </c>
      <c r="H243" s="36" t="s">
        <v>703</v>
      </c>
      <c r="I243" s="12" t="s">
        <v>43</v>
      </c>
      <c r="J243" s="12" t="s">
        <v>38</v>
      </c>
      <c r="K243" s="12" t="s">
        <v>28</v>
      </c>
      <c r="L243" s="12" t="s">
        <v>28</v>
      </c>
      <c r="M243" s="12" t="s">
        <v>38</v>
      </c>
      <c r="N243" s="9">
        <v>0</v>
      </c>
      <c r="O243" s="12" t="s">
        <v>28</v>
      </c>
      <c r="P243" s="35">
        <v>0</v>
      </c>
      <c r="Q243" s="12" t="s">
        <v>28</v>
      </c>
      <c r="R243" s="35">
        <v>0</v>
      </c>
      <c r="S243" s="10" t="s">
        <v>28</v>
      </c>
      <c r="T243" s="35">
        <v>3458433000.0000005</v>
      </c>
      <c r="U243" s="10">
        <v>45670</v>
      </c>
      <c r="V243" s="34" t="s">
        <v>700</v>
      </c>
      <c r="W243" s="15" t="s">
        <v>880</v>
      </c>
      <c r="X243" s="21" t="s">
        <v>68</v>
      </c>
      <c r="Y243" s="67" t="s">
        <v>68</v>
      </c>
      <c r="Z243" s="33" t="s">
        <v>887</v>
      </c>
    </row>
    <row r="244" spans="1:26">
      <c r="A244" s="31">
        <v>240</v>
      </c>
      <c r="B244" s="8" t="s">
        <v>25</v>
      </c>
      <c r="C244" s="8" t="s">
        <v>26</v>
      </c>
      <c r="D244" s="12" t="s">
        <v>32</v>
      </c>
      <c r="E244" s="44" t="s">
        <v>696</v>
      </c>
      <c r="F244" s="34" t="s">
        <v>704</v>
      </c>
      <c r="G244" s="34" t="s">
        <v>705</v>
      </c>
      <c r="H244" s="36" t="s">
        <v>706</v>
      </c>
      <c r="I244" s="12" t="s">
        <v>43</v>
      </c>
      <c r="J244" s="12" t="s">
        <v>38</v>
      </c>
      <c r="K244" s="12" t="s">
        <v>28</v>
      </c>
      <c r="L244" s="12" t="s">
        <v>28</v>
      </c>
      <c r="M244" s="12" t="s">
        <v>38</v>
      </c>
      <c r="N244" s="9">
        <v>0</v>
      </c>
      <c r="O244" s="12" t="s">
        <v>28</v>
      </c>
      <c r="P244" s="9">
        <v>5335000000</v>
      </c>
      <c r="Q244" s="10">
        <v>40696</v>
      </c>
      <c r="R244" s="35">
        <v>0</v>
      </c>
      <c r="S244" s="10" t="s">
        <v>28</v>
      </c>
      <c r="T244" s="37">
        <v>0</v>
      </c>
      <c r="U244" s="10" t="s">
        <v>28</v>
      </c>
      <c r="V244" s="34" t="s">
        <v>700</v>
      </c>
      <c r="W244" s="15" t="s">
        <v>880</v>
      </c>
      <c r="X244" s="21" t="s">
        <v>68</v>
      </c>
      <c r="Y244" s="67" t="s">
        <v>68</v>
      </c>
      <c r="Z244" s="33" t="s">
        <v>887</v>
      </c>
    </row>
    <row r="245" spans="1:26">
      <c r="A245" s="31">
        <v>241</v>
      </c>
      <c r="B245" s="8" t="s">
        <v>25</v>
      </c>
      <c r="C245" s="8" t="s">
        <v>26</v>
      </c>
      <c r="D245" s="12" t="s">
        <v>32</v>
      </c>
      <c r="E245" s="44" t="s">
        <v>696</v>
      </c>
      <c r="F245" s="34" t="s">
        <v>707</v>
      </c>
      <c r="G245" s="34" t="s">
        <v>708</v>
      </c>
      <c r="H245" s="36" t="s">
        <v>709</v>
      </c>
      <c r="I245" s="12" t="s">
        <v>125</v>
      </c>
      <c r="J245" s="12" t="s">
        <v>38</v>
      </c>
      <c r="K245" s="12" t="s">
        <v>28</v>
      </c>
      <c r="L245" s="12" t="s">
        <v>28</v>
      </c>
      <c r="M245" s="12" t="s">
        <v>38</v>
      </c>
      <c r="N245" s="9">
        <v>0</v>
      </c>
      <c r="O245" s="12" t="s">
        <v>28</v>
      </c>
      <c r="P245" s="35">
        <v>0</v>
      </c>
      <c r="Q245" s="12" t="s">
        <v>28</v>
      </c>
      <c r="R245" s="35">
        <v>0</v>
      </c>
      <c r="S245" s="10" t="s">
        <v>28</v>
      </c>
      <c r="T245" s="37">
        <v>0</v>
      </c>
      <c r="U245" s="10" t="s">
        <v>28</v>
      </c>
      <c r="V245" s="34" t="s">
        <v>700</v>
      </c>
      <c r="W245" s="15" t="s">
        <v>68</v>
      </c>
      <c r="X245" s="21" t="s">
        <v>68</v>
      </c>
      <c r="Y245" s="67" t="s">
        <v>68</v>
      </c>
      <c r="Z245" s="33" t="s">
        <v>887</v>
      </c>
    </row>
    <row r="246" spans="1:26">
      <c r="A246" s="31">
        <v>242</v>
      </c>
      <c r="B246" s="8" t="s">
        <v>25</v>
      </c>
      <c r="C246" s="8" t="s">
        <v>26</v>
      </c>
      <c r="D246" s="12" t="s">
        <v>32</v>
      </c>
      <c r="E246" s="44" t="s">
        <v>696</v>
      </c>
      <c r="F246" s="34" t="s">
        <v>710</v>
      </c>
      <c r="G246" s="34" t="s">
        <v>711</v>
      </c>
      <c r="H246" s="36" t="s">
        <v>712</v>
      </c>
      <c r="I246" s="12" t="s">
        <v>118</v>
      </c>
      <c r="J246" s="12" t="s">
        <v>38</v>
      </c>
      <c r="K246" s="12" t="s">
        <v>28</v>
      </c>
      <c r="L246" s="12" t="s">
        <v>28</v>
      </c>
      <c r="M246" s="12" t="s">
        <v>38</v>
      </c>
      <c r="N246" s="9">
        <v>0</v>
      </c>
      <c r="O246" s="12" t="s">
        <v>28</v>
      </c>
      <c r="P246" s="35">
        <v>0</v>
      </c>
      <c r="Q246" s="12" t="s">
        <v>28</v>
      </c>
      <c r="R246" s="9">
        <v>7546000000</v>
      </c>
      <c r="S246" s="10">
        <v>42580</v>
      </c>
      <c r="T246" s="37">
        <v>0</v>
      </c>
      <c r="U246" s="10" t="s">
        <v>28</v>
      </c>
      <c r="V246" s="34" t="s">
        <v>700</v>
      </c>
      <c r="W246" s="15" t="s">
        <v>880</v>
      </c>
      <c r="X246" s="21" t="s">
        <v>68</v>
      </c>
      <c r="Y246" s="67" t="s">
        <v>68</v>
      </c>
      <c r="Z246" s="33" t="s">
        <v>887</v>
      </c>
    </row>
    <row r="247" spans="1:26">
      <c r="A247" s="31">
        <v>243</v>
      </c>
      <c r="B247" s="8" t="s">
        <v>25</v>
      </c>
      <c r="C247" s="8" t="s">
        <v>26</v>
      </c>
      <c r="D247" s="12" t="s">
        <v>32</v>
      </c>
      <c r="E247" s="44" t="s">
        <v>696</v>
      </c>
      <c r="F247" s="34" t="s">
        <v>713</v>
      </c>
      <c r="G247" s="34" t="s">
        <v>714</v>
      </c>
      <c r="H247" s="36" t="s">
        <v>715</v>
      </c>
      <c r="I247" s="12" t="s">
        <v>118</v>
      </c>
      <c r="J247" s="12" t="s">
        <v>38</v>
      </c>
      <c r="K247" s="12" t="s">
        <v>28</v>
      </c>
      <c r="L247" s="12" t="s">
        <v>28</v>
      </c>
      <c r="M247" s="12" t="s">
        <v>38</v>
      </c>
      <c r="N247" s="9">
        <v>0</v>
      </c>
      <c r="O247" s="12" t="s">
        <v>28</v>
      </c>
      <c r="P247" s="35">
        <v>3616303539</v>
      </c>
      <c r="Q247" s="38">
        <v>40781</v>
      </c>
      <c r="R247" s="35">
        <v>0</v>
      </c>
      <c r="S247" s="10" t="s">
        <v>28</v>
      </c>
      <c r="T247" s="37">
        <v>0</v>
      </c>
      <c r="U247" s="10" t="s">
        <v>28</v>
      </c>
      <c r="V247" s="34" t="s">
        <v>700</v>
      </c>
      <c r="W247" s="15" t="s">
        <v>880</v>
      </c>
      <c r="X247" s="21" t="s">
        <v>68</v>
      </c>
      <c r="Y247" s="67" t="s">
        <v>68</v>
      </c>
      <c r="Z247" s="33" t="s">
        <v>887</v>
      </c>
    </row>
    <row r="248" spans="1:26">
      <c r="A248" s="31">
        <v>244</v>
      </c>
      <c r="B248" s="8" t="s">
        <v>25</v>
      </c>
      <c r="C248" s="8" t="s">
        <v>26</v>
      </c>
      <c r="D248" s="12" t="s">
        <v>32</v>
      </c>
      <c r="E248" s="44" t="s">
        <v>696</v>
      </c>
      <c r="F248" s="34" t="s">
        <v>716</v>
      </c>
      <c r="G248" s="34" t="s">
        <v>717</v>
      </c>
      <c r="H248" s="36" t="s">
        <v>718</v>
      </c>
      <c r="I248" s="12" t="s">
        <v>118</v>
      </c>
      <c r="J248" s="12" t="s">
        <v>38</v>
      </c>
      <c r="K248" s="12" t="s">
        <v>28</v>
      </c>
      <c r="L248" s="12" t="s">
        <v>28</v>
      </c>
      <c r="M248" s="12" t="s">
        <v>38</v>
      </c>
      <c r="N248" s="9">
        <v>0</v>
      </c>
      <c r="O248" s="12" t="s">
        <v>28</v>
      </c>
      <c r="P248" s="35">
        <v>0</v>
      </c>
      <c r="Q248" s="12" t="s">
        <v>28</v>
      </c>
      <c r="R248" s="35">
        <v>478317840.00000006</v>
      </c>
      <c r="S248" s="10">
        <v>42480</v>
      </c>
      <c r="T248" s="37">
        <v>0</v>
      </c>
      <c r="U248" s="10" t="s">
        <v>28</v>
      </c>
      <c r="V248" s="34" t="s">
        <v>700</v>
      </c>
      <c r="W248" s="15" t="s">
        <v>880</v>
      </c>
      <c r="X248" s="21" t="s">
        <v>68</v>
      </c>
      <c r="Y248" s="67" t="s">
        <v>68</v>
      </c>
      <c r="Z248" s="33" t="s">
        <v>887</v>
      </c>
    </row>
    <row r="249" spans="1:26">
      <c r="A249" s="31">
        <v>245</v>
      </c>
      <c r="B249" s="8" t="s">
        <v>25</v>
      </c>
      <c r="C249" s="8" t="s">
        <v>26</v>
      </c>
      <c r="D249" s="12" t="s">
        <v>32</v>
      </c>
      <c r="E249" s="44" t="s">
        <v>696</v>
      </c>
      <c r="F249" s="34" t="s">
        <v>719</v>
      </c>
      <c r="G249" s="34" t="s">
        <v>720</v>
      </c>
      <c r="H249" s="36" t="s">
        <v>721</v>
      </c>
      <c r="I249" s="12" t="s">
        <v>118</v>
      </c>
      <c r="J249" s="12" t="s">
        <v>38</v>
      </c>
      <c r="K249" s="12" t="s">
        <v>28</v>
      </c>
      <c r="L249" s="12" t="s">
        <v>28</v>
      </c>
      <c r="M249" s="12" t="s">
        <v>38</v>
      </c>
      <c r="N249" s="9">
        <v>0</v>
      </c>
      <c r="O249" s="12" t="s">
        <v>28</v>
      </c>
      <c r="P249" s="35">
        <v>0</v>
      </c>
      <c r="Q249" s="12" t="s">
        <v>28</v>
      </c>
      <c r="R249" s="35">
        <v>935000000.00000012</v>
      </c>
      <c r="S249" s="10">
        <v>42544</v>
      </c>
      <c r="T249" s="37">
        <v>0</v>
      </c>
      <c r="U249" s="10" t="s">
        <v>28</v>
      </c>
      <c r="V249" s="34" t="s">
        <v>700</v>
      </c>
      <c r="W249" s="15" t="s">
        <v>880</v>
      </c>
      <c r="X249" s="21" t="s">
        <v>887</v>
      </c>
      <c r="Y249" s="67" t="s">
        <v>68</v>
      </c>
      <c r="Z249" s="33" t="s">
        <v>887</v>
      </c>
    </row>
    <row r="250" spans="1:26">
      <c r="A250" s="31">
        <v>246</v>
      </c>
      <c r="B250" s="8" t="s">
        <v>25</v>
      </c>
      <c r="C250" s="8" t="s">
        <v>26</v>
      </c>
      <c r="D250" s="12" t="s">
        <v>32</v>
      </c>
      <c r="E250" s="44" t="s">
        <v>696</v>
      </c>
      <c r="F250" s="34" t="s">
        <v>722</v>
      </c>
      <c r="G250" s="34" t="s">
        <v>723</v>
      </c>
      <c r="H250" s="36" t="s">
        <v>724</v>
      </c>
      <c r="I250" s="12" t="s">
        <v>118</v>
      </c>
      <c r="J250" s="12" t="s">
        <v>38</v>
      </c>
      <c r="K250" s="12" t="s">
        <v>28</v>
      </c>
      <c r="L250" s="12" t="s">
        <v>28</v>
      </c>
      <c r="M250" s="12" t="s">
        <v>38</v>
      </c>
      <c r="N250" s="9">
        <v>0</v>
      </c>
      <c r="O250" s="12" t="s">
        <v>28</v>
      </c>
      <c r="P250" s="35">
        <v>946894000</v>
      </c>
      <c r="Q250" s="38">
        <v>40556</v>
      </c>
      <c r="R250" s="35">
        <v>0</v>
      </c>
      <c r="S250" s="10" t="s">
        <v>28</v>
      </c>
      <c r="T250" s="37">
        <v>0</v>
      </c>
      <c r="U250" s="10" t="s">
        <v>28</v>
      </c>
      <c r="V250" s="34" t="s">
        <v>700</v>
      </c>
      <c r="W250" s="15" t="s">
        <v>880</v>
      </c>
      <c r="X250" s="21" t="s">
        <v>68</v>
      </c>
      <c r="Y250" s="67" t="s">
        <v>68</v>
      </c>
      <c r="Z250" s="33" t="s">
        <v>887</v>
      </c>
    </row>
    <row r="251" spans="1:26">
      <c r="A251" s="31">
        <v>247</v>
      </c>
      <c r="B251" s="8" t="s">
        <v>25</v>
      </c>
      <c r="C251" s="8" t="s">
        <v>26</v>
      </c>
      <c r="D251" s="12" t="s">
        <v>32</v>
      </c>
      <c r="E251" s="44" t="s">
        <v>696</v>
      </c>
      <c r="F251" s="34" t="s">
        <v>725</v>
      </c>
      <c r="G251" s="34" t="s">
        <v>726</v>
      </c>
      <c r="H251" s="36" t="s">
        <v>727</v>
      </c>
      <c r="I251" s="12" t="s">
        <v>43</v>
      </c>
      <c r="J251" s="12" t="s">
        <v>38</v>
      </c>
      <c r="K251" s="12" t="s">
        <v>28</v>
      </c>
      <c r="L251" s="12" t="s">
        <v>28</v>
      </c>
      <c r="M251" s="12" t="s">
        <v>38</v>
      </c>
      <c r="N251" s="9">
        <v>0</v>
      </c>
      <c r="O251" s="12" t="s">
        <v>28</v>
      </c>
      <c r="P251" s="35">
        <v>0</v>
      </c>
      <c r="Q251" s="12" t="s">
        <v>28</v>
      </c>
      <c r="R251" s="35">
        <v>1815913000.0000002</v>
      </c>
      <c r="S251" s="10">
        <v>42884</v>
      </c>
      <c r="T251" s="37">
        <v>0</v>
      </c>
      <c r="U251" s="10" t="s">
        <v>28</v>
      </c>
      <c r="V251" s="34" t="s">
        <v>700</v>
      </c>
      <c r="W251" s="15" t="s">
        <v>880</v>
      </c>
      <c r="X251" s="21" t="s">
        <v>887</v>
      </c>
      <c r="Y251" s="67" t="s">
        <v>68</v>
      </c>
      <c r="Z251" s="33" t="s">
        <v>887</v>
      </c>
    </row>
    <row r="252" spans="1:26">
      <c r="A252" s="31">
        <v>248</v>
      </c>
      <c r="B252" s="8" t="s">
        <v>25</v>
      </c>
      <c r="C252" s="8" t="s">
        <v>26</v>
      </c>
      <c r="D252" s="12" t="s">
        <v>32</v>
      </c>
      <c r="E252" s="44" t="s">
        <v>696</v>
      </c>
      <c r="F252" s="34" t="s">
        <v>728</v>
      </c>
      <c r="G252" s="34" t="s">
        <v>729</v>
      </c>
      <c r="H252" s="36" t="s">
        <v>730</v>
      </c>
      <c r="I252" s="12" t="s">
        <v>118</v>
      </c>
      <c r="J252" s="12" t="s">
        <v>38</v>
      </c>
      <c r="K252" s="12" t="s">
        <v>28</v>
      </c>
      <c r="L252" s="12" t="s">
        <v>28</v>
      </c>
      <c r="M252" s="12" t="s">
        <v>38</v>
      </c>
      <c r="N252" s="9">
        <v>0</v>
      </c>
      <c r="O252" s="12" t="s">
        <v>28</v>
      </c>
      <c r="P252" s="35">
        <v>0</v>
      </c>
      <c r="Q252" s="12" t="s">
        <v>28</v>
      </c>
      <c r="R252" s="35">
        <v>0</v>
      </c>
      <c r="S252" s="10" t="s">
        <v>28</v>
      </c>
      <c r="T252" s="37">
        <v>0</v>
      </c>
      <c r="U252" s="10" t="s">
        <v>28</v>
      </c>
      <c r="V252" s="34" t="s">
        <v>700</v>
      </c>
      <c r="W252" s="15" t="s">
        <v>68</v>
      </c>
      <c r="X252" s="21" t="s">
        <v>887</v>
      </c>
      <c r="Y252" s="67" t="s">
        <v>68</v>
      </c>
      <c r="Z252" s="33" t="s">
        <v>887</v>
      </c>
    </row>
    <row r="253" spans="1:26">
      <c r="A253" s="31">
        <v>249</v>
      </c>
      <c r="B253" s="8" t="s">
        <v>25</v>
      </c>
      <c r="C253" s="8" t="s">
        <v>26</v>
      </c>
      <c r="D253" s="12" t="s">
        <v>32</v>
      </c>
      <c r="E253" s="44" t="s">
        <v>696</v>
      </c>
      <c r="F253" s="34" t="s">
        <v>731</v>
      </c>
      <c r="G253" s="34" t="s">
        <v>732</v>
      </c>
      <c r="H253" s="36" t="s">
        <v>733</v>
      </c>
      <c r="I253" s="12" t="s">
        <v>118</v>
      </c>
      <c r="J253" s="12" t="s">
        <v>38</v>
      </c>
      <c r="K253" s="12" t="s">
        <v>28</v>
      </c>
      <c r="L253" s="12" t="s">
        <v>28</v>
      </c>
      <c r="M253" s="12" t="s">
        <v>38</v>
      </c>
      <c r="N253" s="9">
        <v>0</v>
      </c>
      <c r="O253" s="12" t="s">
        <v>28</v>
      </c>
      <c r="P253" s="35">
        <v>0</v>
      </c>
      <c r="Q253" s="12" t="s">
        <v>28</v>
      </c>
      <c r="R253" s="35">
        <v>1241273880</v>
      </c>
      <c r="S253" s="10">
        <v>43154</v>
      </c>
      <c r="T253" s="37">
        <v>0</v>
      </c>
      <c r="U253" s="10" t="s">
        <v>28</v>
      </c>
      <c r="V253" s="34" t="s">
        <v>700</v>
      </c>
      <c r="W253" s="15" t="s">
        <v>880</v>
      </c>
      <c r="X253" s="21" t="s">
        <v>887</v>
      </c>
      <c r="Y253" s="67" t="s">
        <v>68</v>
      </c>
      <c r="Z253" s="33" t="s">
        <v>887</v>
      </c>
    </row>
    <row r="254" spans="1:26">
      <c r="A254" s="31">
        <v>250</v>
      </c>
      <c r="B254" s="8" t="s">
        <v>25</v>
      </c>
      <c r="C254" s="8" t="s">
        <v>26</v>
      </c>
      <c r="D254" s="12" t="s">
        <v>32</v>
      </c>
      <c r="E254" s="44" t="s">
        <v>696</v>
      </c>
      <c r="F254" s="34" t="s">
        <v>734</v>
      </c>
      <c r="G254" s="34" t="s">
        <v>735</v>
      </c>
      <c r="H254" s="36" t="s">
        <v>736</v>
      </c>
      <c r="I254" s="12" t="s">
        <v>43</v>
      </c>
      <c r="J254" s="12" t="s">
        <v>38</v>
      </c>
      <c r="K254" s="12" t="s">
        <v>28</v>
      </c>
      <c r="L254" s="12" t="s">
        <v>28</v>
      </c>
      <c r="M254" s="12" t="s">
        <v>38</v>
      </c>
      <c r="N254" s="9">
        <v>0</v>
      </c>
      <c r="O254" s="12" t="s">
        <v>28</v>
      </c>
      <c r="P254" s="35">
        <v>0</v>
      </c>
      <c r="Q254" s="12" t="s">
        <v>28</v>
      </c>
      <c r="R254" s="35">
        <v>1596608200.0000002</v>
      </c>
      <c r="S254" s="10">
        <v>42853</v>
      </c>
      <c r="T254" s="37">
        <v>0</v>
      </c>
      <c r="U254" s="10" t="s">
        <v>28</v>
      </c>
      <c r="V254" s="34" t="s">
        <v>700</v>
      </c>
      <c r="W254" s="15" t="s">
        <v>880</v>
      </c>
      <c r="X254" s="21" t="s">
        <v>887</v>
      </c>
      <c r="Y254" s="67" t="s">
        <v>68</v>
      </c>
      <c r="Z254" s="33" t="s">
        <v>887</v>
      </c>
    </row>
    <row r="255" spans="1:26">
      <c r="A255" s="31">
        <v>251</v>
      </c>
      <c r="B255" s="8" t="s">
        <v>25</v>
      </c>
      <c r="C255" s="8" t="s">
        <v>26</v>
      </c>
      <c r="D255" s="12" t="s">
        <v>32</v>
      </c>
      <c r="E255" s="44" t="s">
        <v>696</v>
      </c>
      <c r="F255" s="34" t="s">
        <v>737</v>
      </c>
      <c r="G255" s="34" t="s">
        <v>738</v>
      </c>
      <c r="H255" s="36" t="s">
        <v>739</v>
      </c>
      <c r="I255" s="12" t="s">
        <v>118</v>
      </c>
      <c r="J255" s="12" t="s">
        <v>38</v>
      </c>
      <c r="K255" s="12" t="s">
        <v>28</v>
      </c>
      <c r="L255" s="12" t="s">
        <v>28</v>
      </c>
      <c r="M255" s="12" t="s">
        <v>38</v>
      </c>
      <c r="N255" s="9">
        <v>0</v>
      </c>
      <c r="O255" s="12" t="s">
        <v>28</v>
      </c>
      <c r="P255" s="35">
        <v>0</v>
      </c>
      <c r="Q255" s="12" t="s">
        <v>28</v>
      </c>
      <c r="R255" s="35">
        <v>221789700.00000003</v>
      </c>
      <c r="S255" s="10">
        <v>42418</v>
      </c>
      <c r="T255" s="37">
        <v>0</v>
      </c>
      <c r="U255" s="10" t="s">
        <v>28</v>
      </c>
      <c r="V255" s="34" t="s">
        <v>700</v>
      </c>
      <c r="W255" s="15" t="s">
        <v>880</v>
      </c>
      <c r="X255" s="21" t="s">
        <v>887</v>
      </c>
      <c r="Y255" s="67" t="s">
        <v>68</v>
      </c>
      <c r="Z255" s="33" t="s">
        <v>887</v>
      </c>
    </row>
    <row r="256" spans="1:26">
      <c r="A256" s="31">
        <v>252</v>
      </c>
      <c r="B256" s="8" t="s">
        <v>25</v>
      </c>
      <c r="C256" s="8" t="s">
        <v>26</v>
      </c>
      <c r="D256" s="12" t="s">
        <v>32</v>
      </c>
      <c r="E256" s="44" t="s">
        <v>696</v>
      </c>
      <c r="F256" s="34" t="s">
        <v>740</v>
      </c>
      <c r="G256" s="34" t="s">
        <v>741</v>
      </c>
      <c r="H256" s="36" t="s">
        <v>742</v>
      </c>
      <c r="I256" s="12" t="s">
        <v>118</v>
      </c>
      <c r="J256" s="12" t="s">
        <v>38</v>
      </c>
      <c r="K256" s="12" t="s">
        <v>28</v>
      </c>
      <c r="L256" s="12" t="s">
        <v>28</v>
      </c>
      <c r="M256" s="12" t="s">
        <v>38</v>
      </c>
      <c r="N256" s="9">
        <v>0</v>
      </c>
      <c r="O256" s="12" t="s">
        <v>28</v>
      </c>
      <c r="P256" s="35">
        <v>0</v>
      </c>
      <c r="Q256" s="12" t="s">
        <v>28</v>
      </c>
      <c r="R256" s="35">
        <v>528713450.10000002</v>
      </c>
      <c r="S256" s="10">
        <v>42591</v>
      </c>
      <c r="T256" s="37">
        <v>0</v>
      </c>
      <c r="U256" s="10" t="s">
        <v>28</v>
      </c>
      <c r="V256" s="34" t="s">
        <v>700</v>
      </c>
      <c r="W256" s="15" t="s">
        <v>880</v>
      </c>
      <c r="X256" s="21" t="s">
        <v>887</v>
      </c>
      <c r="Y256" s="67" t="s">
        <v>68</v>
      </c>
      <c r="Z256" s="33" t="s">
        <v>887</v>
      </c>
    </row>
    <row r="257" spans="1:26">
      <c r="A257" s="31">
        <v>253</v>
      </c>
      <c r="B257" s="8" t="s">
        <v>25</v>
      </c>
      <c r="C257" s="8" t="s">
        <v>26</v>
      </c>
      <c r="D257" s="12" t="s">
        <v>32</v>
      </c>
      <c r="E257" s="44" t="s">
        <v>696</v>
      </c>
      <c r="F257" s="34" t="s">
        <v>743</v>
      </c>
      <c r="G257" s="34" t="s">
        <v>744</v>
      </c>
      <c r="H257" s="36" t="s">
        <v>745</v>
      </c>
      <c r="I257" s="12" t="s">
        <v>118</v>
      </c>
      <c r="J257" s="12" t="s">
        <v>38</v>
      </c>
      <c r="K257" s="12" t="s">
        <v>28</v>
      </c>
      <c r="L257" s="12" t="s">
        <v>28</v>
      </c>
      <c r="M257" s="12" t="s">
        <v>38</v>
      </c>
      <c r="N257" s="9">
        <v>0</v>
      </c>
      <c r="O257" s="12" t="s">
        <v>28</v>
      </c>
      <c r="P257" s="35">
        <v>0</v>
      </c>
      <c r="Q257" s="12" t="s">
        <v>28</v>
      </c>
      <c r="R257" s="35">
        <v>357132600</v>
      </c>
      <c r="S257" s="10">
        <v>42825</v>
      </c>
      <c r="T257" s="37">
        <v>0</v>
      </c>
      <c r="U257" s="10" t="s">
        <v>28</v>
      </c>
      <c r="V257" s="34" t="s">
        <v>700</v>
      </c>
      <c r="W257" s="15" t="s">
        <v>880</v>
      </c>
      <c r="X257" s="21" t="s">
        <v>887</v>
      </c>
      <c r="Y257" s="67" t="s">
        <v>68</v>
      </c>
      <c r="Z257" s="33" t="s">
        <v>887</v>
      </c>
    </row>
    <row r="258" spans="1:26">
      <c r="A258" s="31">
        <v>254</v>
      </c>
      <c r="B258" s="8" t="s">
        <v>25</v>
      </c>
      <c r="C258" s="8" t="s">
        <v>26</v>
      </c>
      <c r="D258" s="12" t="s">
        <v>32</v>
      </c>
      <c r="E258" s="44" t="s">
        <v>696</v>
      </c>
      <c r="F258" s="34" t="s">
        <v>746</v>
      </c>
      <c r="G258" s="34" t="s">
        <v>747</v>
      </c>
      <c r="H258" s="36" t="s">
        <v>748</v>
      </c>
      <c r="I258" s="12" t="s">
        <v>43</v>
      </c>
      <c r="J258" s="12" t="s">
        <v>38</v>
      </c>
      <c r="K258" s="12" t="s">
        <v>28</v>
      </c>
      <c r="L258" s="12" t="s">
        <v>28</v>
      </c>
      <c r="M258" s="12" t="s">
        <v>38</v>
      </c>
      <c r="N258" s="9">
        <v>0</v>
      </c>
      <c r="O258" s="12" t="s">
        <v>28</v>
      </c>
      <c r="P258" s="35">
        <v>0</v>
      </c>
      <c r="Q258" s="12" t="s">
        <v>28</v>
      </c>
      <c r="R258" s="35">
        <v>930710000.00000012</v>
      </c>
      <c r="S258" s="10">
        <v>42580</v>
      </c>
      <c r="T258" s="37">
        <v>0</v>
      </c>
      <c r="U258" s="10" t="s">
        <v>28</v>
      </c>
      <c r="V258" s="34" t="s">
        <v>700</v>
      </c>
      <c r="W258" s="15" t="s">
        <v>880</v>
      </c>
      <c r="X258" s="21" t="s">
        <v>887</v>
      </c>
      <c r="Y258" s="67" t="s">
        <v>68</v>
      </c>
      <c r="Z258" s="33" t="s">
        <v>887</v>
      </c>
    </row>
    <row r="259" spans="1:26">
      <c r="A259" s="31">
        <v>255</v>
      </c>
      <c r="B259" s="8" t="s">
        <v>25</v>
      </c>
      <c r="C259" s="8" t="s">
        <v>26</v>
      </c>
      <c r="D259" s="12" t="s">
        <v>32</v>
      </c>
      <c r="E259" s="44" t="s">
        <v>696</v>
      </c>
      <c r="F259" s="34" t="s">
        <v>749</v>
      </c>
      <c r="G259" s="34" t="s">
        <v>750</v>
      </c>
      <c r="H259" s="36" t="s">
        <v>751</v>
      </c>
      <c r="I259" s="12" t="s">
        <v>118</v>
      </c>
      <c r="J259" s="12" t="s">
        <v>38</v>
      </c>
      <c r="K259" s="12" t="s">
        <v>28</v>
      </c>
      <c r="L259" s="12" t="s">
        <v>28</v>
      </c>
      <c r="M259" s="12" t="s">
        <v>38</v>
      </c>
      <c r="N259" s="9">
        <v>0</v>
      </c>
      <c r="O259" s="12" t="s">
        <v>28</v>
      </c>
      <c r="P259" s="35">
        <v>0</v>
      </c>
      <c r="Q259" s="12" t="s">
        <v>28</v>
      </c>
      <c r="R259" s="35">
        <v>312757500</v>
      </c>
      <c r="S259" s="10">
        <v>42753</v>
      </c>
      <c r="T259" s="37">
        <v>0</v>
      </c>
      <c r="U259" s="10" t="s">
        <v>28</v>
      </c>
      <c r="V259" s="34" t="s">
        <v>700</v>
      </c>
      <c r="W259" s="15" t="s">
        <v>880</v>
      </c>
      <c r="X259" s="21" t="s">
        <v>887</v>
      </c>
      <c r="Y259" s="67" t="s">
        <v>68</v>
      </c>
      <c r="Z259" s="33" t="s">
        <v>887</v>
      </c>
    </row>
    <row r="260" spans="1:26">
      <c r="A260" s="31">
        <v>256</v>
      </c>
      <c r="B260" s="8" t="s">
        <v>25</v>
      </c>
      <c r="C260" s="8" t="s">
        <v>26</v>
      </c>
      <c r="D260" s="12" t="s">
        <v>32</v>
      </c>
      <c r="E260" s="44" t="s">
        <v>696</v>
      </c>
      <c r="F260" s="34" t="s">
        <v>752</v>
      </c>
      <c r="G260" s="34" t="s">
        <v>753</v>
      </c>
      <c r="H260" s="36" t="s">
        <v>754</v>
      </c>
      <c r="I260" s="12" t="s">
        <v>43</v>
      </c>
      <c r="J260" s="12" t="s">
        <v>38</v>
      </c>
      <c r="K260" s="12" t="s">
        <v>28</v>
      </c>
      <c r="L260" s="12" t="s">
        <v>28</v>
      </c>
      <c r="M260" s="12" t="s">
        <v>38</v>
      </c>
      <c r="N260" s="9">
        <v>0</v>
      </c>
      <c r="O260" s="12" t="s">
        <v>28</v>
      </c>
      <c r="P260" s="35">
        <v>0</v>
      </c>
      <c r="Q260" s="12" t="s">
        <v>28</v>
      </c>
      <c r="R260" s="35">
        <v>1465402400</v>
      </c>
      <c r="S260" s="10">
        <v>43112</v>
      </c>
      <c r="T260" s="37">
        <v>0</v>
      </c>
      <c r="U260" s="10" t="s">
        <v>28</v>
      </c>
      <c r="V260" s="34" t="s">
        <v>700</v>
      </c>
      <c r="W260" s="15" t="s">
        <v>880</v>
      </c>
      <c r="X260" s="21" t="s">
        <v>887</v>
      </c>
      <c r="Y260" s="67" t="s">
        <v>68</v>
      </c>
      <c r="Z260" s="33" t="s">
        <v>887</v>
      </c>
    </row>
    <row r="261" spans="1:26">
      <c r="A261" s="31">
        <v>257</v>
      </c>
      <c r="B261" s="8" t="s">
        <v>25</v>
      </c>
      <c r="C261" s="8" t="s">
        <v>26</v>
      </c>
      <c r="D261" s="12" t="s">
        <v>32</v>
      </c>
      <c r="E261" s="44" t="s">
        <v>696</v>
      </c>
      <c r="F261" s="34" t="s">
        <v>755</v>
      </c>
      <c r="G261" s="34" t="s">
        <v>756</v>
      </c>
      <c r="H261" s="36" t="s">
        <v>757</v>
      </c>
      <c r="I261" s="12" t="s">
        <v>57</v>
      </c>
      <c r="J261" s="12" t="s">
        <v>38</v>
      </c>
      <c r="K261" s="12" t="s">
        <v>28</v>
      </c>
      <c r="L261" s="12" t="s">
        <v>28</v>
      </c>
      <c r="M261" s="12" t="s">
        <v>38</v>
      </c>
      <c r="N261" s="9">
        <v>0</v>
      </c>
      <c r="O261" s="12" t="s">
        <v>28</v>
      </c>
      <c r="P261" s="35">
        <v>0</v>
      </c>
      <c r="Q261" s="12" t="s">
        <v>28</v>
      </c>
      <c r="R261" s="35">
        <v>486063380.00000006</v>
      </c>
      <c r="S261" s="10">
        <v>42558</v>
      </c>
      <c r="T261" s="37">
        <v>0</v>
      </c>
      <c r="U261" s="10" t="s">
        <v>28</v>
      </c>
      <c r="V261" s="34" t="s">
        <v>700</v>
      </c>
      <c r="W261" s="15" t="s">
        <v>880</v>
      </c>
      <c r="X261" s="21" t="s">
        <v>887</v>
      </c>
      <c r="Y261" s="67" t="s">
        <v>68</v>
      </c>
      <c r="Z261" s="33" t="s">
        <v>887</v>
      </c>
    </row>
    <row r="262" spans="1:26">
      <c r="A262" s="31">
        <v>258</v>
      </c>
      <c r="B262" s="8" t="s">
        <v>25</v>
      </c>
      <c r="C262" s="8" t="s">
        <v>26</v>
      </c>
      <c r="D262" s="12" t="s">
        <v>32</v>
      </c>
      <c r="E262" s="44" t="s">
        <v>696</v>
      </c>
      <c r="F262" s="34" t="s">
        <v>758</v>
      </c>
      <c r="G262" s="34" t="s">
        <v>759</v>
      </c>
      <c r="H262" s="36" t="s">
        <v>760</v>
      </c>
      <c r="I262" s="12" t="s">
        <v>118</v>
      </c>
      <c r="J262" s="12" t="s">
        <v>38</v>
      </c>
      <c r="K262" s="12" t="s">
        <v>28</v>
      </c>
      <c r="L262" s="12" t="s">
        <v>28</v>
      </c>
      <c r="M262" s="12" t="s">
        <v>38</v>
      </c>
      <c r="N262" s="9">
        <v>0</v>
      </c>
      <c r="O262" s="12" t="s">
        <v>28</v>
      </c>
      <c r="P262" s="35">
        <v>0</v>
      </c>
      <c r="Q262" s="12" t="s">
        <v>28</v>
      </c>
      <c r="R262" s="35">
        <v>125400000.00000001</v>
      </c>
      <c r="S262" s="10">
        <v>42835</v>
      </c>
      <c r="T262" s="37">
        <v>0</v>
      </c>
      <c r="U262" s="10" t="s">
        <v>28</v>
      </c>
      <c r="V262" s="34" t="s">
        <v>700</v>
      </c>
      <c r="W262" s="15" t="s">
        <v>880</v>
      </c>
      <c r="X262" s="21" t="s">
        <v>887</v>
      </c>
      <c r="Y262" s="67" t="s">
        <v>68</v>
      </c>
      <c r="Z262" s="33" t="s">
        <v>887</v>
      </c>
    </row>
    <row r="263" spans="1:26">
      <c r="A263" s="31">
        <v>259</v>
      </c>
      <c r="B263" s="8" t="s">
        <v>25</v>
      </c>
      <c r="C263" s="8" t="s">
        <v>26</v>
      </c>
      <c r="D263" s="12" t="s">
        <v>32</v>
      </c>
      <c r="E263" s="44" t="s">
        <v>696</v>
      </c>
      <c r="F263" s="34" t="s">
        <v>761</v>
      </c>
      <c r="G263" s="34" t="s">
        <v>762</v>
      </c>
      <c r="H263" s="36" t="s">
        <v>763</v>
      </c>
      <c r="I263" s="12" t="s">
        <v>57</v>
      </c>
      <c r="J263" s="12" t="s">
        <v>38</v>
      </c>
      <c r="K263" s="12" t="s">
        <v>28</v>
      </c>
      <c r="L263" s="12" t="s">
        <v>28</v>
      </c>
      <c r="M263" s="12" t="s">
        <v>38</v>
      </c>
      <c r="N263" s="9">
        <v>0</v>
      </c>
      <c r="O263" s="12" t="s">
        <v>28</v>
      </c>
      <c r="P263" s="35">
        <v>0</v>
      </c>
      <c r="Q263" s="12" t="s">
        <v>28</v>
      </c>
      <c r="R263" s="35">
        <v>0</v>
      </c>
      <c r="S263" s="10" t="s">
        <v>28</v>
      </c>
      <c r="T263" s="37">
        <v>0</v>
      </c>
      <c r="U263" s="10" t="s">
        <v>28</v>
      </c>
      <c r="V263" s="34" t="s">
        <v>700</v>
      </c>
      <c r="W263" s="15" t="s">
        <v>68</v>
      </c>
      <c r="X263" s="21" t="s">
        <v>887</v>
      </c>
      <c r="Y263" s="67" t="s">
        <v>68</v>
      </c>
      <c r="Z263" s="33" t="s">
        <v>887</v>
      </c>
    </row>
    <row r="264" spans="1:26">
      <c r="A264" s="31">
        <v>260</v>
      </c>
      <c r="B264" s="8" t="s">
        <v>25</v>
      </c>
      <c r="C264" s="8" t="s">
        <v>26</v>
      </c>
      <c r="D264" s="12" t="s">
        <v>32</v>
      </c>
      <c r="E264" s="44" t="s">
        <v>696</v>
      </c>
      <c r="F264" s="34" t="s">
        <v>764</v>
      </c>
      <c r="G264" s="34" t="s">
        <v>765</v>
      </c>
      <c r="H264" s="36" t="s">
        <v>766</v>
      </c>
      <c r="I264" s="12" t="s">
        <v>118</v>
      </c>
      <c r="J264" s="12" t="s">
        <v>38</v>
      </c>
      <c r="K264" s="12" t="s">
        <v>28</v>
      </c>
      <c r="L264" s="12" t="s">
        <v>28</v>
      </c>
      <c r="M264" s="12" t="s">
        <v>38</v>
      </c>
      <c r="N264" s="9">
        <v>0</v>
      </c>
      <c r="O264" s="12" t="s">
        <v>28</v>
      </c>
      <c r="P264" s="35">
        <v>0</v>
      </c>
      <c r="Q264" s="12" t="s">
        <v>28</v>
      </c>
      <c r="R264" s="35">
        <v>899545900.00000012</v>
      </c>
      <c r="S264" s="10">
        <v>42586</v>
      </c>
      <c r="T264" s="37">
        <v>0</v>
      </c>
      <c r="U264" s="10" t="s">
        <v>28</v>
      </c>
      <c r="V264" s="34" t="s">
        <v>700</v>
      </c>
      <c r="W264" s="15" t="s">
        <v>881</v>
      </c>
      <c r="X264" s="21" t="s">
        <v>887</v>
      </c>
      <c r="Y264" s="67" t="s">
        <v>68</v>
      </c>
      <c r="Z264" s="33" t="s">
        <v>887</v>
      </c>
    </row>
    <row r="265" spans="1:26">
      <c r="A265" s="31">
        <v>261</v>
      </c>
      <c r="B265" s="8" t="s">
        <v>25</v>
      </c>
      <c r="C265" s="8" t="s">
        <v>26</v>
      </c>
      <c r="D265" s="12" t="s">
        <v>32</v>
      </c>
      <c r="E265" s="44" t="s">
        <v>696</v>
      </c>
      <c r="F265" s="34" t="s">
        <v>767</v>
      </c>
      <c r="G265" s="34" t="s">
        <v>768</v>
      </c>
      <c r="H265" s="36" t="s">
        <v>769</v>
      </c>
      <c r="I265" s="12" t="s">
        <v>43</v>
      </c>
      <c r="J265" s="12" t="s">
        <v>38</v>
      </c>
      <c r="K265" s="12" t="s">
        <v>28</v>
      </c>
      <c r="L265" s="12" t="s">
        <v>28</v>
      </c>
      <c r="M265" s="12" t="s">
        <v>38</v>
      </c>
      <c r="N265" s="9">
        <v>0</v>
      </c>
      <c r="O265" s="12" t="s">
        <v>28</v>
      </c>
      <c r="P265" s="35">
        <v>0</v>
      </c>
      <c r="Q265" s="12" t="s">
        <v>28</v>
      </c>
      <c r="R265" s="35">
        <v>0</v>
      </c>
      <c r="S265" s="10" t="s">
        <v>28</v>
      </c>
      <c r="T265" s="37">
        <v>0</v>
      </c>
      <c r="U265" s="10" t="s">
        <v>28</v>
      </c>
      <c r="V265" s="34" t="s">
        <v>700</v>
      </c>
      <c r="W265" s="15" t="s">
        <v>68</v>
      </c>
      <c r="X265" s="21" t="s">
        <v>887</v>
      </c>
      <c r="Y265" s="67" t="s">
        <v>68</v>
      </c>
      <c r="Z265" s="33" t="s">
        <v>887</v>
      </c>
    </row>
    <row r="266" spans="1:26">
      <c r="A266" s="31">
        <v>262</v>
      </c>
      <c r="B266" s="8" t="s">
        <v>25</v>
      </c>
      <c r="C266" s="8" t="s">
        <v>26</v>
      </c>
      <c r="D266" s="12" t="s">
        <v>32</v>
      </c>
      <c r="E266" s="44" t="s">
        <v>696</v>
      </c>
      <c r="F266" s="34" t="s">
        <v>770</v>
      </c>
      <c r="G266" s="34" t="s">
        <v>771</v>
      </c>
      <c r="H266" s="36" t="s">
        <v>772</v>
      </c>
      <c r="I266" s="12" t="s">
        <v>125</v>
      </c>
      <c r="J266" s="12" t="s">
        <v>38</v>
      </c>
      <c r="K266" s="12" t="s">
        <v>28</v>
      </c>
      <c r="L266" s="12" t="s">
        <v>28</v>
      </c>
      <c r="M266" s="12" t="s">
        <v>38</v>
      </c>
      <c r="N266" s="9">
        <v>0</v>
      </c>
      <c r="O266" s="12" t="s">
        <v>28</v>
      </c>
      <c r="P266" s="35">
        <v>1061588385</v>
      </c>
      <c r="Q266" s="10">
        <v>41389</v>
      </c>
      <c r="R266" s="35">
        <v>0</v>
      </c>
      <c r="S266" s="10" t="s">
        <v>28</v>
      </c>
      <c r="T266" s="37">
        <v>0</v>
      </c>
      <c r="U266" s="10" t="s">
        <v>28</v>
      </c>
      <c r="V266" s="34" t="s">
        <v>700</v>
      </c>
      <c r="W266" s="15" t="s">
        <v>882</v>
      </c>
      <c r="X266" s="21" t="s">
        <v>887</v>
      </c>
      <c r="Y266" s="67" t="s">
        <v>896</v>
      </c>
      <c r="Z266" s="33" t="s">
        <v>887</v>
      </c>
    </row>
    <row r="267" spans="1:26">
      <c r="A267" s="31">
        <v>263</v>
      </c>
      <c r="B267" s="8" t="s">
        <v>25</v>
      </c>
      <c r="C267" s="8" t="s">
        <v>26</v>
      </c>
      <c r="D267" s="12" t="s">
        <v>32</v>
      </c>
      <c r="E267" s="44" t="s">
        <v>696</v>
      </c>
      <c r="F267" s="34" t="s">
        <v>773</v>
      </c>
      <c r="G267" s="34" t="s">
        <v>774</v>
      </c>
      <c r="H267" s="36" t="s">
        <v>775</v>
      </c>
      <c r="I267" s="12" t="s">
        <v>125</v>
      </c>
      <c r="J267" s="12" t="s">
        <v>38</v>
      </c>
      <c r="K267" s="12" t="s">
        <v>28</v>
      </c>
      <c r="L267" s="12" t="s">
        <v>28</v>
      </c>
      <c r="M267" s="12" t="s">
        <v>38</v>
      </c>
      <c r="N267" s="9">
        <v>0</v>
      </c>
      <c r="O267" s="12" t="s">
        <v>28</v>
      </c>
      <c r="P267" s="35">
        <v>0</v>
      </c>
      <c r="Q267" s="12" t="s">
        <v>28</v>
      </c>
      <c r="R267" s="35">
        <v>1219581341</v>
      </c>
      <c r="S267" s="10">
        <v>42751</v>
      </c>
      <c r="T267" s="37">
        <v>0</v>
      </c>
      <c r="U267" s="10" t="s">
        <v>28</v>
      </c>
      <c r="V267" s="34" t="s">
        <v>700</v>
      </c>
      <c r="W267" s="15" t="s">
        <v>882</v>
      </c>
      <c r="X267" s="21" t="s">
        <v>887</v>
      </c>
      <c r="Y267" s="67" t="s">
        <v>68</v>
      </c>
      <c r="Z267" s="33" t="s">
        <v>887</v>
      </c>
    </row>
    <row r="268" spans="1:26">
      <c r="A268" s="31">
        <v>264</v>
      </c>
      <c r="B268" s="8" t="s">
        <v>25</v>
      </c>
      <c r="C268" s="8" t="s">
        <v>26</v>
      </c>
      <c r="D268" s="12" t="s">
        <v>32</v>
      </c>
      <c r="E268" s="44" t="s">
        <v>696</v>
      </c>
      <c r="F268" s="34" t="s">
        <v>776</v>
      </c>
      <c r="G268" s="34" t="s">
        <v>777</v>
      </c>
      <c r="H268" s="36" t="s">
        <v>778</v>
      </c>
      <c r="I268" s="12" t="s">
        <v>57</v>
      </c>
      <c r="J268" s="12" t="s">
        <v>38</v>
      </c>
      <c r="K268" s="12" t="s">
        <v>28</v>
      </c>
      <c r="L268" s="12" t="s">
        <v>28</v>
      </c>
      <c r="M268" s="12" t="s">
        <v>38</v>
      </c>
      <c r="N268" s="9">
        <v>18252300000</v>
      </c>
      <c r="O268" s="10">
        <v>40198</v>
      </c>
      <c r="P268" s="35">
        <v>0</v>
      </c>
      <c r="Q268" s="12" t="s">
        <v>28</v>
      </c>
      <c r="R268" s="9">
        <v>14212000000</v>
      </c>
      <c r="S268" s="10">
        <v>43214</v>
      </c>
      <c r="T268" s="37">
        <v>0</v>
      </c>
      <c r="U268" s="10" t="s">
        <v>28</v>
      </c>
      <c r="V268" s="34" t="s">
        <v>700</v>
      </c>
      <c r="W268" s="15" t="s">
        <v>882</v>
      </c>
      <c r="X268" s="21" t="s">
        <v>887</v>
      </c>
      <c r="Y268" s="67" t="s">
        <v>896</v>
      </c>
      <c r="Z268" s="33" t="s">
        <v>887</v>
      </c>
    </row>
    <row r="269" spans="1:26">
      <c r="A269" s="31">
        <v>265</v>
      </c>
      <c r="B269" s="8" t="s">
        <v>25</v>
      </c>
      <c r="C269" s="8" t="s">
        <v>26</v>
      </c>
      <c r="D269" s="12" t="s">
        <v>32</v>
      </c>
      <c r="E269" s="44" t="s">
        <v>696</v>
      </c>
      <c r="F269" s="34" t="s">
        <v>779</v>
      </c>
      <c r="G269" s="34" t="s">
        <v>780</v>
      </c>
      <c r="H269" s="36" t="s">
        <v>781</v>
      </c>
      <c r="I269" s="12" t="s">
        <v>37</v>
      </c>
      <c r="J269" s="12" t="s">
        <v>38</v>
      </c>
      <c r="K269" s="12" t="s">
        <v>28</v>
      </c>
      <c r="L269" s="12" t="s">
        <v>28</v>
      </c>
      <c r="M269" s="12" t="s">
        <v>38</v>
      </c>
      <c r="N269" s="9">
        <v>10334500000</v>
      </c>
      <c r="O269" s="10">
        <v>40064</v>
      </c>
      <c r="P269" s="9">
        <v>8176300000</v>
      </c>
      <c r="Q269" s="10">
        <v>40868</v>
      </c>
      <c r="R269" s="9">
        <v>16180000000</v>
      </c>
      <c r="S269" s="10">
        <v>43287</v>
      </c>
      <c r="T269" s="37">
        <v>0</v>
      </c>
      <c r="U269" s="10" t="s">
        <v>28</v>
      </c>
      <c r="V269" s="34" t="s">
        <v>700</v>
      </c>
      <c r="W269" s="15" t="s">
        <v>882</v>
      </c>
      <c r="X269" s="21" t="s">
        <v>887</v>
      </c>
      <c r="Y269" s="67" t="s">
        <v>898</v>
      </c>
      <c r="Z269" s="33" t="s">
        <v>887</v>
      </c>
    </row>
    <row r="270" spans="1:26">
      <c r="A270" s="31">
        <v>266</v>
      </c>
      <c r="B270" s="8" t="s">
        <v>25</v>
      </c>
      <c r="C270" s="8" t="s">
        <v>26</v>
      </c>
      <c r="D270" s="12" t="s">
        <v>32</v>
      </c>
      <c r="E270" s="44" t="s">
        <v>696</v>
      </c>
      <c r="F270" s="34" t="s">
        <v>782</v>
      </c>
      <c r="G270" s="34" t="s">
        <v>783</v>
      </c>
      <c r="H270" s="36" t="s">
        <v>784</v>
      </c>
      <c r="I270" s="12" t="s">
        <v>125</v>
      </c>
      <c r="J270" s="12" t="s">
        <v>38</v>
      </c>
      <c r="K270" s="12" t="s">
        <v>28</v>
      </c>
      <c r="L270" s="12" t="s">
        <v>28</v>
      </c>
      <c r="M270" s="12" t="s">
        <v>38</v>
      </c>
      <c r="N270" s="9">
        <v>0</v>
      </c>
      <c r="O270" s="12" t="s">
        <v>28</v>
      </c>
      <c r="P270" s="35">
        <v>0</v>
      </c>
      <c r="Q270" s="12" t="s">
        <v>28</v>
      </c>
      <c r="R270" s="35">
        <v>2226441800</v>
      </c>
      <c r="S270" s="10">
        <v>42704</v>
      </c>
      <c r="T270" s="37">
        <v>0</v>
      </c>
      <c r="U270" s="10" t="s">
        <v>28</v>
      </c>
      <c r="V270" s="34" t="s">
        <v>700</v>
      </c>
      <c r="W270" s="15" t="s">
        <v>882</v>
      </c>
      <c r="X270" s="21" t="s">
        <v>887</v>
      </c>
      <c r="Y270" s="67" t="s">
        <v>68</v>
      </c>
      <c r="Z270" s="33" t="s">
        <v>887</v>
      </c>
    </row>
    <row r="271" spans="1:26">
      <c r="A271" s="31">
        <v>267</v>
      </c>
      <c r="B271" s="8" t="s">
        <v>25</v>
      </c>
      <c r="C271" s="8" t="s">
        <v>26</v>
      </c>
      <c r="D271" s="12" t="s">
        <v>32</v>
      </c>
      <c r="E271" s="44" t="s">
        <v>696</v>
      </c>
      <c r="F271" s="34" t="s">
        <v>785</v>
      </c>
      <c r="G271" s="34" t="s">
        <v>786</v>
      </c>
      <c r="H271" s="36" t="s">
        <v>787</v>
      </c>
      <c r="I271" s="12" t="s">
        <v>125</v>
      </c>
      <c r="J271" s="12" t="s">
        <v>38</v>
      </c>
      <c r="K271" s="12" t="s">
        <v>28</v>
      </c>
      <c r="L271" s="12" t="s">
        <v>28</v>
      </c>
      <c r="M271" s="12" t="s">
        <v>38</v>
      </c>
      <c r="N271" s="9">
        <v>0</v>
      </c>
      <c r="O271" s="12" t="s">
        <v>28</v>
      </c>
      <c r="P271" s="35">
        <v>0</v>
      </c>
      <c r="Q271" s="12" t="s">
        <v>28</v>
      </c>
      <c r="R271" s="35">
        <v>1021500000.4000001</v>
      </c>
      <c r="S271" s="10">
        <v>42642</v>
      </c>
      <c r="T271" s="37">
        <v>1624461999.6000001</v>
      </c>
      <c r="U271" s="10">
        <v>45528</v>
      </c>
      <c r="V271" s="34" t="s">
        <v>700</v>
      </c>
      <c r="W271" s="15" t="s">
        <v>883</v>
      </c>
      <c r="X271" s="21" t="s">
        <v>887</v>
      </c>
      <c r="Y271" s="67" t="s">
        <v>68</v>
      </c>
      <c r="Z271" s="33" t="s">
        <v>887</v>
      </c>
    </row>
    <row r="272" spans="1:26">
      <c r="A272" s="31">
        <v>268</v>
      </c>
      <c r="B272" s="8" t="s">
        <v>25</v>
      </c>
      <c r="C272" s="8" t="s">
        <v>26</v>
      </c>
      <c r="D272" s="12" t="s">
        <v>32</v>
      </c>
      <c r="E272" s="44" t="s">
        <v>696</v>
      </c>
      <c r="F272" s="34" t="s">
        <v>788</v>
      </c>
      <c r="G272" s="34" t="s">
        <v>789</v>
      </c>
      <c r="H272" s="36" t="s">
        <v>790</v>
      </c>
      <c r="I272" s="12" t="s">
        <v>125</v>
      </c>
      <c r="J272" s="12" t="s">
        <v>38</v>
      </c>
      <c r="K272" s="12" t="s">
        <v>28</v>
      </c>
      <c r="L272" s="12" t="s">
        <v>28</v>
      </c>
      <c r="M272" s="12" t="s">
        <v>38</v>
      </c>
      <c r="N272" s="9">
        <v>0</v>
      </c>
      <c r="O272" s="12" t="s">
        <v>28</v>
      </c>
      <c r="P272" s="35">
        <v>0</v>
      </c>
      <c r="Q272" s="12" t="s">
        <v>28</v>
      </c>
      <c r="R272" s="35">
        <v>1291340600</v>
      </c>
      <c r="S272" s="10">
        <v>42696</v>
      </c>
      <c r="T272" s="37">
        <v>1584297000.0000002</v>
      </c>
      <c r="U272" s="10">
        <v>45667</v>
      </c>
      <c r="V272" s="34" t="s">
        <v>700</v>
      </c>
      <c r="W272" s="15" t="s">
        <v>883</v>
      </c>
      <c r="X272" s="21" t="s">
        <v>887</v>
      </c>
      <c r="Y272" s="67" t="s">
        <v>68</v>
      </c>
      <c r="Z272" s="33" t="s">
        <v>887</v>
      </c>
    </row>
    <row r="273" spans="1:26">
      <c r="A273" s="31">
        <v>269</v>
      </c>
      <c r="B273" s="8" t="s">
        <v>25</v>
      </c>
      <c r="C273" s="8" t="s">
        <v>26</v>
      </c>
      <c r="D273" s="12" t="s">
        <v>32</v>
      </c>
      <c r="E273" s="44" t="s">
        <v>696</v>
      </c>
      <c r="F273" s="34" t="s">
        <v>791</v>
      </c>
      <c r="G273" s="34" t="s">
        <v>792</v>
      </c>
      <c r="H273" s="36" t="s">
        <v>793</v>
      </c>
      <c r="I273" s="12" t="s">
        <v>57</v>
      </c>
      <c r="J273" s="12" t="s">
        <v>38</v>
      </c>
      <c r="K273" s="12" t="s">
        <v>28</v>
      </c>
      <c r="L273" s="12" t="s">
        <v>28</v>
      </c>
      <c r="M273" s="12" t="s">
        <v>38</v>
      </c>
      <c r="N273" s="9">
        <v>0</v>
      </c>
      <c r="O273" s="12" t="s">
        <v>28</v>
      </c>
      <c r="P273" s="35">
        <v>0</v>
      </c>
      <c r="Q273" s="12" t="s">
        <v>28</v>
      </c>
      <c r="R273" s="9">
        <v>5829000000</v>
      </c>
      <c r="S273" s="10">
        <v>42792</v>
      </c>
      <c r="T273" s="37">
        <v>0</v>
      </c>
      <c r="U273" s="10" t="s">
        <v>28</v>
      </c>
      <c r="V273" s="34" t="s">
        <v>700</v>
      </c>
      <c r="W273" s="15" t="s">
        <v>883</v>
      </c>
      <c r="X273" s="21" t="s">
        <v>887</v>
      </c>
      <c r="Y273" s="67" t="s">
        <v>68</v>
      </c>
      <c r="Z273" s="33" t="s">
        <v>887</v>
      </c>
    </row>
    <row r="274" spans="1:26">
      <c r="A274" s="31">
        <v>270</v>
      </c>
      <c r="B274" s="8" t="s">
        <v>25</v>
      </c>
      <c r="C274" s="8" t="s">
        <v>26</v>
      </c>
      <c r="D274" s="12" t="s">
        <v>32</v>
      </c>
      <c r="E274" s="44" t="s">
        <v>696</v>
      </c>
      <c r="F274" s="34" t="s">
        <v>794</v>
      </c>
      <c r="G274" s="34" t="s">
        <v>795</v>
      </c>
      <c r="H274" s="36" t="s">
        <v>796</v>
      </c>
      <c r="I274" s="12" t="s">
        <v>528</v>
      </c>
      <c r="J274" s="12" t="s">
        <v>38</v>
      </c>
      <c r="K274" s="12" t="s">
        <v>28</v>
      </c>
      <c r="L274" s="12" t="s">
        <v>28</v>
      </c>
      <c r="M274" s="12" t="s">
        <v>38</v>
      </c>
      <c r="N274" s="9">
        <v>0</v>
      </c>
      <c r="O274" s="12" t="s">
        <v>28</v>
      </c>
      <c r="P274" s="35">
        <v>0</v>
      </c>
      <c r="Q274" s="12" t="s">
        <v>28</v>
      </c>
      <c r="R274" s="35">
        <v>383791826.00000006</v>
      </c>
      <c r="S274" s="10">
        <v>42510</v>
      </c>
      <c r="T274" s="37">
        <v>0</v>
      </c>
      <c r="U274" s="10" t="s">
        <v>28</v>
      </c>
      <c r="V274" s="34" t="s">
        <v>700</v>
      </c>
      <c r="W274" s="15" t="s">
        <v>883</v>
      </c>
      <c r="X274" s="21" t="s">
        <v>887</v>
      </c>
      <c r="Y274" s="67" t="s">
        <v>68</v>
      </c>
      <c r="Z274" s="33" t="s">
        <v>887</v>
      </c>
    </row>
    <row r="275" spans="1:26">
      <c r="A275" s="31">
        <v>271</v>
      </c>
      <c r="B275" s="8" t="s">
        <v>25</v>
      </c>
      <c r="C275" s="8" t="s">
        <v>26</v>
      </c>
      <c r="D275" s="12" t="s">
        <v>32</v>
      </c>
      <c r="E275" s="44" t="s">
        <v>696</v>
      </c>
      <c r="F275" s="34" t="s">
        <v>797</v>
      </c>
      <c r="G275" s="34" t="s">
        <v>798</v>
      </c>
      <c r="H275" s="36" t="s">
        <v>799</v>
      </c>
      <c r="I275" s="12" t="s">
        <v>53</v>
      </c>
      <c r="J275" s="12" t="s">
        <v>38</v>
      </c>
      <c r="K275" s="12" t="s">
        <v>28</v>
      </c>
      <c r="L275" s="12" t="s">
        <v>28</v>
      </c>
      <c r="M275" s="12" t="s">
        <v>38</v>
      </c>
      <c r="N275" s="9">
        <v>0</v>
      </c>
      <c r="O275" s="12" t="s">
        <v>28</v>
      </c>
      <c r="P275" s="35">
        <v>0</v>
      </c>
      <c r="Q275" s="12" t="s">
        <v>28</v>
      </c>
      <c r="R275" s="35">
        <v>742892700.00000012</v>
      </c>
      <c r="S275" s="10">
        <v>42559</v>
      </c>
      <c r="T275" s="37">
        <v>0</v>
      </c>
      <c r="U275" s="10" t="s">
        <v>28</v>
      </c>
      <c r="V275" s="34" t="s">
        <v>700</v>
      </c>
      <c r="W275" s="15" t="s">
        <v>880</v>
      </c>
      <c r="X275" s="21" t="s">
        <v>887</v>
      </c>
      <c r="Y275" s="67" t="s">
        <v>68</v>
      </c>
      <c r="Z275" s="33" t="s">
        <v>887</v>
      </c>
    </row>
    <row r="276" spans="1:26">
      <c r="A276" s="31">
        <v>272</v>
      </c>
      <c r="B276" s="8" t="s">
        <v>25</v>
      </c>
      <c r="C276" s="8" t="s">
        <v>26</v>
      </c>
      <c r="D276" s="12" t="s">
        <v>32</v>
      </c>
      <c r="E276" s="44" t="s">
        <v>696</v>
      </c>
      <c r="F276" s="34" t="s">
        <v>800</v>
      </c>
      <c r="G276" s="34" t="s">
        <v>801</v>
      </c>
      <c r="H276" s="36" t="s">
        <v>802</v>
      </c>
      <c r="I276" s="12" t="s">
        <v>53</v>
      </c>
      <c r="J276" s="12" t="s">
        <v>38</v>
      </c>
      <c r="K276" s="12" t="s">
        <v>28</v>
      </c>
      <c r="L276" s="12" t="s">
        <v>28</v>
      </c>
      <c r="M276" s="12" t="s">
        <v>38</v>
      </c>
      <c r="N276" s="9">
        <v>0</v>
      </c>
      <c r="O276" s="12" t="s">
        <v>28</v>
      </c>
      <c r="P276" s="35">
        <v>0</v>
      </c>
      <c r="Q276" s="12" t="s">
        <v>28</v>
      </c>
      <c r="R276" s="9">
        <v>6611000000</v>
      </c>
      <c r="S276" s="10">
        <v>43714</v>
      </c>
      <c r="T276" s="37">
        <v>0</v>
      </c>
      <c r="U276" s="10" t="s">
        <v>28</v>
      </c>
      <c r="V276" s="34" t="s">
        <v>700</v>
      </c>
      <c r="W276" s="15" t="s">
        <v>880</v>
      </c>
      <c r="X276" s="21" t="s">
        <v>887</v>
      </c>
      <c r="Y276" s="67" t="s">
        <v>68</v>
      </c>
      <c r="Z276" s="33" t="s">
        <v>887</v>
      </c>
    </row>
    <row r="277" spans="1:26">
      <c r="A277" s="31">
        <v>273</v>
      </c>
      <c r="B277" s="8" t="s">
        <v>25</v>
      </c>
      <c r="C277" s="8" t="s">
        <v>26</v>
      </c>
      <c r="D277" s="12" t="s">
        <v>32</v>
      </c>
      <c r="E277" s="44" t="s">
        <v>696</v>
      </c>
      <c r="F277" s="34" t="s">
        <v>803</v>
      </c>
      <c r="G277" s="34" t="s">
        <v>804</v>
      </c>
      <c r="H277" s="36" t="s">
        <v>805</v>
      </c>
      <c r="I277" s="12" t="s">
        <v>53</v>
      </c>
      <c r="J277" s="12" t="s">
        <v>38</v>
      </c>
      <c r="K277" s="12" t="s">
        <v>28</v>
      </c>
      <c r="L277" s="12" t="s">
        <v>28</v>
      </c>
      <c r="M277" s="12" t="s">
        <v>38</v>
      </c>
      <c r="N277" s="9">
        <v>0</v>
      </c>
      <c r="O277" s="12" t="s">
        <v>28</v>
      </c>
      <c r="P277" s="35">
        <v>0</v>
      </c>
      <c r="Q277" s="12" t="s">
        <v>28</v>
      </c>
      <c r="R277" s="35">
        <v>3349500000.0000005</v>
      </c>
      <c r="S277" s="10">
        <v>42873</v>
      </c>
      <c r="T277" s="37">
        <v>0</v>
      </c>
      <c r="U277" s="10" t="s">
        <v>28</v>
      </c>
      <c r="V277" s="34" t="s">
        <v>700</v>
      </c>
      <c r="W277" s="15" t="s">
        <v>880</v>
      </c>
      <c r="X277" s="21" t="s">
        <v>887</v>
      </c>
      <c r="Y277" s="67" t="s">
        <v>68</v>
      </c>
      <c r="Z277" s="33" t="s">
        <v>887</v>
      </c>
    </row>
    <row r="278" spans="1:26">
      <c r="A278" s="31">
        <v>274</v>
      </c>
      <c r="B278" s="8" t="s">
        <v>25</v>
      </c>
      <c r="C278" s="8" t="s">
        <v>26</v>
      </c>
      <c r="D278" s="12" t="s">
        <v>32</v>
      </c>
      <c r="E278" s="44" t="s">
        <v>696</v>
      </c>
      <c r="F278" s="34" t="s">
        <v>806</v>
      </c>
      <c r="G278" s="34" t="s">
        <v>28</v>
      </c>
      <c r="H278" s="36" t="s">
        <v>807</v>
      </c>
      <c r="I278" s="12" t="s">
        <v>57</v>
      </c>
      <c r="J278" s="12" t="s">
        <v>28</v>
      </c>
      <c r="K278" s="12" t="s">
        <v>28</v>
      </c>
      <c r="L278" s="12" t="s">
        <v>38</v>
      </c>
      <c r="M278" s="12" t="s">
        <v>38</v>
      </c>
      <c r="N278" s="9">
        <v>0</v>
      </c>
      <c r="O278" s="12" t="s">
        <v>28</v>
      </c>
      <c r="P278" s="35">
        <v>0</v>
      </c>
      <c r="Q278" s="12" t="s">
        <v>28</v>
      </c>
      <c r="R278" s="35">
        <v>0</v>
      </c>
      <c r="S278" s="10" t="s">
        <v>28</v>
      </c>
      <c r="T278" s="37">
        <v>0</v>
      </c>
      <c r="U278" s="10" t="s">
        <v>28</v>
      </c>
      <c r="V278" s="34" t="s">
        <v>700</v>
      </c>
      <c r="W278" s="15" t="s">
        <v>68</v>
      </c>
      <c r="X278" s="21" t="s">
        <v>887</v>
      </c>
      <c r="Y278" s="67" t="s">
        <v>68</v>
      </c>
      <c r="Z278" s="33" t="s">
        <v>887</v>
      </c>
    </row>
    <row r="279" spans="1:26">
      <c r="A279" s="31">
        <v>275</v>
      </c>
      <c r="B279" s="8" t="s">
        <v>25</v>
      </c>
      <c r="C279" s="8" t="s">
        <v>26</v>
      </c>
      <c r="D279" s="12" t="s">
        <v>32</v>
      </c>
      <c r="E279" s="44" t="s">
        <v>696</v>
      </c>
      <c r="F279" s="34" t="s">
        <v>808</v>
      </c>
      <c r="G279" s="34" t="s">
        <v>28</v>
      </c>
      <c r="H279" s="36" t="s">
        <v>809</v>
      </c>
      <c r="I279" s="12" t="s">
        <v>227</v>
      </c>
      <c r="J279" s="12" t="s">
        <v>28</v>
      </c>
      <c r="K279" s="12" t="s">
        <v>28</v>
      </c>
      <c r="L279" s="12" t="s">
        <v>38</v>
      </c>
      <c r="M279" s="12" t="s">
        <v>38</v>
      </c>
      <c r="N279" s="9">
        <v>0</v>
      </c>
      <c r="O279" s="12" t="s">
        <v>28</v>
      </c>
      <c r="P279" s="35">
        <v>0</v>
      </c>
      <c r="Q279" s="12" t="s">
        <v>28</v>
      </c>
      <c r="R279" s="35">
        <v>0</v>
      </c>
      <c r="S279" s="10" t="s">
        <v>28</v>
      </c>
      <c r="T279" s="37">
        <v>0</v>
      </c>
      <c r="U279" s="10" t="s">
        <v>28</v>
      </c>
      <c r="V279" s="34" t="s">
        <v>700</v>
      </c>
      <c r="W279" s="15" t="s">
        <v>68</v>
      </c>
      <c r="X279" s="21" t="s">
        <v>887</v>
      </c>
      <c r="Y279" s="67" t="s">
        <v>68</v>
      </c>
      <c r="Z279" s="33" t="s">
        <v>887</v>
      </c>
    </row>
    <row r="280" spans="1:26">
      <c r="A280" s="31">
        <v>276</v>
      </c>
      <c r="B280" s="8" t="s">
        <v>25</v>
      </c>
      <c r="C280" s="8" t="s">
        <v>26</v>
      </c>
      <c r="D280" s="12" t="s">
        <v>32</v>
      </c>
      <c r="E280" s="44" t="s">
        <v>696</v>
      </c>
      <c r="F280" s="34" t="s">
        <v>810</v>
      </c>
      <c r="G280" s="34" t="s">
        <v>28</v>
      </c>
      <c r="H280" s="36" t="s">
        <v>811</v>
      </c>
      <c r="I280" s="12" t="s">
        <v>43</v>
      </c>
      <c r="J280" s="12" t="s">
        <v>28</v>
      </c>
      <c r="K280" s="12" t="s">
        <v>28</v>
      </c>
      <c r="L280" s="12" t="s">
        <v>38</v>
      </c>
      <c r="M280" s="12" t="s">
        <v>38</v>
      </c>
      <c r="N280" s="9">
        <v>0</v>
      </c>
      <c r="O280" s="12" t="s">
        <v>28</v>
      </c>
      <c r="P280" s="35">
        <v>0</v>
      </c>
      <c r="Q280" s="12" t="s">
        <v>28</v>
      </c>
      <c r="R280" s="35">
        <v>0</v>
      </c>
      <c r="S280" s="10" t="s">
        <v>28</v>
      </c>
      <c r="T280" s="37">
        <v>0</v>
      </c>
      <c r="U280" s="10" t="s">
        <v>28</v>
      </c>
      <c r="V280" s="34" t="s">
        <v>700</v>
      </c>
      <c r="W280" s="15" t="s">
        <v>68</v>
      </c>
      <c r="X280" s="21" t="s">
        <v>887</v>
      </c>
      <c r="Y280" s="67" t="s">
        <v>68</v>
      </c>
      <c r="Z280" s="33" t="s">
        <v>887</v>
      </c>
    </row>
    <row r="281" spans="1:26">
      <c r="A281" s="31">
        <v>277</v>
      </c>
      <c r="B281" s="8" t="s">
        <v>25</v>
      </c>
      <c r="C281" s="8" t="s">
        <v>26</v>
      </c>
      <c r="D281" s="12" t="s">
        <v>32</v>
      </c>
      <c r="E281" s="44" t="s">
        <v>696</v>
      </c>
      <c r="F281" s="34" t="s">
        <v>812</v>
      </c>
      <c r="G281" s="34" t="s">
        <v>28</v>
      </c>
      <c r="H281" s="36" t="s">
        <v>813</v>
      </c>
      <c r="I281" s="12" t="s">
        <v>43</v>
      </c>
      <c r="J281" s="12" t="s">
        <v>28</v>
      </c>
      <c r="K281" s="12" t="s">
        <v>28</v>
      </c>
      <c r="L281" s="12" t="s">
        <v>38</v>
      </c>
      <c r="M281" s="12" t="s">
        <v>38</v>
      </c>
      <c r="N281" s="9">
        <v>0</v>
      </c>
      <c r="O281" s="12" t="s">
        <v>28</v>
      </c>
      <c r="P281" s="35">
        <v>0</v>
      </c>
      <c r="Q281" s="12" t="s">
        <v>28</v>
      </c>
      <c r="R281" s="35">
        <v>0</v>
      </c>
      <c r="S281" s="10" t="s">
        <v>28</v>
      </c>
      <c r="T281" s="37">
        <v>0</v>
      </c>
      <c r="U281" s="10" t="s">
        <v>28</v>
      </c>
      <c r="V281" s="34" t="s">
        <v>700</v>
      </c>
      <c r="W281" s="15" t="s">
        <v>68</v>
      </c>
      <c r="X281" s="21" t="s">
        <v>887</v>
      </c>
      <c r="Y281" s="67" t="s">
        <v>68</v>
      </c>
      <c r="Z281" s="33" t="s">
        <v>887</v>
      </c>
    </row>
    <row r="282" spans="1:26">
      <c r="A282" s="31">
        <v>278</v>
      </c>
      <c r="B282" s="8" t="s">
        <v>25</v>
      </c>
      <c r="C282" s="8" t="s">
        <v>26</v>
      </c>
      <c r="D282" s="12" t="s">
        <v>32</v>
      </c>
      <c r="E282" s="44" t="s">
        <v>696</v>
      </c>
      <c r="F282" s="34" t="s">
        <v>814</v>
      </c>
      <c r="G282" s="34" t="s">
        <v>28</v>
      </c>
      <c r="H282" s="36" t="s">
        <v>815</v>
      </c>
      <c r="I282" s="12" t="s">
        <v>816</v>
      </c>
      <c r="J282" s="12" t="s">
        <v>28</v>
      </c>
      <c r="K282" s="12" t="s">
        <v>28</v>
      </c>
      <c r="L282" s="12" t="s">
        <v>38</v>
      </c>
      <c r="M282" s="12" t="s">
        <v>38</v>
      </c>
      <c r="N282" s="9">
        <v>0</v>
      </c>
      <c r="O282" s="12" t="s">
        <v>28</v>
      </c>
      <c r="P282" s="35">
        <v>0</v>
      </c>
      <c r="Q282" s="12" t="s">
        <v>28</v>
      </c>
      <c r="R282" s="35">
        <v>0</v>
      </c>
      <c r="S282" s="10" t="s">
        <v>28</v>
      </c>
      <c r="T282" s="37">
        <v>0</v>
      </c>
      <c r="U282" s="10" t="s">
        <v>28</v>
      </c>
      <c r="V282" s="34" t="s">
        <v>700</v>
      </c>
      <c r="W282" s="15" t="s">
        <v>68</v>
      </c>
      <c r="X282" s="21" t="s">
        <v>887</v>
      </c>
      <c r="Y282" s="67" t="s">
        <v>68</v>
      </c>
      <c r="Z282" s="33" t="s">
        <v>887</v>
      </c>
    </row>
    <row r="283" spans="1:26">
      <c r="A283" s="31">
        <v>279</v>
      </c>
      <c r="B283" s="8" t="s">
        <v>25</v>
      </c>
      <c r="C283" s="8" t="s">
        <v>26</v>
      </c>
      <c r="D283" s="12" t="s">
        <v>32</v>
      </c>
      <c r="E283" s="44" t="s">
        <v>696</v>
      </c>
      <c r="F283" s="34" t="s">
        <v>817</v>
      </c>
      <c r="G283" s="34" t="s">
        <v>28</v>
      </c>
      <c r="H283" s="36" t="s">
        <v>818</v>
      </c>
      <c r="I283" s="12" t="s">
        <v>43</v>
      </c>
      <c r="J283" s="12" t="s">
        <v>28</v>
      </c>
      <c r="K283" s="12" t="s">
        <v>28</v>
      </c>
      <c r="L283" s="12" t="s">
        <v>38</v>
      </c>
      <c r="M283" s="12" t="s">
        <v>38</v>
      </c>
      <c r="N283" s="9">
        <v>0</v>
      </c>
      <c r="O283" s="12" t="s">
        <v>28</v>
      </c>
      <c r="P283" s="35">
        <v>0</v>
      </c>
      <c r="Q283" s="12" t="s">
        <v>28</v>
      </c>
      <c r="R283" s="35">
        <v>0</v>
      </c>
      <c r="S283" s="10" t="s">
        <v>28</v>
      </c>
      <c r="T283" s="37">
        <v>0</v>
      </c>
      <c r="U283" s="10" t="s">
        <v>28</v>
      </c>
      <c r="V283" s="34" t="s">
        <v>700</v>
      </c>
      <c r="W283" s="15" t="s">
        <v>68</v>
      </c>
      <c r="X283" s="21" t="s">
        <v>887</v>
      </c>
      <c r="Y283" s="67" t="s">
        <v>68</v>
      </c>
      <c r="Z283" s="33" t="s">
        <v>887</v>
      </c>
    </row>
    <row r="284" spans="1:26">
      <c r="A284" s="31">
        <v>280</v>
      </c>
      <c r="B284" s="8" t="s">
        <v>25</v>
      </c>
      <c r="C284" s="8" t="s">
        <v>26</v>
      </c>
      <c r="D284" s="12" t="s">
        <v>32</v>
      </c>
      <c r="E284" s="44" t="s">
        <v>696</v>
      </c>
      <c r="F284" s="34" t="s">
        <v>819</v>
      </c>
      <c r="G284" s="34" t="s">
        <v>28</v>
      </c>
      <c r="H284" s="36" t="s">
        <v>820</v>
      </c>
      <c r="I284" s="12" t="s">
        <v>43</v>
      </c>
      <c r="J284" s="12" t="s">
        <v>38</v>
      </c>
      <c r="K284" s="12" t="s">
        <v>28</v>
      </c>
      <c r="L284" s="12" t="s">
        <v>28</v>
      </c>
      <c r="M284" s="12" t="s">
        <v>38</v>
      </c>
      <c r="N284" s="9">
        <v>0</v>
      </c>
      <c r="O284" s="12" t="s">
        <v>28</v>
      </c>
      <c r="P284" s="35">
        <v>0</v>
      </c>
      <c r="Q284" s="12" t="s">
        <v>28</v>
      </c>
      <c r="R284" s="35">
        <v>0</v>
      </c>
      <c r="S284" s="10" t="s">
        <v>28</v>
      </c>
      <c r="T284" s="37">
        <v>0</v>
      </c>
      <c r="U284" s="10" t="s">
        <v>28</v>
      </c>
      <c r="V284" s="34" t="s">
        <v>700</v>
      </c>
      <c r="W284" s="15" t="s">
        <v>68</v>
      </c>
      <c r="X284" s="21" t="s">
        <v>887</v>
      </c>
      <c r="Y284" s="67" t="s">
        <v>68</v>
      </c>
      <c r="Z284" s="33" t="s">
        <v>887</v>
      </c>
    </row>
    <row r="285" spans="1:26">
      <c r="A285" s="31">
        <v>282</v>
      </c>
      <c r="B285" s="8" t="s">
        <v>25</v>
      </c>
      <c r="C285" s="8" t="s">
        <v>821</v>
      </c>
      <c r="D285" s="8" t="s">
        <v>822</v>
      </c>
      <c r="E285" s="7" t="s">
        <v>28</v>
      </c>
      <c r="F285" s="7" t="s">
        <v>28</v>
      </c>
      <c r="G285" s="11" t="s">
        <v>823</v>
      </c>
      <c r="H285" s="11" t="s">
        <v>823</v>
      </c>
      <c r="I285" s="7" t="s">
        <v>28</v>
      </c>
      <c r="J285" s="7" t="s">
        <v>28</v>
      </c>
      <c r="K285" s="12" t="s">
        <v>38</v>
      </c>
      <c r="L285" s="7" t="s">
        <v>28</v>
      </c>
      <c r="M285" s="7" t="s">
        <v>28</v>
      </c>
      <c r="N285" s="14">
        <v>0</v>
      </c>
      <c r="O285" s="10" t="s">
        <v>28</v>
      </c>
      <c r="P285" s="14">
        <v>7210000000</v>
      </c>
      <c r="Q285" s="10">
        <v>42067</v>
      </c>
      <c r="R285" s="14">
        <v>12169000000</v>
      </c>
      <c r="S285" s="10">
        <v>44246</v>
      </c>
      <c r="T285" s="14">
        <v>0</v>
      </c>
      <c r="U285" s="10" t="s">
        <v>28</v>
      </c>
      <c r="V285" s="15" t="s">
        <v>68</v>
      </c>
      <c r="W285" s="15" t="s">
        <v>885</v>
      </c>
      <c r="X285" s="21" t="s">
        <v>887</v>
      </c>
      <c r="Y285" s="67" t="s">
        <v>68</v>
      </c>
      <c r="Z285" s="33" t="s">
        <v>887</v>
      </c>
    </row>
    <row r="286" spans="1:26">
      <c r="A286" s="31">
        <v>283</v>
      </c>
      <c r="B286" s="8" t="s">
        <v>25</v>
      </c>
      <c r="C286" s="8" t="s">
        <v>821</v>
      </c>
      <c r="D286" s="8" t="s">
        <v>822</v>
      </c>
      <c r="E286" s="7" t="s">
        <v>28</v>
      </c>
      <c r="F286" s="7" t="s">
        <v>28</v>
      </c>
      <c r="G286" s="11" t="s">
        <v>824</v>
      </c>
      <c r="H286" s="11" t="s">
        <v>824</v>
      </c>
      <c r="I286" s="7" t="s">
        <v>28</v>
      </c>
      <c r="J286" s="7" t="s">
        <v>28</v>
      </c>
      <c r="K286" s="12" t="s">
        <v>38</v>
      </c>
      <c r="L286" s="7" t="s">
        <v>28</v>
      </c>
      <c r="M286" s="7" t="s">
        <v>28</v>
      </c>
      <c r="N286" s="9">
        <v>0</v>
      </c>
      <c r="O286" s="10" t="s">
        <v>28</v>
      </c>
      <c r="P286" s="9">
        <v>5263000000</v>
      </c>
      <c r="Q286" s="10">
        <v>41787</v>
      </c>
      <c r="R286" s="45">
        <v>0</v>
      </c>
      <c r="S286" s="46" t="s">
        <v>28</v>
      </c>
      <c r="T286" s="9">
        <v>0</v>
      </c>
      <c r="U286" s="10" t="s">
        <v>28</v>
      </c>
      <c r="V286" s="15" t="s">
        <v>68</v>
      </c>
      <c r="W286" s="15" t="s">
        <v>885</v>
      </c>
      <c r="X286" s="21" t="s">
        <v>68</v>
      </c>
      <c r="Y286" s="67" t="s">
        <v>68</v>
      </c>
      <c r="Z286" s="33" t="s">
        <v>887</v>
      </c>
    </row>
    <row r="287" spans="1:26">
      <c r="A287" s="31">
        <v>284</v>
      </c>
      <c r="B287" s="8" t="s">
        <v>25</v>
      </c>
      <c r="C287" s="8" t="s">
        <v>821</v>
      </c>
      <c r="D287" s="8" t="s">
        <v>822</v>
      </c>
      <c r="E287" s="7" t="s">
        <v>28</v>
      </c>
      <c r="F287" s="7" t="s">
        <v>28</v>
      </c>
      <c r="G287" s="11" t="s">
        <v>825</v>
      </c>
      <c r="H287" s="11" t="s">
        <v>825</v>
      </c>
      <c r="I287" s="7" t="s">
        <v>28</v>
      </c>
      <c r="J287" s="7" t="s">
        <v>28</v>
      </c>
      <c r="K287" s="12" t="s">
        <v>38</v>
      </c>
      <c r="L287" s="7" t="s">
        <v>28</v>
      </c>
      <c r="M287" s="7" t="s">
        <v>28</v>
      </c>
      <c r="N287" s="9">
        <v>0</v>
      </c>
      <c r="O287" s="10" t="s">
        <v>28</v>
      </c>
      <c r="P287" s="9">
        <v>0</v>
      </c>
      <c r="Q287" s="10" t="s">
        <v>28</v>
      </c>
      <c r="R287" s="45">
        <v>0</v>
      </c>
      <c r="S287" s="46" t="s">
        <v>28</v>
      </c>
      <c r="T287" s="9">
        <v>0</v>
      </c>
      <c r="U287" s="10" t="s">
        <v>28</v>
      </c>
      <c r="V287" s="15" t="s">
        <v>68</v>
      </c>
      <c r="W287" s="15" t="s">
        <v>68</v>
      </c>
      <c r="X287" s="21" t="s">
        <v>68</v>
      </c>
      <c r="Y287" s="67" t="s">
        <v>68</v>
      </c>
      <c r="Z287" s="33" t="s">
        <v>887</v>
      </c>
    </row>
    <row r="288" spans="1:26">
      <c r="A288" s="31">
        <v>285</v>
      </c>
      <c r="B288" s="8" t="s">
        <v>25</v>
      </c>
      <c r="C288" s="8" t="s">
        <v>821</v>
      </c>
      <c r="D288" s="8" t="s">
        <v>822</v>
      </c>
      <c r="E288" s="7" t="s">
        <v>28</v>
      </c>
      <c r="F288" s="7" t="s">
        <v>28</v>
      </c>
      <c r="G288" s="11" t="s">
        <v>826</v>
      </c>
      <c r="H288" s="11" t="s">
        <v>826</v>
      </c>
      <c r="I288" s="7" t="s">
        <v>28</v>
      </c>
      <c r="J288" s="7" t="s">
        <v>28</v>
      </c>
      <c r="K288" s="12" t="s">
        <v>38</v>
      </c>
      <c r="L288" s="7" t="s">
        <v>28</v>
      </c>
      <c r="M288" s="7" t="s">
        <v>28</v>
      </c>
      <c r="N288" s="9">
        <v>0</v>
      </c>
      <c r="O288" s="10" t="s">
        <v>28</v>
      </c>
      <c r="P288" s="9">
        <v>0</v>
      </c>
      <c r="Q288" s="10" t="s">
        <v>28</v>
      </c>
      <c r="R288" s="45">
        <v>0</v>
      </c>
      <c r="S288" s="46" t="s">
        <v>28</v>
      </c>
      <c r="T288" s="9">
        <v>0</v>
      </c>
      <c r="U288" s="10" t="s">
        <v>28</v>
      </c>
      <c r="V288" s="15" t="s">
        <v>68</v>
      </c>
      <c r="W288" s="15" t="s">
        <v>68</v>
      </c>
      <c r="X288" s="21" t="s">
        <v>68</v>
      </c>
      <c r="Y288" s="67" t="s">
        <v>68</v>
      </c>
      <c r="Z288" s="33" t="s">
        <v>887</v>
      </c>
    </row>
    <row r="289" spans="1:26">
      <c r="A289" s="31">
        <v>286</v>
      </c>
      <c r="B289" s="8" t="s">
        <v>25</v>
      </c>
      <c r="C289" s="8" t="s">
        <v>821</v>
      </c>
      <c r="D289" s="8" t="s">
        <v>822</v>
      </c>
      <c r="E289" s="7" t="s">
        <v>28</v>
      </c>
      <c r="F289" s="7" t="s">
        <v>28</v>
      </c>
      <c r="G289" s="11" t="s">
        <v>827</v>
      </c>
      <c r="H289" s="11" t="s">
        <v>827</v>
      </c>
      <c r="I289" s="7" t="s">
        <v>28</v>
      </c>
      <c r="J289" s="7" t="s">
        <v>28</v>
      </c>
      <c r="K289" s="12" t="s">
        <v>38</v>
      </c>
      <c r="L289" s="7" t="s">
        <v>28</v>
      </c>
      <c r="M289" s="7" t="s">
        <v>28</v>
      </c>
      <c r="N289" s="9">
        <v>0</v>
      </c>
      <c r="O289" s="10" t="s">
        <v>28</v>
      </c>
      <c r="P289" s="9">
        <v>0</v>
      </c>
      <c r="Q289" s="10" t="s">
        <v>28</v>
      </c>
      <c r="R289" s="45">
        <v>0</v>
      </c>
      <c r="S289" s="46" t="s">
        <v>28</v>
      </c>
      <c r="T289" s="9">
        <v>0</v>
      </c>
      <c r="U289" s="10" t="s">
        <v>28</v>
      </c>
      <c r="V289" s="15" t="s">
        <v>68</v>
      </c>
      <c r="W289" s="15" t="s">
        <v>68</v>
      </c>
      <c r="X289" s="21" t="s">
        <v>68</v>
      </c>
      <c r="Y289" s="67" t="s">
        <v>68</v>
      </c>
      <c r="Z289" s="33" t="s">
        <v>887</v>
      </c>
    </row>
    <row r="290" spans="1:26">
      <c r="A290" s="31">
        <v>287</v>
      </c>
      <c r="B290" s="8" t="s">
        <v>25</v>
      </c>
      <c r="C290" s="8" t="s">
        <v>821</v>
      </c>
      <c r="D290" s="8" t="s">
        <v>822</v>
      </c>
      <c r="E290" s="7" t="s">
        <v>28</v>
      </c>
      <c r="F290" s="7" t="s">
        <v>28</v>
      </c>
      <c r="G290" s="11" t="s">
        <v>828</v>
      </c>
      <c r="H290" s="11" t="s">
        <v>828</v>
      </c>
      <c r="I290" s="7" t="s">
        <v>28</v>
      </c>
      <c r="J290" s="7" t="s">
        <v>28</v>
      </c>
      <c r="K290" s="12" t="s">
        <v>38</v>
      </c>
      <c r="L290" s="7" t="s">
        <v>28</v>
      </c>
      <c r="M290" s="7" t="s">
        <v>28</v>
      </c>
      <c r="N290" s="9">
        <v>0</v>
      </c>
      <c r="O290" s="10" t="s">
        <v>28</v>
      </c>
      <c r="P290" s="9">
        <v>0</v>
      </c>
      <c r="Q290" s="10" t="s">
        <v>28</v>
      </c>
      <c r="R290" s="45">
        <v>0</v>
      </c>
      <c r="S290" s="46" t="s">
        <v>28</v>
      </c>
      <c r="T290" s="9">
        <v>0</v>
      </c>
      <c r="U290" s="10" t="s">
        <v>28</v>
      </c>
      <c r="V290" s="15" t="s">
        <v>68</v>
      </c>
      <c r="W290" s="15" t="s">
        <v>68</v>
      </c>
      <c r="X290" s="21" t="s">
        <v>68</v>
      </c>
      <c r="Y290" s="67" t="s">
        <v>68</v>
      </c>
      <c r="Z290" s="33" t="s">
        <v>887</v>
      </c>
    </row>
    <row r="291" spans="1:26">
      <c r="A291" s="31">
        <v>288</v>
      </c>
      <c r="B291" s="8" t="s">
        <v>25</v>
      </c>
      <c r="C291" s="8" t="s">
        <v>821</v>
      </c>
      <c r="D291" s="8" t="s">
        <v>822</v>
      </c>
      <c r="E291" s="7" t="s">
        <v>28</v>
      </c>
      <c r="F291" s="7" t="s">
        <v>28</v>
      </c>
      <c r="G291" s="11" t="s">
        <v>829</v>
      </c>
      <c r="H291" s="11" t="s">
        <v>829</v>
      </c>
      <c r="I291" s="7" t="s">
        <v>28</v>
      </c>
      <c r="J291" s="7" t="s">
        <v>28</v>
      </c>
      <c r="K291" s="12" t="s">
        <v>38</v>
      </c>
      <c r="L291" s="7" t="s">
        <v>28</v>
      </c>
      <c r="M291" s="7" t="s">
        <v>28</v>
      </c>
      <c r="N291" s="9">
        <v>0</v>
      </c>
      <c r="O291" s="10" t="s">
        <v>28</v>
      </c>
      <c r="P291" s="9">
        <v>0</v>
      </c>
      <c r="Q291" s="10" t="s">
        <v>28</v>
      </c>
      <c r="R291" s="45">
        <v>0</v>
      </c>
      <c r="S291" s="46" t="s">
        <v>28</v>
      </c>
      <c r="T291" s="9">
        <v>0</v>
      </c>
      <c r="U291" s="10" t="s">
        <v>28</v>
      </c>
      <c r="V291" s="15" t="s">
        <v>68</v>
      </c>
      <c r="W291" s="15" t="s">
        <v>68</v>
      </c>
      <c r="X291" s="21" t="s">
        <v>68</v>
      </c>
      <c r="Y291" s="67" t="s">
        <v>68</v>
      </c>
      <c r="Z291" s="33" t="s">
        <v>887</v>
      </c>
    </row>
    <row r="292" spans="1:26">
      <c r="A292" s="31">
        <v>289</v>
      </c>
      <c r="B292" s="8" t="s">
        <v>25</v>
      </c>
      <c r="C292" s="8" t="s">
        <v>821</v>
      </c>
      <c r="D292" s="8" t="s">
        <v>822</v>
      </c>
      <c r="E292" s="7" t="s">
        <v>28</v>
      </c>
      <c r="F292" s="7" t="s">
        <v>28</v>
      </c>
      <c r="G292" s="11" t="s">
        <v>830</v>
      </c>
      <c r="H292" s="11" t="s">
        <v>830</v>
      </c>
      <c r="I292" s="7" t="s">
        <v>28</v>
      </c>
      <c r="J292" s="7" t="s">
        <v>28</v>
      </c>
      <c r="K292" s="12" t="s">
        <v>38</v>
      </c>
      <c r="L292" s="7" t="s">
        <v>28</v>
      </c>
      <c r="M292" s="7" t="s">
        <v>28</v>
      </c>
      <c r="N292" s="9">
        <v>0</v>
      </c>
      <c r="O292" s="10" t="s">
        <v>28</v>
      </c>
      <c r="P292" s="9">
        <v>0</v>
      </c>
      <c r="Q292" s="10" t="s">
        <v>28</v>
      </c>
      <c r="R292" s="45">
        <v>0</v>
      </c>
      <c r="S292" s="46" t="s">
        <v>28</v>
      </c>
      <c r="T292" s="9">
        <v>0</v>
      </c>
      <c r="U292" s="10" t="s">
        <v>28</v>
      </c>
      <c r="V292" s="15" t="s">
        <v>68</v>
      </c>
      <c r="W292" s="15" t="s">
        <v>68</v>
      </c>
      <c r="X292" s="21" t="s">
        <v>68</v>
      </c>
      <c r="Y292" s="67" t="s">
        <v>68</v>
      </c>
      <c r="Z292" s="33" t="s">
        <v>887</v>
      </c>
    </row>
    <row r="293" spans="1:26">
      <c r="A293" s="31">
        <v>290</v>
      </c>
      <c r="B293" s="8" t="s">
        <v>25</v>
      </c>
      <c r="C293" s="8" t="s">
        <v>821</v>
      </c>
      <c r="D293" s="8" t="s">
        <v>822</v>
      </c>
      <c r="E293" s="7" t="s">
        <v>28</v>
      </c>
      <c r="F293" s="7" t="s">
        <v>28</v>
      </c>
      <c r="G293" s="11" t="s">
        <v>831</v>
      </c>
      <c r="H293" s="11" t="s">
        <v>831</v>
      </c>
      <c r="I293" s="7" t="s">
        <v>28</v>
      </c>
      <c r="J293" s="7" t="s">
        <v>28</v>
      </c>
      <c r="K293" s="12" t="s">
        <v>38</v>
      </c>
      <c r="L293" s="7" t="s">
        <v>28</v>
      </c>
      <c r="M293" s="7" t="s">
        <v>28</v>
      </c>
      <c r="N293" s="9">
        <v>0</v>
      </c>
      <c r="O293" s="10" t="s">
        <v>28</v>
      </c>
      <c r="P293" s="9">
        <v>0</v>
      </c>
      <c r="Q293" s="10" t="s">
        <v>28</v>
      </c>
      <c r="R293" s="45">
        <v>0</v>
      </c>
      <c r="S293" s="46" t="s">
        <v>28</v>
      </c>
      <c r="T293" s="9">
        <v>0</v>
      </c>
      <c r="U293" s="10" t="s">
        <v>28</v>
      </c>
      <c r="V293" s="15" t="s">
        <v>68</v>
      </c>
      <c r="W293" s="15" t="s">
        <v>68</v>
      </c>
      <c r="X293" s="21" t="s">
        <v>68</v>
      </c>
      <c r="Y293" s="67" t="s">
        <v>68</v>
      </c>
      <c r="Z293" s="33" t="s">
        <v>887</v>
      </c>
    </row>
    <row r="294" spans="1:26">
      <c r="A294" s="31">
        <v>291</v>
      </c>
      <c r="B294" s="8" t="s">
        <v>25</v>
      </c>
      <c r="C294" s="8" t="s">
        <v>821</v>
      </c>
      <c r="D294" s="8" t="s">
        <v>832</v>
      </c>
      <c r="E294" s="7" t="s">
        <v>28</v>
      </c>
      <c r="F294" s="7" t="s">
        <v>28</v>
      </c>
      <c r="G294" s="11" t="s">
        <v>833</v>
      </c>
      <c r="H294" s="11" t="s">
        <v>833</v>
      </c>
      <c r="I294" s="7" t="s">
        <v>28</v>
      </c>
      <c r="J294" s="7" t="s">
        <v>28</v>
      </c>
      <c r="K294" s="12" t="s">
        <v>38</v>
      </c>
      <c r="L294" s="7" t="s">
        <v>28</v>
      </c>
      <c r="M294" s="7" t="s">
        <v>28</v>
      </c>
      <c r="N294" s="9">
        <v>0</v>
      </c>
      <c r="O294" s="10" t="s">
        <v>28</v>
      </c>
      <c r="P294" s="9">
        <v>0</v>
      </c>
      <c r="Q294" s="10" t="s">
        <v>28</v>
      </c>
      <c r="R294" s="45">
        <v>0</v>
      </c>
      <c r="S294" s="46" t="s">
        <v>28</v>
      </c>
      <c r="T294" s="9">
        <v>0</v>
      </c>
      <c r="U294" s="10" t="s">
        <v>28</v>
      </c>
      <c r="V294" s="15" t="s">
        <v>68</v>
      </c>
      <c r="W294" s="15" t="s">
        <v>68</v>
      </c>
      <c r="X294" s="21" t="s">
        <v>68</v>
      </c>
      <c r="Y294" s="67" t="s">
        <v>68</v>
      </c>
      <c r="Z294" s="33" t="s">
        <v>887</v>
      </c>
    </row>
    <row r="295" spans="1:26">
      <c r="A295" s="31">
        <v>292</v>
      </c>
      <c r="B295" s="8" t="s">
        <v>25</v>
      </c>
      <c r="C295" s="8" t="s">
        <v>821</v>
      </c>
      <c r="D295" s="8" t="s">
        <v>832</v>
      </c>
      <c r="E295" s="7" t="s">
        <v>28</v>
      </c>
      <c r="F295" s="7" t="s">
        <v>28</v>
      </c>
      <c r="G295" s="11" t="s">
        <v>834</v>
      </c>
      <c r="H295" s="11" t="s">
        <v>834</v>
      </c>
      <c r="I295" s="7" t="s">
        <v>28</v>
      </c>
      <c r="J295" s="7" t="s">
        <v>28</v>
      </c>
      <c r="K295" s="12" t="s">
        <v>38</v>
      </c>
      <c r="L295" s="7" t="s">
        <v>28</v>
      </c>
      <c r="M295" s="7" t="s">
        <v>28</v>
      </c>
      <c r="N295" s="9">
        <v>0</v>
      </c>
      <c r="O295" s="10" t="s">
        <v>28</v>
      </c>
      <c r="P295" s="9">
        <v>0</v>
      </c>
      <c r="Q295" s="10" t="s">
        <v>28</v>
      </c>
      <c r="R295" s="45">
        <v>0</v>
      </c>
      <c r="S295" s="46" t="s">
        <v>28</v>
      </c>
      <c r="T295" s="9">
        <v>0</v>
      </c>
      <c r="U295" s="10" t="s">
        <v>28</v>
      </c>
      <c r="V295" s="15" t="s">
        <v>68</v>
      </c>
      <c r="W295" s="15" t="s">
        <v>68</v>
      </c>
      <c r="X295" s="21" t="s">
        <v>68</v>
      </c>
      <c r="Y295" s="67" t="s">
        <v>68</v>
      </c>
      <c r="Z295" s="33" t="s">
        <v>887</v>
      </c>
    </row>
    <row r="296" spans="1:26">
      <c r="A296" s="31">
        <v>293</v>
      </c>
      <c r="B296" s="8" t="s">
        <v>25</v>
      </c>
      <c r="C296" s="8" t="s">
        <v>821</v>
      </c>
      <c r="D296" s="8" t="s">
        <v>832</v>
      </c>
      <c r="E296" s="7" t="s">
        <v>28</v>
      </c>
      <c r="F296" s="7" t="s">
        <v>28</v>
      </c>
      <c r="G296" s="11" t="s">
        <v>835</v>
      </c>
      <c r="H296" s="11" t="s">
        <v>835</v>
      </c>
      <c r="I296" s="7" t="s">
        <v>28</v>
      </c>
      <c r="J296" s="7" t="s">
        <v>28</v>
      </c>
      <c r="K296" s="12" t="s">
        <v>38</v>
      </c>
      <c r="L296" s="7" t="s">
        <v>28</v>
      </c>
      <c r="M296" s="7" t="s">
        <v>28</v>
      </c>
      <c r="N296" s="9">
        <v>0</v>
      </c>
      <c r="O296" s="10" t="s">
        <v>28</v>
      </c>
      <c r="P296" s="9">
        <v>0</v>
      </c>
      <c r="Q296" s="10" t="s">
        <v>28</v>
      </c>
      <c r="R296" s="45">
        <v>0</v>
      </c>
      <c r="S296" s="46" t="s">
        <v>28</v>
      </c>
      <c r="T296" s="9">
        <v>0</v>
      </c>
      <c r="U296" s="10" t="s">
        <v>28</v>
      </c>
      <c r="V296" s="15" t="s">
        <v>68</v>
      </c>
      <c r="W296" s="15" t="s">
        <v>68</v>
      </c>
      <c r="X296" s="21" t="s">
        <v>68</v>
      </c>
      <c r="Y296" s="67" t="s">
        <v>68</v>
      </c>
      <c r="Z296" s="33" t="s">
        <v>887</v>
      </c>
    </row>
    <row r="297" spans="1:26">
      <c r="A297" s="31">
        <v>294</v>
      </c>
      <c r="B297" s="8" t="s">
        <v>25</v>
      </c>
      <c r="C297" s="8" t="s">
        <v>821</v>
      </c>
      <c r="D297" s="8" t="s">
        <v>832</v>
      </c>
      <c r="E297" s="7" t="s">
        <v>28</v>
      </c>
      <c r="F297" s="7" t="s">
        <v>28</v>
      </c>
      <c r="G297" s="11" t="s">
        <v>836</v>
      </c>
      <c r="H297" s="11" t="s">
        <v>836</v>
      </c>
      <c r="I297" s="7" t="s">
        <v>28</v>
      </c>
      <c r="J297" s="7" t="s">
        <v>28</v>
      </c>
      <c r="K297" s="12" t="s">
        <v>38</v>
      </c>
      <c r="L297" s="7" t="s">
        <v>28</v>
      </c>
      <c r="M297" s="7" t="s">
        <v>28</v>
      </c>
      <c r="N297" s="9">
        <v>0</v>
      </c>
      <c r="O297" s="10" t="s">
        <v>28</v>
      </c>
      <c r="P297" s="9">
        <v>0</v>
      </c>
      <c r="Q297" s="10" t="s">
        <v>28</v>
      </c>
      <c r="R297" s="45">
        <v>0</v>
      </c>
      <c r="S297" s="46" t="s">
        <v>28</v>
      </c>
      <c r="T297" s="9">
        <v>0</v>
      </c>
      <c r="U297" s="10" t="s">
        <v>28</v>
      </c>
      <c r="V297" s="15" t="s">
        <v>68</v>
      </c>
      <c r="W297" s="15" t="s">
        <v>68</v>
      </c>
      <c r="X297" s="21" t="s">
        <v>68</v>
      </c>
      <c r="Y297" s="67" t="s">
        <v>68</v>
      </c>
      <c r="Z297" s="33" t="s">
        <v>887</v>
      </c>
    </row>
    <row r="298" spans="1:26">
      <c r="A298" s="31">
        <v>295</v>
      </c>
      <c r="B298" s="8" t="s">
        <v>837</v>
      </c>
      <c r="C298" s="8" t="s">
        <v>838</v>
      </c>
      <c r="D298" s="8" t="s">
        <v>839</v>
      </c>
      <c r="E298" s="7" t="s">
        <v>28</v>
      </c>
      <c r="F298" s="7" t="s">
        <v>28</v>
      </c>
      <c r="G298" s="11" t="s">
        <v>840</v>
      </c>
      <c r="H298" s="11" t="s">
        <v>840</v>
      </c>
      <c r="I298" s="7" t="s">
        <v>28</v>
      </c>
      <c r="J298" s="7" t="s">
        <v>28</v>
      </c>
      <c r="K298" s="12" t="s">
        <v>28</v>
      </c>
      <c r="L298" s="7" t="s">
        <v>28</v>
      </c>
      <c r="M298" s="7" t="s">
        <v>28</v>
      </c>
      <c r="N298" s="9">
        <v>293300700000</v>
      </c>
      <c r="O298" s="10">
        <v>38957</v>
      </c>
      <c r="P298" s="9">
        <v>329437900000</v>
      </c>
      <c r="Q298" s="10">
        <v>39962</v>
      </c>
      <c r="R298" s="47">
        <v>431500000000</v>
      </c>
      <c r="S298" s="48">
        <v>41740</v>
      </c>
      <c r="T298" s="9">
        <v>467202000000</v>
      </c>
      <c r="U298" s="10">
        <v>42447</v>
      </c>
      <c r="V298" s="15" t="s">
        <v>876</v>
      </c>
      <c r="W298" s="15" t="s">
        <v>886</v>
      </c>
      <c r="X298" s="21" t="s">
        <v>68</v>
      </c>
      <c r="Y298" s="67" t="s">
        <v>68</v>
      </c>
      <c r="Z298" s="33" t="s">
        <v>887</v>
      </c>
    </row>
    <row r="299" spans="1:26">
      <c r="A299" s="31">
        <v>296</v>
      </c>
      <c r="B299" s="8" t="s">
        <v>837</v>
      </c>
      <c r="C299" s="8" t="s">
        <v>838</v>
      </c>
      <c r="D299" s="8" t="s">
        <v>841</v>
      </c>
      <c r="E299" s="7" t="s">
        <v>28</v>
      </c>
      <c r="F299" s="7" t="s">
        <v>28</v>
      </c>
      <c r="G299" s="11" t="s">
        <v>842</v>
      </c>
      <c r="H299" s="11" t="s">
        <v>842</v>
      </c>
      <c r="I299" s="7" t="s">
        <v>28</v>
      </c>
      <c r="J299" s="7" t="s">
        <v>28</v>
      </c>
      <c r="K299" s="12" t="s">
        <v>38</v>
      </c>
      <c r="L299" s="7" t="s">
        <v>28</v>
      </c>
      <c r="M299" s="7" t="s">
        <v>28</v>
      </c>
      <c r="N299" s="14">
        <v>0</v>
      </c>
      <c r="O299" s="10" t="s">
        <v>28</v>
      </c>
      <c r="P299" s="14">
        <v>11165000000</v>
      </c>
      <c r="Q299" s="10">
        <v>41060</v>
      </c>
      <c r="R299" s="14">
        <v>16237000000</v>
      </c>
      <c r="S299" s="10">
        <v>42793</v>
      </c>
      <c r="T299" s="14">
        <v>0</v>
      </c>
      <c r="U299" s="10" t="s">
        <v>28</v>
      </c>
      <c r="V299" s="15" t="s">
        <v>876</v>
      </c>
      <c r="W299" s="15" t="s">
        <v>885</v>
      </c>
      <c r="X299" s="21" t="s">
        <v>68</v>
      </c>
      <c r="Y299" s="67" t="s">
        <v>68</v>
      </c>
      <c r="Z299" s="33" t="s">
        <v>887</v>
      </c>
    </row>
    <row r="300" spans="1:26">
      <c r="A300" s="31">
        <v>297</v>
      </c>
      <c r="B300" s="8" t="s">
        <v>837</v>
      </c>
      <c r="C300" s="8" t="s">
        <v>838</v>
      </c>
      <c r="D300" s="8" t="s">
        <v>841</v>
      </c>
      <c r="E300" s="7" t="s">
        <v>28</v>
      </c>
      <c r="F300" s="7" t="s">
        <v>28</v>
      </c>
      <c r="G300" s="11" t="s">
        <v>843</v>
      </c>
      <c r="H300" s="11" t="s">
        <v>843</v>
      </c>
      <c r="I300" s="7" t="s">
        <v>28</v>
      </c>
      <c r="J300" s="7" t="s">
        <v>28</v>
      </c>
      <c r="K300" s="12" t="s">
        <v>38</v>
      </c>
      <c r="L300" s="7" t="s">
        <v>28</v>
      </c>
      <c r="M300" s="7" t="s">
        <v>28</v>
      </c>
      <c r="N300" s="14">
        <v>0</v>
      </c>
      <c r="O300" s="10" t="s">
        <v>28</v>
      </c>
      <c r="P300" s="14">
        <v>28884000000</v>
      </c>
      <c r="Q300" s="10">
        <v>42067</v>
      </c>
      <c r="R300" s="14">
        <v>46517000000</v>
      </c>
      <c r="S300" s="10">
        <v>44224</v>
      </c>
      <c r="T300" s="14">
        <v>0</v>
      </c>
      <c r="U300" s="10" t="s">
        <v>28</v>
      </c>
      <c r="V300" s="15" t="s">
        <v>876</v>
      </c>
      <c r="W300" s="15" t="s">
        <v>885</v>
      </c>
      <c r="X300" s="21" t="s">
        <v>68</v>
      </c>
      <c r="Y300" s="67" t="s">
        <v>68</v>
      </c>
      <c r="Z300" s="33" t="s">
        <v>887</v>
      </c>
    </row>
    <row r="301" spans="1:26">
      <c r="A301" s="31">
        <v>298</v>
      </c>
      <c r="B301" s="8" t="s">
        <v>837</v>
      </c>
      <c r="C301" s="8" t="s">
        <v>838</v>
      </c>
      <c r="D301" s="8" t="s">
        <v>841</v>
      </c>
      <c r="E301" s="7" t="s">
        <v>28</v>
      </c>
      <c r="F301" s="7" t="s">
        <v>28</v>
      </c>
      <c r="G301" s="11" t="s">
        <v>844</v>
      </c>
      <c r="H301" s="11" t="s">
        <v>844</v>
      </c>
      <c r="I301" s="7" t="s">
        <v>28</v>
      </c>
      <c r="J301" s="7" t="s">
        <v>28</v>
      </c>
      <c r="K301" s="12" t="s">
        <v>38</v>
      </c>
      <c r="L301" s="7" t="s">
        <v>28</v>
      </c>
      <c r="M301" s="7" t="s">
        <v>28</v>
      </c>
      <c r="N301" s="9">
        <v>0</v>
      </c>
      <c r="O301" s="10" t="s">
        <v>28</v>
      </c>
      <c r="P301" s="9">
        <v>13180200000.000002</v>
      </c>
      <c r="Q301" s="10">
        <v>40149</v>
      </c>
      <c r="R301" s="45">
        <v>0</v>
      </c>
      <c r="S301" s="46" t="s">
        <v>28</v>
      </c>
      <c r="T301" s="9">
        <v>26692000000</v>
      </c>
      <c r="U301" s="10">
        <v>45351</v>
      </c>
      <c r="V301" s="15" t="s">
        <v>876</v>
      </c>
      <c r="W301" s="15" t="s">
        <v>885</v>
      </c>
      <c r="X301" s="21" t="s">
        <v>68</v>
      </c>
      <c r="Y301" s="67" t="s">
        <v>68</v>
      </c>
      <c r="Z301" s="33" t="s">
        <v>887</v>
      </c>
    </row>
    <row r="302" spans="1:26">
      <c r="A302" s="31">
        <v>299</v>
      </c>
      <c r="B302" s="8" t="s">
        <v>837</v>
      </c>
      <c r="C302" s="8" t="s">
        <v>845</v>
      </c>
      <c r="D302" s="8" t="s">
        <v>846</v>
      </c>
      <c r="E302" s="7" t="s">
        <v>28</v>
      </c>
      <c r="F302" s="7" t="s">
        <v>28</v>
      </c>
      <c r="G302" s="11" t="s">
        <v>846</v>
      </c>
      <c r="H302" s="11" t="s">
        <v>846</v>
      </c>
      <c r="I302" s="7" t="s">
        <v>28</v>
      </c>
      <c r="J302" s="7" t="s">
        <v>28</v>
      </c>
      <c r="K302" s="12" t="s">
        <v>28</v>
      </c>
      <c r="L302" s="7" t="s">
        <v>28</v>
      </c>
      <c r="M302" s="7" t="s">
        <v>28</v>
      </c>
      <c r="N302" s="14">
        <v>0</v>
      </c>
      <c r="O302" s="10" t="s">
        <v>28</v>
      </c>
      <c r="P302" s="14">
        <v>0</v>
      </c>
      <c r="Q302" s="10" t="s">
        <v>28</v>
      </c>
      <c r="R302" s="49">
        <v>0</v>
      </c>
      <c r="S302" s="46" t="s">
        <v>28</v>
      </c>
      <c r="T302" s="14">
        <v>0</v>
      </c>
      <c r="U302" s="10" t="s">
        <v>28</v>
      </c>
      <c r="V302" s="15" t="s">
        <v>68</v>
      </c>
      <c r="W302" s="15" t="s">
        <v>68</v>
      </c>
      <c r="X302" s="21" t="s">
        <v>68</v>
      </c>
      <c r="Y302" s="67" t="s">
        <v>68</v>
      </c>
      <c r="Z302" s="33" t="s">
        <v>887</v>
      </c>
    </row>
    <row r="303" spans="1:26">
      <c r="A303" s="31">
        <v>300</v>
      </c>
      <c r="B303" s="8" t="s">
        <v>837</v>
      </c>
      <c r="C303" s="8" t="s">
        <v>845</v>
      </c>
      <c r="D303" s="8" t="s">
        <v>847</v>
      </c>
      <c r="E303" s="7" t="s">
        <v>28</v>
      </c>
      <c r="F303" s="7" t="s">
        <v>28</v>
      </c>
      <c r="G303" s="11" t="s">
        <v>847</v>
      </c>
      <c r="H303" s="11" t="s">
        <v>847</v>
      </c>
      <c r="I303" s="7" t="s">
        <v>28</v>
      </c>
      <c r="J303" s="7" t="s">
        <v>28</v>
      </c>
      <c r="K303" s="12" t="s">
        <v>28</v>
      </c>
      <c r="L303" s="7" t="s">
        <v>28</v>
      </c>
      <c r="M303" s="7" t="s">
        <v>28</v>
      </c>
      <c r="N303" s="14">
        <v>0</v>
      </c>
      <c r="O303" s="10" t="s">
        <v>28</v>
      </c>
      <c r="P303" s="14">
        <v>0</v>
      </c>
      <c r="Q303" s="10" t="s">
        <v>28</v>
      </c>
      <c r="R303" s="49">
        <v>0</v>
      </c>
      <c r="S303" s="46" t="s">
        <v>28</v>
      </c>
      <c r="T303" s="14">
        <v>0</v>
      </c>
      <c r="U303" s="10" t="s">
        <v>28</v>
      </c>
      <c r="V303" s="15" t="s">
        <v>68</v>
      </c>
      <c r="W303" s="15" t="s">
        <v>68</v>
      </c>
      <c r="X303" s="21" t="s">
        <v>68</v>
      </c>
      <c r="Y303" s="67" t="s">
        <v>68</v>
      </c>
      <c r="Z303" s="33" t="s">
        <v>887</v>
      </c>
    </row>
    <row r="304" spans="1:26" ht="18" thickBot="1">
      <c r="A304" s="50">
        <v>301</v>
      </c>
      <c r="B304" s="51" t="s">
        <v>837</v>
      </c>
      <c r="C304" s="51" t="s">
        <v>845</v>
      </c>
      <c r="D304" s="51" t="s">
        <v>848</v>
      </c>
      <c r="E304" s="52" t="s">
        <v>28</v>
      </c>
      <c r="F304" s="52" t="s">
        <v>28</v>
      </c>
      <c r="G304" s="53" t="s">
        <v>848</v>
      </c>
      <c r="H304" s="53" t="s">
        <v>848</v>
      </c>
      <c r="I304" s="52" t="s">
        <v>28</v>
      </c>
      <c r="J304" s="52" t="s">
        <v>28</v>
      </c>
      <c r="K304" s="54" t="s">
        <v>28</v>
      </c>
      <c r="L304" s="52" t="s">
        <v>28</v>
      </c>
      <c r="M304" s="52" t="s">
        <v>28</v>
      </c>
      <c r="N304" s="55">
        <v>0</v>
      </c>
      <c r="O304" s="56" t="s">
        <v>28</v>
      </c>
      <c r="P304" s="55">
        <v>0</v>
      </c>
      <c r="Q304" s="56" t="s">
        <v>28</v>
      </c>
      <c r="R304" s="57">
        <v>0</v>
      </c>
      <c r="S304" s="58" t="s">
        <v>28</v>
      </c>
      <c r="T304" s="55">
        <v>0</v>
      </c>
      <c r="U304" s="56" t="s">
        <v>28</v>
      </c>
      <c r="V304" s="59" t="s">
        <v>68</v>
      </c>
      <c r="W304" s="59" t="s">
        <v>68</v>
      </c>
      <c r="X304" s="60" t="s">
        <v>68</v>
      </c>
      <c r="Y304" s="68" t="s">
        <v>68</v>
      </c>
      <c r="Z304" s="61" t="s">
        <v>887</v>
      </c>
    </row>
    <row r="305" spans="1:25">
      <c r="A305" s="31"/>
      <c r="B305" s="8"/>
      <c r="C305" s="8"/>
      <c r="D305" s="8"/>
      <c r="E305" s="8"/>
      <c r="F305" s="7"/>
      <c r="G305" s="7"/>
      <c r="H305" s="11"/>
      <c r="I305" s="11"/>
      <c r="J305" s="7"/>
      <c r="K305" s="7"/>
      <c r="L305" s="12"/>
      <c r="M305" s="7"/>
      <c r="N305" s="7"/>
      <c r="O305" s="14">
        <v>2</v>
      </c>
      <c r="P305" s="10"/>
      <c r="Q305" s="14"/>
      <c r="R305" s="10"/>
      <c r="S305" s="14"/>
      <c r="T305" s="10"/>
      <c r="U305" s="14"/>
      <c r="V305" s="10"/>
      <c r="W305" s="15"/>
      <c r="X305" s="15"/>
      <c r="Y305" s="21"/>
    </row>
  </sheetData>
  <phoneticPr fontId="2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62BD9-8ACE-3043-9AB1-195D8C9BD0F2}">
  <dimension ref="A1:C17"/>
  <sheetViews>
    <sheetView workbookViewId="0"/>
  </sheetViews>
  <sheetFormatPr defaultColWidth="11.5546875" defaultRowHeight="17.25"/>
  <cols>
    <col min="2" max="3" width="19.33203125" customWidth="1"/>
  </cols>
  <sheetData>
    <row r="1" spans="1:3">
      <c r="A1" t="s">
        <v>901</v>
      </c>
      <c r="B1" t="s">
        <v>919</v>
      </c>
      <c r="C1" t="s">
        <v>918</v>
      </c>
    </row>
    <row r="2" spans="1:3">
      <c r="A2" t="s">
        <v>902</v>
      </c>
      <c r="B2">
        <v>1.8194444444444444</v>
      </c>
      <c r="C2">
        <v>2.585660070479805</v>
      </c>
    </row>
    <row r="3" spans="1:3">
      <c r="A3" t="s">
        <v>903</v>
      </c>
      <c r="B3">
        <v>0.40277777777777779</v>
      </c>
      <c r="C3">
        <v>0.41090629800307216</v>
      </c>
    </row>
    <row r="4" spans="1:3">
      <c r="A4" t="s">
        <v>904</v>
      </c>
      <c r="B4">
        <v>1.7777777777777777</v>
      </c>
      <c r="C4">
        <v>1.8644167344357097</v>
      </c>
    </row>
    <row r="5" spans="1:3">
      <c r="A5" t="s">
        <v>905</v>
      </c>
      <c r="B5">
        <v>1.7638888888888888</v>
      </c>
      <c r="C5">
        <v>1.7154151983373995</v>
      </c>
    </row>
    <row r="6" spans="1:3">
      <c r="A6" t="s">
        <v>906</v>
      </c>
      <c r="B6">
        <v>1.4861111111111112</v>
      </c>
      <c r="C6">
        <v>2.0210535827234115</v>
      </c>
    </row>
    <row r="7" spans="1:3">
      <c r="A7" t="s">
        <v>907</v>
      </c>
      <c r="B7">
        <v>1.4722222222222223</v>
      </c>
      <c r="C7">
        <v>1.445920303605313</v>
      </c>
    </row>
    <row r="8" spans="1:3">
      <c r="A8" t="s">
        <v>908</v>
      </c>
      <c r="B8">
        <v>0.22222222222222221</v>
      </c>
      <c r="C8">
        <v>0.3184241438510888</v>
      </c>
    </row>
    <row r="9" spans="1:3">
      <c r="A9" t="s">
        <v>909</v>
      </c>
      <c r="B9">
        <v>1.4444444444444444</v>
      </c>
      <c r="C9">
        <v>1.3399746995572421</v>
      </c>
    </row>
    <row r="10" spans="1:3">
      <c r="A10" t="s">
        <v>910</v>
      </c>
      <c r="B10">
        <v>1.47</v>
      </c>
      <c r="C10">
        <v>1.5</v>
      </c>
    </row>
    <row r="11" spans="1:3">
      <c r="A11" t="s">
        <v>911</v>
      </c>
      <c r="B11">
        <v>1.7222222222222223</v>
      </c>
      <c r="C11">
        <v>1.3837083220384927</v>
      </c>
    </row>
    <row r="12" spans="1:3">
      <c r="A12" t="s">
        <v>912</v>
      </c>
      <c r="B12">
        <v>1</v>
      </c>
      <c r="C12">
        <v>1</v>
      </c>
    </row>
    <row r="13" spans="1:3">
      <c r="A13" t="s">
        <v>913</v>
      </c>
      <c r="B13">
        <v>1.3888888888888888</v>
      </c>
      <c r="C13">
        <v>1.3628806361254178</v>
      </c>
    </row>
    <row r="14" spans="1:3">
      <c r="A14" t="s">
        <v>914</v>
      </c>
      <c r="B14">
        <v>0.61111111111111116</v>
      </c>
      <c r="C14">
        <v>0.45179362067407608</v>
      </c>
    </row>
    <row r="15" spans="1:3">
      <c r="A15" t="s">
        <v>915</v>
      </c>
      <c r="B15">
        <v>0.95833333333333337</v>
      </c>
      <c r="C15">
        <v>0.99643083039667479</v>
      </c>
    </row>
    <row r="16" spans="1:3">
      <c r="A16" t="s">
        <v>916</v>
      </c>
      <c r="B16">
        <v>0.43055555555555558</v>
      </c>
      <c r="C16">
        <v>0</v>
      </c>
    </row>
    <row r="17" spans="1:3">
      <c r="A17" t="s">
        <v>917</v>
      </c>
      <c r="B17">
        <v>1.47</v>
      </c>
      <c r="C17">
        <v>1.5013540900231057</v>
      </c>
    </row>
  </sheetData>
  <phoneticPr fontId="2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18C85-9730-FF47-910A-E2E09EAF3EF3}">
  <dimension ref="A1:B27"/>
  <sheetViews>
    <sheetView workbookViewId="0">
      <selection activeCell="E8" sqref="E8"/>
    </sheetView>
  </sheetViews>
  <sheetFormatPr defaultColWidth="11.5546875" defaultRowHeight="17.25"/>
  <sheetData>
    <row r="1" spans="1:2">
      <c r="A1" s="6" t="s">
        <v>2</v>
      </c>
      <c r="B1" s="6" t="s">
        <v>3</v>
      </c>
    </row>
    <row r="2" spans="1:2">
      <c r="A2">
        <v>2000</v>
      </c>
      <c r="B2">
        <v>0.53964274522093381</v>
      </c>
    </row>
    <row r="3" spans="1:2">
      <c r="A3">
        <v>2001</v>
      </c>
      <c r="B3">
        <v>0.55499843309307417</v>
      </c>
    </row>
    <row r="4" spans="1:2">
      <c r="A4">
        <v>2002</v>
      </c>
      <c r="B4">
        <v>0.56377311187715451</v>
      </c>
    </row>
    <row r="5" spans="1:2">
      <c r="A5">
        <v>2003</v>
      </c>
      <c r="B5">
        <v>0.5766217486681291</v>
      </c>
    </row>
    <row r="6" spans="1:2">
      <c r="A6">
        <v>2004</v>
      </c>
      <c r="B6">
        <v>0.59197743654026946</v>
      </c>
    </row>
    <row r="7" spans="1:2">
      <c r="A7">
        <v>2005</v>
      </c>
      <c r="B7">
        <v>0.61203384518959569</v>
      </c>
    </row>
    <row r="8" spans="1:2">
      <c r="A8">
        <v>2006</v>
      </c>
      <c r="B8">
        <v>0.63177687245377623</v>
      </c>
    </row>
    <row r="9" spans="1:2">
      <c r="A9">
        <v>2007</v>
      </c>
      <c r="B9">
        <v>0.64963961140708237</v>
      </c>
    </row>
    <row r="10" spans="1:2">
      <c r="A10">
        <v>2008</v>
      </c>
      <c r="B10">
        <v>0.67471012221874016</v>
      </c>
    </row>
    <row r="11" spans="1:2">
      <c r="A11">
        <v>2009</v>
      </c>
      <c r="B11">
        <v>0.67220307113757438</v>
      </c>
    </row>
    <row r="12" spans="1:2">
      <c r="A12">
        <v>2010</v>
      </c>
      <c r="B12">
        <v>0.68348480100282039</v>
      </c>
    </row>
    <row r="13" spans="1:2">
      <c r="A13">
        <v>2011</v>
      </c>
      <c r="B13">
        <v>0.7047947351927295</v>
      </c>
    </row>
    <row r="14" spans="1:2">
      <c r="A14">
        <v>2012</v>
      </c>
      <c r="B14">
        <v>0.71952366029457848</v>
      </c>
    </row>
    <row r="15" spans="1:2">
      <c r="A15">
        <v>2013</v>
      </c>
      <c r="B15">
        <v>0.73017862738953299</v>
      </c>
    </row>
    <row r="16" spans="1:2">
      <c r="A16">
        <v>2014</v>
      </c>
      <c r="B16">
        <v>0.74177373863992468</v>
      </c>
    </row>
    <row r="17" spans="1:2">
      <c r="A17">
        <v>2015</v>
      </c>
      <c r="B17">
        <v>0.74271388279536188</v>
      </c>
    </row>
    <row r="18" spans="1:2">
      <c r="A18">
        <v>2016</v>
      </c>
      <c r="B18">
        <v>0.7521153243497336</v>
      </c>
    </row>
    <row r="19" spans="1:2">
      <c r="A19">
        <v>2017</v>
      </c>
      <c r="B19">
        <v>0.76809777499216536</v>
      </c>
    </row>
    <row r="20" spans="1:2">
      <c r="A20">
        <v>2018</v>
      </c>
      <c r="B20">
        <v>0.7869006581009087</v>
      </c>
    </row>
    <row r="21" spans="1:2">
      <c r="A21">
        <v>2019</v>
      </c>
      <c r="B21">
        <v>0.80131620181761198</v>
      </c>
    </row>
    <row r="22" spans="1:2">
      <c r="A22">
        <v>2020</v>
      </c>
      <c r="B22">
        <v>0.8110310247571294</v>
      </c>
    </row>
    <row r="23" spans="1:2">
      <c r="A23">
        <v>2021</v>
      </c>
      <c r="B23">
        <v>0.84895017235976167</v>
      </c>
    </row>
    <row r="24" spans="1:2">
      <c r="A24">
        <v>2022</v>
      </c>
      <c r="B24">
        <v>0.91726731432152919</v>
      </c>
    </row>
    <row r="25" spans="1:2">
      <c r="A25">
        <v>2023</v>
      </c>
      <c r="B25">
        <v>0.96960200564086474</v>
      </c>
    </row>
    <row r="26" spans="1:2">
      <c r="A26">
        <v>2024</v>
      </c>
      <c r="B26">
        <v>0.98903165151989969</v>
      </c>
    </row>
    <row r="27" spans="1:2">
      <c r="A27">
        <v>2025</v>
      </c>
      <c r="B27">
        <v>1</v>
      </c>
    </row>
  </sheetData>
  <phoneticPr fontId="2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DD66B-1E16-A144-BB46-57BC15EBB617}">
  <dimension ref="A1:B6544"/>
  <sheetViews>
    <sheetView workbookViewId="0">
      <selection activeCell="H9" sqref="H9"/>
    </sheetView>
  </sheetViews>
  <sheetFormatPr defaultColWidth="11.5546875" defaultRowHeight="17.25"/>
  <cols>
    <col min="1" max="1" width="10.77734375" style="3"/>
    <col min="2" max="2" width="10.77734375" style="5"/>
  </cols>
  <sheetData>
    <row r="1" spans="1:2">
      <c r="A1" s="1" t="s">
        <v>0</v>
      </c>
      <c r="B1" s="2" t="s">
        <v>1</v>
      </c>
    </row>
    <row r="2" spans="1:2">
      <c r="A2" s="3">
        <v>36592</v>
      </c>
      <c r="B2" s="4">
        <v>1118.5</v>
      </c>
    </row>
    <row r="3" spans="1:2">
      <c r="A3" s="3">
        <v>36593</v>
      </c>
      <c r="B3" s="4">
        <v>1119</v>
      </c>
    </row>
    <row r="4" spans="1:2">
      <c r="A4" s="3">
        <v>36594</v>
      </c>
      <c r="B4" s="4">
        <v>1122</v>
      </c>
    </row>
    <row r="5" spans="1:2">
      <c r="A5" s="3">
        <v>36595</v>
      </c>
      <c r="B5" s="4">
        <v>1119</v>
      </c>
    </row>
    <row r="6" spans="1:2">
      <c r="A6" s="3">
        <v>36598</v>
      </c>
      <c r="B6" s="4">
        <v>1120</v>
      </c>
    </row>
    <row r="7" spans="1:2">
      <c r="A7" s="3">
        <v>36599</v>
      </c>
      <c r="B7" s="4">
        <v>1118.2</v>
      </c>
    </row>
    <row r="8" spans="1:2">
      <c r="A8" s="3">
        <v>36600</v>
      </c>
      <c r="B8" s="4">
        <v>1118.2</v>
      </c>
    </row>
    <row r="9" spans="1:2">
      <c r="A9" s="3">
        <v>36601</v>
      </c>
      <c r="B9" s="4">
        <v>1117</v>
      </c>
    </row>
    <row r="10" spans="1:2">
      <c r="A10" s="3">
        <v>36602</v>
      </c>
      <c r="B10" s="4">
        <v>1117.2</v>
      </c>
    </row>
    <row r="11" spans="1:2">
      <c r="A11" s="3">
        <v>36605</v>
      </c>
      <c r="B11" s="4">
        <v>1117.9000000000001</v>
      </c>
    </row>
    <row r="12" spans="1:2">
      <c r="A12" s="3">
        <v>36606</v>
      </c>
      <c r="B12" s="4">
        <v>1116</v>
      </c>
    </row>
    <row r="13" spans="1:2">
      <c r="A13" s="3">
        <v>36607</v>
      </c>
      <c r="B13" s="4">
        <v>1112.5</v>
      </c>
    </row>
    <row r="14" spans="1:2">
      <c r="A14" s="3">
        <v>36608</v>
      </c>
      <c r="B14" s="4">
        <v>1109.5</v>
      </c>
    </row>
    <row r="15" spans="1:2">
      <c r="A15" s="3">
        <v>36609</v>
      </c>
      <c r="B15" s="4">
        <v>1108</v>
      </c>
    </row>
    <row r="16" spans="1:2">
      <c r="A16" s="3">
        <v>36612</v>
      </c>
      <c r="B16" s="4">
        <v>1112</v>
      </c>
    </row>
    <row r="17" spans="1:2">
      <c r="A17" s="3">
        <v>36613</v>
      </c>
      <c r="B17" s="4">
        <v>1112</v>
      </c>
    </row>
    <row r="18" spans="1:2">
      <c r="A18" s="3">
        <v>36614</v>
      </c>
      <c r="B18" s="4">
        <v>1109.0999999999999</v>
      </c>
    </row>
    <row r="19" spans="1:2">
      <c r="A19" s="3">
        <v>36615</v>
      </c>
      <c r="B19" s="4">
        <v>1107</v>
      </c>
    </row>
    <row r="20" spans="1:2">
      <c r="A20" s="3">
        <v>36616</v>
      </c>
      <c r="B20" s="4">
        <v>1105</v>
      </c>
    </row>
    <row r="21" spans="1:2">
      <c r="A21" s="3">
        <v>36619</v>
      </c>
      <c r="B21" s="4">
        <v>1112.2</v>
      </c>
    </row>
    <row r="22" spans="1:2">
      <c r="A22" s="3">
        <v>36620</v>
      </c>
      <c r="B22" s="4">
        <v>1113</v>
      </c>
    </row>
    <row r="23" spans="1:2">
      <c r="A23" s="3">
        <v>36621</v>
      </c>
      <c r="B23" s="4">
        <v>1114.5</v>
      </c>
    </row>
    <row r="24" spans="1:2">
      <c r="A24" s="3">
        <v>36622</v>
      </c>
      <c r="B24" s="4">
        <v>1111</v>
      </c>
    </row>
    <row r="25" spans="1:2">
      <c r="A25" s="3">
        <v>36623</v>
      </c>
      <c r="B25" s="4">
        <v>1107</v>
      </c>
    </row>
    <row r="26" spans="1:2">
      <c r="A26" s="3">
        <v>36626</v>
      </c>
      <c r="B26" s="4">
        <v>1109.5</v>
      </c>
    </row>
    <row r="27" spans="1:2">
      <c r="A27" s="3">
        <v>36627</v>
      </c>
      <c r="B27" s="4">
        <v>1109.5</v>
      </c>
    </row>
    <row r="28" spans="1:2">
      <c r="A28" s="3">
        <v>36628</v>
      </c>
      <c r="B28" s="4">
        <v>1108</v>
      </c>
    </row>
    <row r="29" spans="1:2">
      <c r="A29" s="3">
        <v>36629</v>
      </c>
      <c r="B29" s="4">
        <v>1106</v>
      </c>
    </row>
    <row r="30" spans="1:2">
      <c r="A30" s="3">
        <v>36630</v>
      </c>
      <c r="B30" s="4">
        <v>1111</v>
      </c>
    </row>
    <row r="31" spans="1:2">
      <c r="A31" s="3">
        <v>36633</v>
      </c>
      <c r="B31" s="4">
        <v>1113</v>
      </c>
    </row>
    <row r="32" spans="1:2">
      <c r="A32" s="3">
        <v>36634</v>
      </c>
      <c r="B32" s="4">
        <v>1110</v>
      </c>
    </row>
    <row r="33" spans="1:2">
      <c r="A33" s="3">
        <v>36635</v>
      </c>
      <c r="B33" s="4">
        <v>1109.3</v>
      </c>
    </row>
    <row r="34" spans="1:2">
      <c r="A34" s="3">
        <v>36636</v>
      </c>
      <c r="B34" s="4">
        <v>1108.9000000000001</v>
      </c>
    </row>
    <row r="35" spans="1:2">
      <c r="A35" s="3">
        <v>36637</v>
      </c>
      <c r="B35" s="4">
        <v>1108.4000000000001</v>
      </c>
    </row>
    <row r="36" spans="1:2">
      <c r="A36" s="3">
        <v>36640</v>
      </c>
      <c r="B36" s="4">
        <v>1108.7</v>
      </c>
    </row>
    <row r="37" spans="1:2">
      <c r="A37" s="3">
        <v>36641</v>
      </c>
      <c r="B37" s="4">
        <v>1108</v>
      </c>
    </row>
    <row r="38" spans="1:2">
      <c r="A38" s="3">
        <v>36642</v>
      </c>
      <c r="B38" s="4">
        <v>1108</v>
      </c>
    </row>
    <row r="39" spans="1:2">
      <c r="A39" s="3">
        <v>36643</v>
      </c>
      <c r="B39" s="4">
        <v>1110</v>
      </c>
    </row>
    <row r="40" spans="1:2">
      <c r="A40" s="3">
        <v>36644</v>
      </c>
      <c r="B40" s="4">
        <v>1109.5</v>
      </c>
    </row>
    <row r="41" spans="1:2">
      <c r="A41" s="3">
        <v>36647</v>
      </c>
      <c r="B41" s="4">
        <v>1109</v>
      </c>
    </row>
    <row r="42" spans="1:2">
      <c r="A42" s="3">
        <v>36648</v>
      </c>
      <c r="B42" s="4">
        <v>1109.5</v>
      </c>
    </row>
    <row r="43" spans="1:2">
      <c r="A43" s="3">
        <v>36649</v>
      </c>
      <c r="B43" s="4">
        <v>1109.8</v>
      </c>
    </row>
    <row r="44" spans="1:2">
      <c r="A44" s="3">
        <v>36650</v>
      </c>
      <c r="B44" s="4">
        <v>1111</v>
      </c>
    </row>
    <row r="45" spans="1:2">
      <c r="A45" s="3">
        <v>36651</v>
      </c>
      <c r="B45" s="4">
        <v>1111</v>
      </c>
    </row>
    <row r="46" spans="1:2">
      <c r="A46" s="3">
        <v>36654</v>
      </c>
      <c r="B46" s="4">
        <v>1109.5999999999999</v>
      </c>
    </row>
    <row r="47" spans="1:2">
      <c r="A47" s="3">
        <v>36655</v>
      </c>
      <c r="B47" s="4">
        <v>1109</v>
      </c>
    </row>
    <row r="48" spans="1:2">
      <c r="A48" s="3">
        <v>36656</v>
      </c>
      <c r="B48" s="4">
        <v>1109</v>
      </c>
    </row>
    <row r="49" spans="1:2">
      <c r="A49" s="3">
        <v>36657</v>
      </c>
      <c r="B49" s="4">
        <v>1112</v>
      </c>
    </row>
    <row r="50" spans="1:2">
      <c r="A50" s="3">
        <v>36658</v>
      </c>
      <c r="B50" s="4">
        <v>1113</v>
      </c>
    </row>
    <row r="51" spans="1:2">
      <c r="A51" s="3">
        <v>36661</v>
      </c>
      <c r="B51" s="4">
        <v>1114</v>
      </c>
    </row>
    <row r="52" spans="1:2">
      <c r="A52" s="3">
        <v>36662</v>
      </c>
      <c r="B52" s="4">
        <v>1114</v>
      </c>
    </row>
    <row r="53" spans="1:2">
      <c r="A53" s="3">
        <v>36663</v>
      </c>
      <c r="B53" s="4">
        <v>1115</v>
      </c>
    </row>
    <row r="54" spans="1:2">
      <c r="A54" s="3">
        <v>36664</v>
      </c>
      <c r="B54" s="4">
        <v>1118</v>
      </c>
    </row>
    <row r="55" spans="1:2">
      <c r="A55" s="3">
        <v>36665</v>
      </c>
      <c r="B55" s="4">
        <v>1121</v>
      </c>
    </row>
    <row r="56" spans="1:2">
      <c r="A56" s="3">
        <v>36668</v>
      </c>
      <c r="B56" s="4">
        <v>1130.5</v>
      </c>
    </row>
    <row r="57" spans="1:2">
      <c r="A57" s="3">
        <v>36669</v>
      </c>
      <c r="B57" s="4">
        <v>1133</v>
      </c>
    </row>
    <row r="58" spans="1:2">
      <c r="A58" s="3">
        <v>36670</v>
      </c>
      <c r="B58" s="4">
        <v>1132.5</v>
      </c>
    </row>
    <row r="59" spans="1:2">
      <c r="A59" s="3">
        <v>36671</v>
      </c>
      <c r="B59" s="4">
        <v>1129.8</v>
      </c>
    </row>
    <row r="60" spans="1:2">
      <c r="A60" s="3">
        <v>36672</v>
      </c>
      <c r="B60" s="4">
        <v>1134</v>
      </c>
    </row>
    <row r="61" spans="1:2">
      <c r="A61" s="3">
        <v>36675</v>
      </c>
      <c r="B61" s="4">
        <v>1137.2</v>
      </c>
    </row>
    <row r="62" spans="1:2">
      <c r="A62" s="3">
        <v>36676</v>
      </c>
      <c r="B62" s="4">
        <v>1136</v>
      </c>
    </row>
    <row r="63" spans="1:2">
      <c r="A63" s="3">
        <v>36677</v>
      </c>
      <c r="B63" s="4">
        <v>1129</v>
      </c>
    </row>
    <row r="64" spans="1:2">
      <c r="A64" s="3">
        <v>36678</v>
      </c>
      <c r="B64" s="4">
        <v>1132</v>
      </c>
    </row>
    <row r="65" spans="1:2">
      <c r="A65" s="3">
        <v>36679</v>
      </c>
      <c r="B65" s="4">
        <v>1125</v>
      </c>
    </row>
    <row r="66" spans="1:2">
      <c r="A66" s="3">
        <v>36682</v>
      </c>
      <c r="B66" s="4">
        <v>1117</v>
      </c>
    </row>
    <row r="67" spans="1:2">
      <c r="A67" s="3">
        <v>36683</v>
      </c>
      <c r="B67" s="4">
        <v>1116</v>
      </c>
    </row>
    <row r="68" spans="1:2">
      <c r="A68" s="3">
        <v>36684</v>
      </c>
      <c r="B68" s="4">
        <v>1113.0999999999999</v>
      </c>
    </row>
    <row r="69" spans="1:2">
      <c r="A69" s="3">
        <v>36685</v>
      </c>
      <c r="B69" s="4">
        <v>1115</v>
      </c>
    </row>
    <row r="70" spans="1:2">
      <c r="A70" s="3">
        <v>36686</v>
      </c>
      <c r="B70" s="4">
        <v>1114.5</v>
      </c>
    </row>
    <row r="71" spans="1:2">
      <c r="A71" s="3">
        <v>36689</v>
      </c>
      <c r="B71" s="4">
        <v>1113.3</v>
      </c>
    </row>
    <row r="72" spans="1:2">
      <c r="A72" s="3">
        <v>36690</v>
      </c>
      <c r="B72" s="4">
        <v>1113.9000000000001</v>
      </c>
    </row>
    <row r="73" spans="1:2">
      <c r="A73" s="3">
        <v>36691</v>
      </c>
      <c r="B73" s="4">
        <v>1114</v>
      </c>
    </row>
    <row r="74" spans="1:2">
      <c r="A74" s="3">
        <v>36692</v>
      </c>
      <c r="B74" s="4">
        <v>1114.5</v>
      </c>
    </row>
    <row r="75" spans="1:2">
      <c r="A75" s="3">
        <v>36693</v>
      </c>
      <c r="B75" s="4">
        <v>1116.2</v>
      </c>
    </row>
    <row r="76" spans="1:2">
      <c r="A76" s="3">
        <v>36696</v>
      </c>
      <c r="B76" s="4">
        <v>1121.8</v>
      </c>
    </row>
    <row r="77" spans="1:2">
      <c r="A77" s="3">
        <v>36697</v>
      </c>
      <c r="B77" s="4">
        <v>1119</v>
      </c>
    </row>
    <row r="78" spans="1:2">
      <c r="A78" s="3">
        <v>36698</v>
      </c>
      <c r="B78" s="4">
        <v>1119.2</v>
      </c>
    </row>
    <row r="79" spans="1:2">
      <c r="A79" s="3">
        <v>36699</v>
      </c>
      <c r="B79" s="4">
        <v>1118.7</v>
      </c>
    </row>
    <row r="80" spans="1:2">
      <c r="A80" s="3">
        <v>36700</v>
      </c>
      <c r="B80" s="4">
        <v>1119</v>
      </c>
    </row>
    <row r="81" spans="1:2">
      <c r="A81" s="3">
        <v>36703</v>
      </c>
      <c r="B81" s="4">
        <v>1118</v>
      </c>
    </row>
    <row r="82" spans="1:2">
      <c r="A82" s="3">
        <v>36704</v>
      </c>
      <c r="B82" s="4">
        <v>1118.0999999999999</v>
      </c>
    </row>
    <row r="83" spans="1:2">
      <c r="A83" s="3">
        <v>36705</v>
      </c>
      <c r="B83" s="4">
        <v>1116</v>
      </c>
    </row>
    <row r="84" spans="1:2">
      <c r="A84" s="3">
        <v>36706</v>
      </c>
      <c r="B84" s="4">
        <v>1114.5</v>
      </c>
    </row>
    <row r="85" spans="1:2">
      <c r="A85" s="3">
        <v>36707</v>
      </c>
      <c r="B85" s="4">
        <v>1114.9000000000001</v>
      </c>
    </row>
    <row r="86" spans="1:2">
      <c r="A86" s="3">
        <v>36710</v>
      </c>
      <c r="B86" s="4">
        <v>1113.7</v>
      </c>
    </row>
    <row r="87" spans="1:2">
      <c r="A87" s="3">
        <v>36711</v>
      </c>
      <c r="B87" s="4">
        <v>1115.2</v>
      </c>
    </row>
    <row r="88" spans="1:2">
      <c r="A88" s="3">
        <v>36712</v>
      </c>
      <c r="B88" s="4">
        <v>1116.5</v>
      </c>
    </row>
    <row r="89" spans="1:2">
      <c r="A89" s="3">
        <v>36713</v>
      </c>
      <c r="B89" s="4">
        <v>1116.5</v>
      </c>
    </row>
    <row r="90" spans="1:2">
      <c r="A90" s="3">
        <v>36714</v>
      </c>
      <c r="B90" s="4">
        <v>1118</v>
      </c>
    </row>
    <row r="91" spans="1:2">
      <c r="A91" s="3">
        <v>36717</v>
      </c>
      <c r="B91" s="4">
        <v>1118</v>
      </c>
    </row>
    <row r="92" spans="1:2">
      <c r="A92" s="3">
        <v>36718</v>
      </c>
      <c r="B92" s="4">
        <v>1116</v>
      </c>
    </row>
    <row r="93" spans="1:2">
      <c r="A93" s="3">
        <v>36719</v>
      </c>
      <c r="B93" s="4">
        <v>1115</v>
      </c>
    </row>
    <row r="94" spans="1:2">
      <c r="A94" s="3">
        <v>36720</v>
      </c>
      <c r="B94" s="4">
        <v>1109.8</v>
      </c>
    </row>
    <row r="95" spans="1:2">
      <c r="A95" s="3">
        <v>36721</v>
      </c>
      <c r="B95" s="4">
        <v>1112.5999999999999</v>
      </c>
    </row>
    <row r="96" spans="1:2">
      <c r="A96" s="3">
        <v>36724</v>
      </c>
      <c r="B96" s="4">
        <v>1112.5999999999999</v>
      </c>
    </row>
    <row r="97" spans="1:2">
      <c r="A97" s="3">
        <v>36725</v>
      </c>
      <c r="B97" s="4">
        <v>1113.5</v>
      </c>
    </row>
    <row r="98" spans="1:2">
      <c r="A98" s="3">
        <v>36726</v>
      </c>
      <c r="B98" s="4">
        <v>1112.0999999999999</v>
      </c>
    </row>
    <row r="99" spans="1:2">
      <c r="A99" s="3">
        <v>36727</v>
      </c>
      <c r="B99" s="4">
        <v>1111.5</v>
      </c>
    </row>
    <row r="100" spans="1:2">
      <c r="A100" s="3">
        <v>36728</v>
      </c>
      <c r="B100" s="4">
        <v>1112.5999999999999</v>
      </c>
    </row>
    <row r="101" spans="1:2">
      <c r="A101" s="3">
        <v>36731</v>
      </c>
      <c r="B101" s="4">
        <v>1113.9000000000001</v>
      </c>
    </row>
    <row r="102" spans="1:2">
      <c r="A102" s="3">
        <v>36732</v>
      </c>
      <c r="B102" s="4">
        <v>1115</v>
      </c>
    </row>
    <row r="103" spans="1:2">
      <c r="A103" s="3">
        <v>36733</v>
      </c>
      <c r="B103" s="4">
        <v>1115</v>
      </c>
    </row>
    <row r="104" spans="1:2">
      <c r="A104" s="3">
        <v>36734</v>
      </c>
      <c r="B104" s="4">
        <v>1114</v>
      </c>
    </row>
    <row r="105" spans="1:2">
      <c r="A105" s="3">
        <v>36735</v>
      </c>
      <c r="B105" s="4">
        <v>1116.5</v>
      </c>
    </row>
    <row r="106" spans="1:2">
      <c r="A106" s="3">
        <v>36738</v>
      </c>
      <c r="B106" s="4">
        <v>1116.5999999999999</v>
      </c>
    </row>
    <row r="107" spans="1:2">
      <c r="A107" s="3">
        <v>36739</v>
      </c>
      <c r="B107" s="4">
        <v>1115.7</v>
      </c>
    </row>
    <row r="108" spans="1:2">
      <c r="A108" s="3">
        <v>36740</v>
      </c>
      <c r="B108" s="4">
        <v>1115.5999999999999</v>
      </c>
    </row>
    <row r="109" spans="1:2">
      <c r="A109" s="3">
        <v>36741</v>
      </c>
      <c r="B109" s="4">
        <v>1114.7</v>
      </c>
    </row>
    <row r="110" spans="1:2">
      <c r="A110" s="3">
        <v>36742</v>
      </c>
      <c r="B110" s="4">
        <v>1115</v>
      </c>
    </row>
    <row r="111" spans="1:2">
      <c r="A111" s="3">
        <v>36745</v>
      </c>
      <c r="B111" s="4">
        <v>1117</v>
      </c>
    </row>
    <row r="112" spans="1:2">
      <c r="A112" s="3">
        <v>36746</v>
      </c>
      <c r="B112" s="4">
        <v>1116</v>
      </c>
    </row>
    <row r="113" spans="1:2">
      <c r="A113" s="3">
        <v>36747</v>
      </c>
      <c r="B113" s="4">
        <v>1114.3</v>
      </c>
    </row>
    <row r="114" spans="1:2">
      <c r="A114" s="3">
        <v>36748</v>
      </c>
      <c r="B114" s="4">
        <v>1114.4000000000001</v>
      </c>
    </row>
    <row r="115" spans="1:2">
      <c r="A115" s="3">
        <v>36749</v>
      </c>
      <c r="B115" s="4">
        <v>1115</v>
      </c>
    </row>
    <row r="116" spans="1:2">
      <c r="A116" s="3">
        <v>36752</v>
      </c>
      <c r="B116" s="4">
        <v>1116</v>
      </c>
    </row>
    <row r="117" spans="1:2">
      <c r="A117" s="3">
        <v>36753</v>
      </c>
      <c r="B117" s="4">
        <v>1116</v>
      </c>
    </row>
    <row r="118" spans="1:2">
      <c r="A118" s="3">
        <v>36754</v>
      </c>
      <c r="B118" s="4">
        <v>1115.0999999999999</v>
      </c>
    </row>
    <row r="119" spans="1:2">
      <c r="A119" s="3">
        <v>36755</v>
      </c>
      <c r="B119" s="4">
        <v>1114</v>
      </c>
    </row>
    <row r="120" spans="1:2">
      <c r="A120" s="3">
        <v>36756</v>
      </c>
      <c r="B120" s="4">
        <v>1115</v>
      </c>
    </row>
    <row r="121" spans="1:2">
      <c r="A121" s="3">
        <v>36759</v>
      </c>
      <c r="B121" s="4">
        <v>1114.4000000000001</v>
      </c>
    </row>
    <row r="122" spans="1:2">
      <c r="A122" s="3">
        <v>36760</v>
      </c>
      <c r="B122" s="4">
        <v>1113.9000000000001</v>
      </c>
    </row>
    <row r="123" spans="1:2">
      <c r="A123" s="3">
        <v>36761</v>
      </c>
      <c r="B123" s="4">
        <v>1114</v>
      </c>
    </row>
    <row r="124" spans="1:2">
      <c r="A124" s="3">
        <v>36762</v>
      </c>
      <c r="B124" s="4">
        <v>1114.0999999999999</v>
      </c>
    </row>
    <row r="125" spans="1:2">
      <c r="A125" s="3">
        <v>36763</v>
      </c>
      <c r="B125" s="4">
        <v>1114</v>
      </c>
    </row>
    <row r="126" spans="1:2">
      <c r="A126" s="3">
        <v>36766</v>
      </c>
      <c r="B126" s="4">
        <v>1111</v>
      </c>
    </row>
    <row r="127" spans="1:2">
      <c r="A127" s="3">
        <v>36767</v>
      </c>
      <c r="B127" s="4">
        <v>1110.0999999999999</v>
      </c>
    </row>
    <row r="128" spans="1:2">
      <c r="A128" s="3">
        <v>36768</v>
      </c>
      <c r="B128" s="4">
        <v>1108.5</v>
      </c>
    </row>
    <row r="129" spans="1:2">
      <c r="A129" s="3">
        <v>36769</v>
      </c>
      <c r="B129" s="4">
        <v>1108.7</v>
      </c>
    </row>
    <row r="130" spans="1:2">
      <c r="A130" s="3">
        <v>36770</v>
      </c>
      <c r="B130" s="4">
        <v>1105</v>
      </c>
    </row>
    <row r="131" spans="1:2">
      <c r="A131" s="3">
        <v>36773</v>
      </c>
      <c r="B131" s="4">
        <v>1104.3</v>
      </c>
    </row>
    <row r="132" spans="1:2">
      <c r="A132" s="3">
        <v>36774</v>
      </c>
      <c r="B132" s="4">
        <v>1105.2</v>
      </c>
    </row>
    <row r="133" spans="1:2">
      <c r="A133" s="3">
        <v>36775</v>
      </c>
      <c r="B133" s="4">
        <v>1107.3</v>
      </c>
    </row>
    <row r="134" spans="1:2">
      <c r="A134" s="3">
        <v>36776</v>
      </c>
      <c r="B134" s="4">
        <v>1110</v>
      </c>
    </row>
    <row r="135" spans="1:2">
      <c r="A135" s="3">
        <v>36777</v>
      </c>
      <c r="B135" s="4">
        <v>1108.5</v>
      </c>
    </row>
    <row r="136" spans="1:2">
      <c r="A136" s="3">
        <v>36780</v>
      </c>
      <c r="B136" s="4">
        <v>1108.5</v>
      </c>
    </row>
    <row r="137" spans="1:2">
      <c r="A137" s="3">
        <v>36781</v>
      </c>
      <c r="B137" s="4">
        <v>1109</v>
      </c>
    </row>
    <row r="138" spans="1:2">
      <c r="A138" s="3">
        <v>36782</v>
      </c>
      <c r="B138" s="4">
        <v>1109</v>
      </c>
    </row>
    <row r="139" spans="1:2">
      <c r="A139" s="3">
        <v>36783</v>
      </c>
      <c r="B139" s="4">
        <v>1115.0999999999999</v>
      </c>
    </row>
    <row r="140" spans="1:2">
      <c r="A140" s="3">
        <v>36784</v>
      </c>
      <c r="B140" s="4">
        <v>1119.8</v>
      </c>
    </row>
    <row r="141" spans="1:2">
      <c r="A141" s="3">
        <v>36787</v>
      </c>
      <c r="B141" s="4">
        <v>1125</v>
      </c>
    </row>
    <row r="142" spans="1:2">
      <c r="A142" s="3">
        <v>36788</v>
      </c>
      <c r="B142" s="4">
        <v>1126</v>
      </c>
    </row>
    <row r="143" spans="1:2">
      <c r="A143" s="3">
        <v>36789</v>
      </c>
      <c r="B143" s="4">
        <v>1126</v>
      </c>
    </row>
    <row r="144" spans="1:2">
      <c r="A144" s="3">
        <v>36790</v>
      </c>
      <c r="B144" s="4">
        <v>1126</v>
      </c>
    </row>
    <row r="145" spans="1:2">
      <c r="A145" s="3">
        <v>36791</v>
      </c>
      <c r="B145" s="4">
        <v>1133</v>
      </c>
    </row>
    <row r="146" spans="1:2">
      <c r="A146" s="3">
        <v>36794</v>
      </c>
      <c r="B146" s="4">
        <v>1124</v>
      </c>
    </row>
    <row r="147" spans="1:2">
      <c r="A147" s="3">
        <v>36795</v>
      </c>
      <c r="B147" s="4">
        <v>1119</v>
      </c>
    </row>
    <row r="148" spans="1:2">
      <c r="A148" s="3">
        <v>36796</v>
      </c>
      <c r="B148" s="4">
        <v>1114</v>
      </c>
    </row>
    <row r="149" spans="1:2">
      <c r="A149" s="3">
        <v>36797</v>
      </c>
      <c r="B149" s="4">
        <v>1115.7</v>
      </c>
    </row>
    <row r="150" spans="1:2">
      <c r="A150" s="3">
        <v>36798</v>
      </c>
      <c r="B150" s="4">
        <v>1115</v>
      </c>
    </row>
    <row r="151" spans="1:2">
      <c r="A151" s="3">
        <v>36801</v>
      </c>
      <c r="B151" s="4">
        <v>1117.9000000000001</v>
      </c>
    </row>
    <row r="152" spans="1:2">
      <c r="A152" s="3">
        <v>36802</v>
      </c>
      <c r="B152" s="4">
        <v>1117</v>
      </c>
    </row>
    <row r="153" spans="1:2">
      <c r="A153" s="3">
        <v>36803</v>
      </c>
      <c r="B153" s="4">
        <v>1119</v>
      </c>
    </row>
    <row r="154" spans="1:2">
      <c r="A154" s="3">
        <v>36804</v>
      </c>
      <c r="B154" s="4">
        <v>1117.5</v>
      </c>
    </row>
    <row r="155" spans="1:2">
      <c r="A155" s="3">
        <v>36805</v>
      </c>
      <c r="B155" s="4">
        <v>1115</v>
      </c>
    </row>
    <row r="156" spans="1:2">
      <c r="A156" s="3">
        <v>36808</v>
      </c>
      <c r="B156" s="4">
        <v>1116</v>
      </c>
    </row>
    <row r="157" spans="1:2">
      <c r="A157" s="3">
        <v>36809</v>
      </c>
      <c r="B157" s="4">
        <v>1119</v>
      </c>
    </row>
    <row r="158" spans="1:2">
      <c r="A158" s="3">
        <v>36810</v>
      </c>
      <c r="B158" s="4">
        <v>1121</v>
      </c>
    </row>
    <row r="159" spans="1:2">
      <c r="A159" s="3">
        <v>36811</v>
      </c>
      <c r="B159" s="4">
        <v>1120</v>
      </c>
    </row>
    <row r="160" spans="1:2">
      <c r="A160" s="3">
        <v>36812</v>
      </c>
      <c r="B160" s="4">
        <v>1129</v>
      </c>
    </row>
    <row r="161" spans="1:2">
      <c r="A161" s="3">
        <v>36815</v>
      </c>
      <c r="B161" s="4">
        <v>1127</v>
      </c>
    </row>
    <row r="162" spans="1:2">
      <c r="A162" s="3">
        <v>36816</v>
      </c>
      <c r="B162" s="4">
        <v>1133</v>
      </c>
    </row>
    <row r="163" spans="1:2">
      <c r="A163" s="3">
        <v>36817</v>
      </c>
      <c r="B163" s="4">
        <v>1137</v>
      </c>
    </row>
    <row r="164" spans="1:2">
      <c r="A164" s="3">
        <v>36818</v>
      </c>
      <c r="B164" s="4">
        <v>1128</v>
      </c>
    </row>
    <row r="165" spans="1:2">
      <c r="A165" s="3">
        <v>36819</v>
      </c>
      <c r="B165" s="4">
        <v>1131</v>
      </c>
    </row>
    <row r="166" spans="1:2">
      <c r="A166" s="3">
        <v>36822</v>
      </c>
      <c r="B166" s="4">
        <v>1139</v>
      </c>
    </row>
    <row r="167" spans="1:2">
      <c r="A167" s="3">
        <v>36823</v>
      </c>
      <c r="B167" s="4">
        <v>1135</v>
      </c>
    </row>
    <row r="168" spans="1:2">
      <c r="A168" s="3">
        <v>36824</v>
      </c>
      <c r="B168" s="4">
        <v>1137</v>
      </c>
    </row>
    <row r="169" spans="1:2">
      <c r="A169" s="3">
        <v>36825</v>
      </c>
      <c r="B169" s="4">
        <v>1132</v>
      </c>
    </row>
    <row r="170" spans="1:2">
      <c r="A170" s="3">
        <v>36826</v>
      </c>
      <c r="B170" s="4">
        <v>1135</v>
      </c>
    </row>
    <row r="171" spans="1:2">
      <c r="A171" s="3">
        <v>36829</v>
      </c>
      <c r="B171" s="4">
        <v>1137</v>
      </c>
    </row>
    <row r="172" spans="1:2">
      <c r="A172" s="3">
        <v>36830</v>
      </c>
      <c r="B172" s="4">
        <v>1136</v>
      </c>
    </row>
    <row r="173" spans="1:2">
      <c r="A173" s="3">
        <v>36831</v>
      </c>
      <c r="B173" s="4">
        <v>1135.3</v>
      </c>
    </row>
    <row r="174" spans="1:2">
      <c r="A174" s="3">
        <v>36832</v>
      </c>
      <c r="B174" s="4">
        <v>1133.8</v>
      </c>
    </row>
    <row r="175" spans="1:2">
      <c r="A175" s="3">
        <v>36833</v>
      </c>
      <c r="B175" s="4">
        <v>1133.3</v>
      </c>
    </row>
    <row r="176" spans="1:2">
      <c r="A176" s="3">
        <v>36836</v>
      </c>
      <c r="B176" s="4">
        <v>1132</v>
      </c>
    </row>
    <row r="177" spans="1:2">
      <c r="A177" s="3">
        <v>36837</v>
      </c>
      <c r="B177" s="4">
        <v>1136</v>
      </c>
    </row>
    <row r="178" spans="1:2">
      <c r="A178" s="3">
        <v>36838</v>
      </c>
      <c r="B178" s="4">
        <v>1133.5</v>
      </c>
    </row>
    <row r="179" spans="1:2">
      <c r="A179" s="3">
        <v>36839</v>
      </c>
      <c r="B179" s="4">
        <v>1130</v>
      </c>
    </row>
    <row r="180" spans="1:2">
      <c r="A180" s="3">
        <v>36840</v>
      </c>
      <c r="B180" s="4">
        <v>1134</v>
      </c>
    </row>
    <row r="181" spans="1:2">
      <c r="A181" s="3">
        <v>36843</v>
      </c>
      <c r="B181" s="4">
        <v>1138</v>
      </c>
    </row>
    <row r="182" spans="1:2">
      <c r="A182" s="3">
        <v>36844</v>
      </c>
      <c r="B182" s="4">
        <v>1136</v>
      </c>
    </row>
    <row r="183" spans="1:2">
      <c r="A183" s="3">
        <v>36845</v>
      </c>
      <c r="B183" s="4">
        <v>1135.7</v>
      </c>
    </row>
    <row r="184" spans="1:2">
      <c r="A184" s="3">
        <v>36846</v>
      </c>
      <c r="B184" s="4">
        <v>1138.3</v>
      </c>
    </row>
    <row r="185" spans="1:2">
      <c r="A185" s="3">
        <v>36847</v>
      </c>
      <c r="B185" s="4">
        <v>1141.5</v>
      </c>
    </row>
    <row r="186" spans="1:2">
      <c r="A186" s="3">
        <v>36850</v>
      </c>
      <c r="B186" s="4">
        <v>1154</v>
      </c>
    </row>
    <row r="187" spans="1:2">
      <c r="A187" s="3">
        <v>36851</v>
      </c>
      <c r="B187" s="4">
        <v>1165</v>
      </c>
    </row>
    <row r="188" spans="1:2">
      <c r="A188" s="3">
        <v>36852</v>
      </c>
      <c r="B188" s="4">
        <v>1176</v>
      </c>
    </row>
    <row r="189" spans="1:2">
      <c r="A189" s="3">
        <v>36853</v>
      </c>
      <c r="B189" s="4">
        <v>1193</v>
      </c>
    </row>
    <row r="190" spans="1:2">
      <c r="A190" s="3">
        <v>36854</v>
      </c>
      <c r="B190" s="4">
        <v>1187</v>
      </c>
    </row>
    <row r="191" spans="1:2">
      <c r="A191" s="3">
        <v>36857</v>
      </c>
      <c r="B191" s="4">
        <v>1186</v>
      </c>
    </row>
    <row r="192" spans="1:2">
      <c r="A192" s="3">
        <v>36858</v>
      </c>
      <c r="B192" s="4">
        <v>1186</v>
      </c>
    </row>
    <row r="193" spans="1:2">
      <c r="A193" s="3">
        <v>36859</v>
      </c>
      <c r="B193" s="4">
        <v>1201</v>
      </c>
    </row>
    <row r="194" spans="1:2">
      <c r="A194" s="3">
        <v>36860</v>
      </c>
      <c r="B194" s="4">
        <v>1214</v>
      </c>
    </row>
    <row r="195" spans="1:2">
      <c r="A195" s="3">
        <v>36861</v>
      </c>
      <c r="B195" s="4">
        <v>1208</v>
      </c>
    </row>
    <row r="196" spans="1:2">
      <c r="A196" s="3">
        <v>36864</v>
      </c>
      <c r="B196" s="4">
        <v>1217</v>
      </c>
    </row>
    <row r="197" spans="1:2">
      <c r="A197" s="3">
        <v>36865</v>
      </c>
      <c r="B197" s="4">
        <v>1198</v>
      </c>
    </row>
    <row r="198" spans="1:2">
      <c r="A198" s="3">
        <v>36866</v>
      </c>
      <c r="B198" s="4">
        <v>1198</v>
      </c>
    </row>
    <row r="199" spans="1:2">
      <c r="A199" s="3">
        <v>36867</v>
      </c>
      <c r="B199" s="4">
        <v>1198</v>
      </c>
    </row>
    <row r="200" spans="1:2">
      <c r="A200" s="3">
        <v>36868</v>
      </c>
      <c r="B200" s="4">
        <v>1189</v>
      </c>
    </row>
    <row r="201" spans="1:2">
      <c r="A201" s="3">
        <v>36871</v>
      </c>
      <c r="B201" s="4">
        <v>1180</v>
      </c>
    </row>
    <row r="202" spans="1:2">
      <c r="A202" s="3">
        <v>36872</v>
      </c>
      <c r="B202" s="4">
        <v>1190</v>
      </c>
    </row>
    <row r="203" spans="1:2">
      <c r="A203" s="3">
        <v>36873</v>
      </c>
      <c r="B203" s="4">
        <v>1191.4000000000001</v>
      </c>
    </row>
    <row r="204" spans="1:2">
      <c r="A204" s="3">
        <v>36874</v>
      </c>
      <c r="B204" s="4">
        <v>1202</v>
      </c>
    </row>
    <row r="205" spans="1:2">
      <c r="A205" s="3">
        <v>36875</v>
      </c>
      <c r="B205" s="4">
        <v>1207</v>
      </c>
    </row>
    <row r="206" spans="1:2">
      <c r="A206" s="3">
        <v>36878</v>
      </c>
      <c r="B206" s="4">
        <v>1204</v>
      </c>
    </row>
    <row r="207" spans="1:2">
      <c r="A207" s="3">
        <v>36879</v>
      </c>
      <c r="B207" s="4">
        <v>1208</v>
      </c>
    </row>
    <row r="208" spans="1:2">
      <c r="A208" s="3">
        <v>36880</v>
      </c>
      <c r="B208" s="4">
        <v>1216</v>
      </c>
    </row>
    <row r="209" spans="1:2">
      <c r="A209" s="3">
        <v>36881</v>
      </c>
      <c r="B209" s="4">
        <v>1226.8</v>
      </c>
    </row>
    <row r="210" spans="1:2">
      <c r="A210" s="3">
        <v>36882</v>
      </c>
      <c r="B210" s="4">
        <v>1237</v>
      </c>
    </row>
    <row r="211" spans="1:2">
      <c r="A211" s="3">
        <v>36885</v>
      </c>
      <c r="B211" s="4">
        <v>1237</v>
      </c>
    </row>
    <row r="212" spans="1:2">
      <c r="A212" s="3">
        <v>36886</v>
      </c>
      <c r="B212" s="4">
        <v>1252</v>
      </c>
    </row>
    <row r="213" spans="1:2">
      <c r="A213" s="3">
        <v>36887</v>
      </c>
      <c r="B213" s="4">
        <v>1257</v>
      </c>
    </row>
    <row r="214" spans="1:2">
      <c r="A214" s="3">
        <v>36888</v>
      </c>
      <c r="B214" s="4">
        <v>1252</v>
      </c>
    </row>
    <row r="215" spans="1:2">
      <c r="A215" s="3">
        <v>36889</v>
      </c>
      <c r="B215" s="4">
        <v>1263</v>
      </c>
    </row>
    <row r="216" spans="1:2">
      <c r="A216" s="3">
        <v>36893</v>
      </c>
      <c r="B216" s="4">
        <v>1277</v>
      </c>
    </row>
    <row r="217" spans="1:2">
      <c r="A217" s="3">
        <v>36894</v>
      </c>
      <c r="B217" s="4">
        <v>1269.5</v>
      </c>
    </row>
    <row r="218" spans="1:2">
      <c r="A218" s="3">
        <v>36895</v>
      </c>
      <c r="B218" s="4">
        <v>1262.3</v>
      </c>
    </row>
    <row r="219" spans="1:2">
      <c r="A219" s="3">
        <v>36896</v>
      </c>
      <c r="B219" s="4">
        <v>1261.5</v>
      </c>
    </row>
    <row r="220" spans="1:2">
      <c r="A220" s="3">
        <v>36899</v>
      </c>
      <c r="B220" s="4">
        <v>1263</v>
      </c>
    </row>
    <row r="221" spans="1:2">
      <c r="A221" s="3">
        <v>36900</v>
      </c>
      <c r="B221" s="4">
        <v>1251.3</v>
      </c>
    </row>
    <row r="222" spans="1:2">
      <c r="A222" s="3">
        <v>36901</v>
      </c>
      <c r="B222" s="4">
        <v>1269</v>
      </c>
    </row>
    <row r="223" spans="1:2">
      <c r="A223" s="3">
        <v>36902</v>
      </c>
      <c r="B223" s="4">
        <v>1277.2</v>
      </c>
    </row>
    <row r="224" spans="1:2">
      <c r="A224" s="3">
        <v>36903</v>
      </c>
      <c r="B224" s="4">
        <v>1280</v>
      </c>
    </row>
    <row r="225" spans="1:2">
      <c r="A225" s="3">
        <v>36906</v>
      </c>
      <c r="B225" s="4">
        <v>1285</v>
      </c>
    </row>
    <row r="226" spans="1:2">
      <c r="A226" s="3">
        <v>36907</v>
      </c>
      <c r="B226" s="4">
        <v>1281.8</v>
      </c>
    </row>
    <row r="227" spans="1:2">
      <c r="A227" s="3">
        <v>36908</v>
      </c>
      <c r="B227" s="4">
        <v>1277</v>
      </c>
    </row>
    <row r="228" spans="1:2">
      <c r="A228" s="3">
        <v>36909</v>
      </c>
      <c r="B228" s="4">
        <v>1284</v>
      </c>
    </row>
    <row r="229" spans="1:2">
      <c r="A229" s="3">
        <v>36910</v>
      </c>
      <c r="B229" s="4">
        <v>1272</v>
      </c>
    </row>
    <row r="230" spans="1:2">
      <c r="A230" s="3">
        <v>36913</v>
      </c>
      <c r="B230" s="4">
        <v>1273.0999999999999</v>
      </c>
    </row>
    <row r="231" spans="1:2">
      <c r="A231" s="3">
        <v>36914</v>
      </c>
      <c r="B231" s="4">
        <v>1273.0999999999999</v>
      </c>
    </row>
    <row r="232" spans="1:2">
      <c r="A232" s="3">
        <v>36915</v>
      </c>
      <c r="B232" s="4">
        <v>1275</v>
      </c>
    </row>
    <row r="233" spans="1:2">
      <c r="A233" s="3">
        <v>36916</v>
      </c>
      <c r="B233" s="4">
        <v>1275.5</v>
      </c>
    </row>
    <row r="234" spans="1:2">
      <c r="A234" s="3">
        <v>36917</v>
      </c>
      <c r="B234" s="4">
        <v>1279.9000000000001</v>
      </c>
    </row>
    <row r="235" spans="1:2">
      <c r="A235" s="3">
        <v>36920</v>
      </c>
      <c r="B235" s="4">
        <v>1264</v>
      </c>
    </row>
    <row r="236" spans="1:2">
      <c r="A236" s="3">
        <v>36921</v>
      </c>
      <c r="B236" s="4">
        <v>1263.5</v>
      </c>
    </row>
    <row r="237" spans="1:2">
      <c r="A237" s="3">
        <v>36922</v>
      </c>
      <c r="B237" s="4">
        <v>1256</v>
      </c>
    </row>
    <row r="238" spans="1:2">
      <c r="A238" s="3">
        <v>36923</v>
      </c>
      <c r="B238" s="4">
        <v>1256</v>
      </c>
    </row>
    <row r="239" spans="1:2">
      <c r="A239" s="3">
        <v>36924</v>
      </c>
      <c r="B239" s="4">
        <v>1249</v>
      </c>
    </row>
    <row r="240" spans="1:2">
      <c r="A240" s="3">
        <v>36927</v>
      </c>
      <c r="B240" s="4">
        <v>1261</v>
      </c>
    </row>
    <row r="241" spans="1:2">
      <c r="A241" s="3">
        <v>36928</v>
      </c>
      <c r="B241" s="4">
        <v>1257</v>
      </c>
    </row>
    <row r="242" spans="1:2">
      <c r="A242" s="3">
        <v>36929</v>
      </c>
      <c r="B242" s="4">
        <v>1260</v>
      </c>
    </row>
    <row r="243" spans="1:2">
      <c r="A243" s="3">
        <v>36930</v>
      </c>
      <c r="B243" s="4">
        <v>1265</v>
      </c>
    </row>
    <row r="244" spans="1:2">
      <c r="A244" s="3">
        <v>36931</v>
      </c>
      <c r="B244" s="4">
        <v>1263</v>
      </c>
    </row>
    <row r="245" spans="1:2">
      <c r="A245" s="3">
        <v>36934</v>
      </c>
      <c r="B245" s="4">
        <v>1264.0999999999999</v>
      </c>
    </row>
    <row r="246" spans="1:2">
      <c r="A246" s="3">
        <v>36935</v>
      </c>
      <c r="B246" s="4">
        <v>1251.5</v>
      </c>
    </row>
    <row r="247" spans="1:2">
      <c r="A247" s="3">
        <v>36936</v>
      </c>
      <c r="B247" s="4">
        <v>1250.5</v>
      </c>
    </row>
    <row r="248" spans="1:2">
      <c r="A248" s="3">
        <v>36937</v>
      </c>
      <c r="B248" s="4">
        <v>1241</v>
      </c>
    </row>
    <row r="249" spans="1:2">
      <c r="A249" s="3">
        <v>36938</v>
      </c>
      <c r="B249" s="4">
        <v>1242</v>
      </c>
    </row>
    <row r="250" spans="1:2">
      <c r="A250" s="3">
        <v>36941</v>
      </c>
      <c r="B250" s="4">
        <v>1245</v>
      </c>
    </row>
    <row r="251" spans="1:2">
      <c r="A251" s="3">
        <v>36942</v>
      </c>
      <c r="B251" s="4">
        <v>1232</v>
      </c>
    </row>
    <row r="252" spans="1:2">
      <c r="A252" s="3">
        <v>36943</v>
      </c>
      <c r="B252" s="4">
        <v>1238</v>
      </c>
    </row>
    <row r="253" spans="1:2">
      <c r="A253" s="3">
        <v>36944</v>
      </c>
      <c r="B253" s="4">
        <v>1240.8</v>
      </c>
    </row>
    <row r="254" spans="1:2">
      <c r="A254" s="3">
        <v>36945</v>
      </c>
      <c r="B254" s="4">
        <v>1248.5</v>
      </c>
    </row>
    <row r="255" spans="1:2">
      <c r="A255" s="3">
        <v>36948</v>
      </c>
      <c r="B255" s="4">
        <v>1246.8</v>
      </c>
    </row>
    <row r="256" spans="1:2">
      <c r="A256" s="3">
        <v>36949</v>
      </c>
      <c r="B256" s="4">
        <v>1248</v>
      </c>
    </row>
    <row r="257" spans="1:2">
      <c r="A257" s="3">
        <v>36950</v>
      </c>
      <c r="B257" s="4">
        <v>1253.0999999999999</v>
      </c>
    </row>
    <row r="258" spans="1:2">
      <c r="A258" s="3">
        <v>36951</v>
      </c>
      <c r="B258" s="4">
        <v>1261</v>
      </c>
    </row>
    <row r="259" spans="1:2">
      <c r="A259" s="3">
        <v>36952</v>
      </c>
      <c r="B259" s="4">
        <v>1266</v>
      </c>
    </row>
    <row r="260" spans="1:2">
      <c r="A260" s="3">
        <v>36955</v>
      </c>
      <c r="B260" s="4">
        <v>1273</v>
      </c>
    </row>
    <row r="261" spans="1:2">
      <c r="A261" s="3">
        <v>36956</v>
      </c>
      <c r="B261" s="4">
        <v>1261</v>
      </c>
    </row>
    <row r="262" spans="1:2">
      <c r="A262" s="3">
        <v>36957</v>
      </c>
      <c r="B262" s="4">
        <v>1265</v>
      </c>
    </row>
    <row r="263" spans="1:2">
      <c r="A263" s="3">
        <v>36958</v>
      </c>
      <c r="B263" s="4">
        <v>1267</v>
      </c>
    </row>
    <row r="264" spans="1:2">
      <c r="A264" s="3">
        <v>36959</v>
      </c>
      <c r="B264" s="4">
        <v>1268.8</v>
      </c>
    </row>
    <row r="265" spans="1:2">
      <c r="A265" s="3">
        <v>36962</v>
      </c>
      <c r="B265" s="4">
        <v>1278</v>
      </c>
    </row>
    <row r="266" spans="1:2">
      <c r="A266" s="3">
        <v>36963</v>
      </c>
      <c r="B266" s="4">
        <v>1274</v>
      </c>
    </row>
    <row r="267" spans="1:2">
      <c r="A267" s="3">
        <v>36964</v>
      </c>
      <c r="B267" s="4">
        <v>1285</v>
      </c>
    </row>
    <row r="268" spans="1:2">
      <c r="A268" s="3">
        <v>36965</v>
      </c>
      <c r="B268" s="4">
        <v>1284</v>
      </c>
    </row>
    <row r="269" spans="1:2">
      <c r="A269" s="3">
        <v>36966</v>
      </c>
      <c r="B269" s="4">
        <v>1292</v>
      </c>
    </row>
    <row r="270" spans="1:2">
      <c r="A270" s="3">
        <v>36969</v>
      </c>
      <c r="B270" s="4">
        <v>1293</v>
      </c>
    </row>
    <row r="271" spans="1:2">
      <c r="A271" s="3">
        <v>36970</v>
      </c>
      <c r="B271" s="4">
        <v>1295</v>
      </c>
    </row>
    <row r="272" spans="1:2">
      <c r="A272" s="3">
        <v>36971</v>
      </c>
      <c r="B272" s="4">
        <v>1295</v>
      </c>
    </row>
    <row r="273" spans="1:2">
      <c r="A273" s="3">
        <v>36972</v>
      </c>
      <c r="B273" s="4">
        <v>1321</v>
      </c>
    </row>
    <row r="274" spans="1:2">
      <c r="A274" s="3">
        <v>36973</v>
      </c>
      <c r="B274" s="4">
        <v>1308</v>
      </c>
    </row>
    <row r="275" spans="1:2">
      <c r="A275" s="3">
        <v>36976</v>
      </c>
      <c r="B275" s="4">
        <v>1310.5999999999999</v>
      </c>
    </row>
    <row r="276" spans="1:2">
      <c r="A276" s="3">
        <v>36977</v>
      </c>
      <c r="B276" s="4">
        <v>1310</v>
      </c>
    </row>
    <row r="277" spans="1:2">
      <c r="A277" s="3">
        <v>36978</v>
      </c>
      <c r="B277" s="4">
        <v>1300</v>
      </c>
    </row>
    <row r="278" spans="1:2">
      <c r="A278" s="3">
        <v>36979</v>
      </c>
      <c r="B278" s="4">
        <v>1321</v>
      </c>
    </row>
    <row r="279" spans="1:2">
      <c r="A279" s="3">
        <v>36980</v>
      </c>
      <c r="B279" s="4">
        <v>1330</v>
      </c>
    </row>
    <row r="280" spans="1:2">
      <c r="A280" s="3">
        <v>36983</v>
      </c>
      <c r="B280" s="4">
        <v>1349</v>
      </c>
    </row>
    <row r="281" spans="1:2">
      <c r="A281" s="3">
        <v>36984</v>
      </c>
      <c r="B281" s="4">
        <v>1340</v>
      </c>
    </row>
    <row r="282" spans="1:2">
      <c r="A282" s="3">
        <v>36985</v>
      </c>
      <c r="B282" s="4">
        <v>1367</v>
      </c>
    </row>
    <row r="283" spans="1:2">
      <c r="A283" s="3">
        <v>36986</v>
      </c>
      <c r="B283" s="4">
        <v>1347</v>
      </c>
    </row>
    <row r="284" spans="1:2">
      <c r="A284" s="3">
        <v>36987</v>
      </c>
      <c r="B284" s="4">
        <v>1342.1</v>
      </c>
    </row>
    <row r="285" spans="1:2">
      <c r="A285" s="3">
        <v>36990</v>
      </c>
      <c r="B285" s="4">
        <v>1337</v>
      </c>
    </row>
    <row r="286" spans="1:2">
      <c r="A286" s="3">
        <v>36991</v>
      </c>
      <c r="B286" s="4">
        <v>1332</v>
      </c>
    </row>
    <row r="287" spans="1:2">
      <c r="A287" s="3">
        <v>36992</v>
      </c>
      <c r="B287" s="4">
        <v>1320</v>
      </c>
    </row>
    <row r="288" spans="1:2">
      <c r="A288" s="3">
        <v>36993</v>
      </c>
      <c r="B288" s="4">
        <v>1316</v>
      </c>
    </row>
    <row r="289" spans="1:2">
      <c r="A289" s="3">
        <v>36994</v>
      </c>
      <c r="B289" s="4">
        <v>1325</v>
      </c>
    </row>
    <row r="290" spans="1:2">
      <c r="A290" s="3">
        <v>36997</v>
      </c>
      <c r="B290" s="4">
        <v>1329</v>
      </c>
    </row>
    <row r="291" spans="1:2">
      <c r="A291" s="3">
        <v>36998</v>
      </c>
      <c r="B291" s="4">
        <v>1324</v>
      </c>
    </row>
    <row r="292" spans="1:2">
      <c r="A292" s="3">
        <v>36999</v>
      </c>
      <c r="B292" s="4">
        <v>1314</v>
      </c>
    </row>
    <row r="293" spans="1:2">
      <c r="A293" s="3">
        <v>37000</v>
      </c>
      <c r="B293" s="4">
        <v>1298</v>
      </c>
    </row>
    <row r="294" spans="1:2">
      <c r="A294" s="3">
        <v>37001</v>
      </c>
      <c r="B294" s="4">
        <v>1312.9</v>
      </c>
    </row>
    <row r="295" spans="1:2">
      <c r="A295" s="3">
        <v>37004</v>
      </c>
      <c r="B295" s="4">
        <v>1312.5</v>
      </c>
    </row>
    <row r="296" spans="1:2">
      <c r="A296" s="3">
        <v>37005</v>
      </c>
      <c r="B296" s="4">
        <v>1306</v>
      </c>
    </row>
    <row r="297" spans="1:2">
      <c r="A297" s="3">
        <v>37006</v>
      </c>
      <c r="B297" s="4">
        <v>1307.7</v>
      </c>
    </row>
    <row r="298" spans="1:2">
      <c r="A298" s="3">
        <v>37007</v>
      </c>
      <c r="B298" s="4">
        <v>1316</v>
      </c>
    </row>
    <row r="299" spans="1:2">
      <c r="A299" s="3">
        <v>37008</v>
      </c>
      <c r="B299" s="4">
        <v>1327.5</v>
      </c>
    </row>
    <row r="300" spans="1:2">
      <c r="A300" s="3">
        <v>37011</v>
      </c>
      <c r="B300" s="4">
        <v>1315</v>
      </c>
    </row>
    <row r="301" spans="1:2">
      <c r="A301" s="3">
        <v>37012</v>
      </c>
      <c r="B301" s="4">
        <v>1315</v>
      </c>
    </row>
    <row r="302" spans="1:2">
      <c r="A302" s="3">
        <v>37013</v>
      </c>
      <c r="B302" s="4">
        <v>1302</v>
      </c>
    </row>
    <row r="303" spans="1:2">
      <c r="A303" s="3">
        <v>37014</v>
      </c>
      <c r="B303" s="4">
        <v>1294</v>
      </c>
    </row>
    <row r="304" spans="1:2">
      <c r="A304" s="3">
        <v>37015</v>
      </c>
      <c r="B304" s="4">
        <v>1291.5</v>
      </c>
    </row>
    <row r="305" spans="1:2">
      <c r="A305" s="3">
        <v>37018</v>
      </c>
      <c r="B305" s="4">
        <v>1296</v>
      </c>
    </row>
    <row r="306" spans="1:2">
      <c r="A306" s="3">
        <v>37019</v>
      </c>
      <c r="B306" s="4">
        <v>1302</v>
      </c>
    </row>
    <row r="307" spans="1:2">
      <c r="A307" s="3">
        <v>37020</v>
      </c>
      <c r="B307" s="4">
        <v>1301.7</v>
      </c>
    </row>
    <row r="308" spans="1:2">
      <c r="A308" s="3">
        <v>37021</v>
      </c>
      <c r="B308" s="4">
        <v>1305</v>
      </c>
    </row>
    <row r="309" spans="1:2">
      <c r="A309" s="3">
        <v>37022</v>
      </c>
      <c r="B309" s="4">
        <v>1296</v>
      </c>
    </row>
    <row r="310" spans="1:2">
      <c r="A310" s="3">
        <v>37025</v>
      </c>
      <c r="B310" s="4">
        <v>1297</v>
      </c>
    </row>
    <row r="311" spans="1:2">
      <c r="A311" s="3">
        <v>37026</v>
      </c>
      <c r="B311" s="4">
        <v>1303</v>
      </c>
    </row>
    <row r="312" spans="1:2">
      <c r="A312" s="3">
        <v>37027</v>
      </c>
      <c r="B312" s="4">
        <v>1308</v>
      </c>
    </row>
    <row r="313" spans="1:2">
      <c r="A313" s="3">
        <v>37028</v>
      </c>
      <c r="B313" s="4">
        <v>1301.9000000000001</v>
      </c>
    </row>
    <row r="314" spans="1:2">
      <c r="A314" s="3">
        <v>37029</v>
      </c>
      <c r="B314" s="4">
        <v>1303.9000000000001</v>
      </c>
    </row>
    <row r="315" spans="1:2">
      <c r="A315" s="3">
        <v>37032</v>
      </c>
      <c r="B315" s="4">
        <v>1301</v>
      </c>
    </row>
    <row r="316" spans="1:2">
      <c r="A316" s="3">
        <v>37033</v>
      </c>
      <c r="B316" s="4">
        <v>1295</v>
      </c>
    </row>
    <row r="317" spans="1:2">
      <c r="A317" s="3">
        <v>37034</v>
      </c>
      <c r="B317" s="4">
        <v>1286</v>
      </c>
    </row>
    <row r="318" spans="1:2">
      <c r="A318" s="3">
        <v>37035</v>
      </c>
      <c r="B318" s="4">
        <v>1284</v>
      </c>
    </row>
    <row r="319" spans="1:2">
      <c r="A319" s="3">
        <v>37036</v>
      </c>
      <c r="B319" s="4">
        <v>1288.9000000000001</v>
      </c>
    </row>
    <row r="320" spans="1:2">
      <c r="A320" s="3">
        <v>37039</v>
      </c>
      <c r="B320" s="4">
        <v>1295</v>
      </c>
    </row>
    <row r="321" spans="1:2">
      <c r="A321" s="3">
        <v>37040</v>
      </c>
      <c r="B321" s="4">
        <v>1289</v>
      </c>
    </row>
    <row r="322" spans="1:2">
      <c r="A322" s="3">
        <v>37041</v>
      </c>
      <c r="B322" s="4">
        <v>1288</v>
      </c>
    </row>
    <row r="323" spans="1:2">
      <c r="A323" s="3">
        <v>37042</v>
      </c>
      <c r="B323" s="4">
        <v>1280</v>
      </c>
    </row>
    <row r="324" spans="1:2">
      <c r="A324" s="3">
        <v>37043</v>
      </c>
      <c r="B324" s="4">
        <v>1282</v>
      </c>
    </row>
    <row r="325" spans="1:2">
      <c r="A325" s="3">
        <v>37046</v>
      </c>
      <c r="B325" s="4">
        <v>1284</v>
      </c>
    </row>
    <row r="326" spans="1:2">
      <c r="A326" s="3">
        <v>37047</v>
      </c>
      <c r="B326" s="4">
        <v>1286</v>
      </c>
    </row>
    <row r="327" spans="1:2">
      <c r="A327" s="3">
        <v>37048</v>
      </c>
      <c r="B327" s="4">
        <v>1285</v>
      </c>
    </row>
    <row r="328" spans="1:2">
      <c r="A328" s="3">
        <v>37049</v>
      </c>
      <c r="B328" s="4">
        <v>1285</v>
      </c>
    </row>
    <row r="329" spans="1:2">
      <c r="A329" s="3">
        <v>37050</v>
      </c>
      <c r="B329" s="4">
        <v>1285</v>
      </c>
    </row>
    <row r="330" spans="1:2">
      <c r="A330" s="3">
        <v>37053</v>
      </c>
      <c r="B330" s="4">
        <v>1287</v>
      </c>
    </row>
    <row r="331" spans="1:2">
      <c r="A331" s="3">
        <v>37054</v>
      </c>
      <c r="B331" s="4">
        <v>1289</v>
      </c>
    </row>
    <row r="332" spans="1:2">
      <c r="A332" s="3">
        <v>37055</v>
      </c>
      <c r="B332" s="4">
        <v>1291</v>
      </c>
    </row>
    <row r="333" spans="1:2">
      <c r="A333" s="3">
        <v>37056</v>
      </c>
      <c r="B333" s="4">
        <v>1291</v>
      </c>
    </row>
    <row r="334" spans="1:2">
      <c r="A334" s="3">
        <v>37057</v>
      </c>
      <c r="B334" s="4">
        <v>1291</v>
      </c>
    </row>
    <row r="335" spans="1:2">
      <c r="A335" s="3">
        <v>37060</v>
      </c>
      <c r="B335" s="4">
        <v>1299</v>
      </c>
    </row>
    <row r="336" spans="1:2">
      <c r="A336" s="3">
        <v>37061</v>
      </c>
      <c r="B336" s="4">
        <v>1303</v>
      </c>
    </row>
    <row r="337" spans="1:2">
      <c r="A337" s="3">
        <v>37062</v>
      </c>
      <c r="B337" s="4">
        <v>1303</v>
      </c>
    </row>
    <row r="338" spans="1:2">
      <c r="A338" s="3">
        <v>37063</v>
      </c>
      <c r="B338" s="4">
        <v>1301</v>
      </c>
    </row>
    <row r="339" spans="1:2">
      <c r="A339" s="3">
        <v>37064</v>
      </c>
      <c r="B339" s="4">
        <v>1302</v>
      </c>
    </row>
    <row r="340" spans="1:2">
      <c r="A340" s="3">
        <v>37067</v>
      </c>
      <c r="B340" s="4">
        <v>1301</v>
      </c>
    </row>
    <row r="341" spans="1:2">
      <c r="A341" s="3">
        <v>37068</v>
      </c>
      <c r="B341" s="4">
        <v>1298</v>
      </c>
    </row>
    <row r="342" spans="1:2">
      <c r="A342" s="3">
        <v>37069</v>
      </c>
      <c r="B342" s="4">
        <v>1295</v>
      </c>
    </row>
    <row r="343" spans="1:2">
      <c r="A343" s="3">
        <v>37070</v>
      </c>
      <c r="B343" s="4">
        <v>1302</v>
      </c>
    </row>
    <row r="344" spans="1:2">
      <c r="A344" s="3">
        <v>37071</v>
      </c>
      <c r="B344" s="4">
        <v>1298</v>
      </c>
    </row>
    <row r="345" spans="1:2">
      <c r="A345" s="3">
        <v>37074</v>
      </c>
      <c r="B345" s="4">
        <v>1297</v>
      </c>
    </row>
    <row r="346" spans="1:2">
      <c r="A346" s="3">
        <v>37075</v>
      </c>
      <c r="B346" s="4">
        <v>1292</v>
      </c>
    </row>
    <row r="347" spans="1:2">
      <c r="A347" s="3">
        <v>37076</v>
      </c>
      <c r="B347" s="4">
        <v>1294.5</v>
      </c>
    </row>
    <row r="348" spans="1:2">
      <c r="A348" s="3">
        <v>37077</v>
      </c>
      <c r="B348" s="4">
        <v>1294</v>
      </c>
    </row>
    <row r="349" spans="1:2">
      <c r="A349" s="3">
        <v>37078</v>
      </c>
      <c r="B349" s="4">
        <v>1289</v>
      </c>
    </row>
    <row r="350" spans="1:2">
      <c r="A350" s="3">
        <v>37081</v>
      </c>
      <c r="B350" s="4">
        <v>1294</v>
      </c>
    </row>
    <row r="351" spans="1:2">
      <c r="A351" s="3">
        <v>37082</v>
      </c>
      <c r="B351" s="4">
        <v>1295</v>
      </c>
    </row>
    <row r="352" spans="1:2">
      <c r="A352" s="3">
        <v>37083</v>
      </c>
      <c r="B352" s="4">
        <v>1304</v>
      </c>
    </row>
    <row r="353" spans="1:2">
      <c r="A353" s="3">
        <v>37084</v>
      </c>
      <c r="B353" s="4">
        <v>1295</v>
      </c>
    </row>
    <row r="354" spans="1:2">
      <c r="A354" s="3">
        <v>37085</v>
      </c>
      <c r="B354" s="4">
        <v>1298</v>
      </c>
    </row>
    <row r="355" spans="1:2">
      <c r="A355" s="3">
        <v>37088</v>
      </c>
      <c r="B355" s="4">
        <v>1305</v>
      </c>
    </row>
    <row r="356" spans="1:2">
      <c r="A356" s="3">
        <v>37089</v>
      </c>
      <c r="B356" s="4">
        <v>1306</v>
      </c>
    </row>
    <row r="357" spans="1:2">
      <c r="A357" s="3">
        <v>37090</v>
      </c>
      <c r="B357" s="4">
        <v>1302</v>
      </c>
    </row>
    <row r="358" spans="1:2">
      <c r="A358" s="3">
        <v>37091</v>
      </c>
      <c r="B358" s="4">
        <v>1295</v>
      </c>
    </row>
    <row r="359" spans="1:2">
      <c r="A359" s="3">
        <v>37092</v>
      </c>
      <c r="B359" s="4">
        <v>1295</v>
      </c>
    </row>
    <row r="360" spans="1:2">
      <c r="A360" s="3">
        <v>37095</v>
      </c>
      <c r="B360" s="4">
        <v>1305</v>
      </c>
    </row>
    <row r="361" spans="1:2">
      <c r="A361" s="3">
        <v>37096</v>
      </c>
      <c r="B361" s="4">
        <v>1305</v>
      </c>
    </row>
    <row r="362" spans="1:2">
      <c r="A362" s="3">
        <v>37097</v>
      </c>
      <c r="B362" s="4">
        <v>1300</v>
      </c>
    </row>
    <row r="363" spans="1:2">
      <c r="A363" s="3">
        <v>37098</v>
      </c>
      <c r="B363" s="4">
        <v>1291</v>
      </c>
    </row>
    <row r="364" spans="1:2">
      <c r="A364" s="3">
        <v>37099</v>
      </c>
      <c r="B364" s="4">
        <v>1290</v>
      </c>
    </row>
    <row r="365" spans="1:2">
      <c r="A365" s="3">
        <v>37102</v>
      </c>
      <c r="B365" s="4">
        <v>1295</v>
      </c>
    </row>
    <row r="366" spans="1:2">
      <c r="A366" s="3">
        <v>37103</v>
      </c>
      <c r="B366" s="4">
        <v>1293</v>
      </c>
    </row>
    <row r="367" spans="1:2">
      <c r="A367" s="3">
        <v>37104</v>
      </c>
      <c r="B367" s="4">
        <v>1287</v>
      </c>
    </row>
    <row r="368" spans="1:2">
      <c r="A368" s="3">
        <v>37105</v>
      </c>
      <c r="B368" s="4">
        <v>1279</v>
      </c>
    </row>
    <row r="369" spans="1:2">
      <c r="A369" s="3">
        <v>37106</v>
      </c>
      <c r="B369" s="4">
        <v>1277</v>
      </c>
    </row>
    <row r="370" spans="1:2">
      <c r="A370" s="3">
        <v>37109</v>
      </c>
      <c r="B370" s="4">
        <v>1277</v>
      </c>
    </row>
    <row r="371" spans="1:2">
      <c r="A371" s="3">
        <v>37110</v>
      </c>
      <c r="B371" s="4">
        <v>1280</v>
      </c>
    </row>
    <row r="372" spans="1:2">
      <c r="A372" s="3">
        <v>37111</v>
      </c>
      <c r="B372" s="4">
        <v>1275</v>
      </c>
    </row>
    <row r="373" spans="1:2">
      <c r="A373" s="3">
        <v>37112</v>
      </c>
      <c r="B373" s="4">
        <v>1279</v>
      </c>
    </row>
    <row r="374" spans="1:2">
      <c r="A374" s="3">
        <v>37113</v>
      </c>
      <c r="B374" s="4">
        <v>1274</v>
      </c>
    </row>
    <row r="375" spans="1:2">
      <c r="A375" s="3">
        <v>37116</v>
      </c>
      <c r="B375" s="4">
        <v>1274</v>
      </c>
    </row>
    <row r="376" spans="1:2">
      <c r="A376" s="3">
        <v>37117</v>
      </c>
      <c r="B376" s="4">
        <v>1274</v>
      </c>
    </row>
    <row r="377" spans="1:2">
      <c r="A377" s="3">
        <v>37118</v>
      </c>
      <c r="B377" s="4">
        <v>1274</v>
      </c>
    </row>
    <row r="378" spans="1:2">
      <c r="A378" s="3">
        <v>37119</v>
      </c>
      <c r="B378" s="4">
        <v>1274</v>
      </c>
    </row>
    <row r="379" spans="1:2">
      <c r="A379" s="3">
        <v>37120</v>
      </c>
      <c r="B379" s="4">
        <v>1274</v>
      </c>
    </row>
    <row r="380" spans="1:2">
      <c r="A380" s="3">
        <v>37123</v>
      </c>
      <c r="B380" s="4">
        <v>1276</v>
      </c>
    </row>
    <row r="381" spans="1:2">
      <c r="A381" s="3">
        <v>37124</v>
      </c>
      <c r="B381" s="4">
        <v>1274</v>
      </c>
    </row>
    <row r="382" spans="1:2">
      <c r="A382" s="3">
        <v>37125</v>
      </c>
      <c r="B382" s="4">
        <v>1273</v>
      </c>
    </row>
    <row r="383" spans="1:2">
      <c r="A383" s="3">
        <v>37126</v>
      </c>
      <c r="B383" s="4">
        <v>1274</v>
      </c>
    </row>
    <row r="384" spans="1:2">
      <c r="A384" s="3">
        <v>37127</v>
      </c>
      <c r="B384" s="4">
        <v>1271</v>
      </c>
    </row>
    <row r="385" spans="1:2">
      <c r="A385" s="3">
        <v>37130</v>
      </c>
      <c r="B385" s="4">
        <v>1271</v>
      </c>
    </row>
    <row r="386" spans="1:2">
      <c r="A386" s="3">
        <v>37131</v>
      </c>
      <c r="B386" s="4">
        <v>1271</v>
      </c>
    </row>
    <row r="387" spans="1:2">
      <c r="A387" s="3">
        <v>37132</v>
      </c>
      <c r="B387" s="4">
        <v>1272</v>
      </c>
    </row>
    <row r="388" spans="1:2">
      <c r="A388" s="3">
        <v>37133</v>
      </c>
      <c r="B388" s="4">
        <v>1274</v>
      </c>
    </row>
    <row r="389" spans="1:2">
      <c r="A389" s="3">
        <v>37134</v>
      </c>
      <c r="B389" s="4">
        <v>1278</v>
      </c>
    </row>
    <row r="390" spans="1:2">
      <c r="A390" s="3">
        <v>37137</v>
      </c>
      <c r="B390" s="4">
        <v>1279</v>
      </c>
    </row>
    <row r="391" spans="1:2">
      <c r="A391" s="3">
        <v>37138</v>
      </c>
      <c r="B391" s="4">
        <v>1280</v>
      </c>
    </row>
    <row r="392" spans="1:2">
      <c r="A392" s="3">
        <v>37139</v>
      </c>
      <c r="B392" s="4">
        <v>1284</v>
      </c>
    </row>
    <row r="393" spans="1:2">
      <c r="A393" s="3">
        <v>37140</v>
      </c>
      <c r="B393" s="4">
        <v>1272</v>
      </c>
    </row>
    <row r="394" spans="1:2">
      <c r="A394" s="3">
        <v>37141</v>
      </c>
      <c r="B394" s="4">
        <v>1287</v>
      </c>
    </row>
    <row r="395" spans="1:2">
      <c r="A395" s="3">
        <v>37144</v>
      </c>
      <c r="B395" s="4">
        <v>1280</v>
      </c>
    </row>
    <row r="396" spans="1:2">
      <c r="A396" s="3">
        <v>37145</v>
      </c>
      <c r="B396" s="4">
        <v>1286</v>
      </c>
    </row>
    <row r="397" spans="1:2">
      <c r="A397" s="3">
        <v>37146</v>
      </c>
      <c r="B397" s="4">
        <v>1284.5</v>
      </c>
    </row>
    <row r="398" spans="1:2">
      <c r="A398" s="3">
        <v>37147</v>
      </c>
      <c r="B398" s="4">
        <v>1290</v>
      </c>
    </row>
    <row r="399" spans="1:2">
      <c r="A399" s="3">
        <v>37148</v>
      </c>
      <c r="B399" s="4">
        <v>1296</v>
      </c>
    </row>
    <row r="400" spans="1:2">
      <c r="A400" s="3">
        <v>37151</v>
      </c>
      <c r="B400" s="4">
        <v>1298.5</v>
      </c>
    </row>
    <row r="401" spans="1:2">
      <c r="A401" s="3">
        <v>37152</v>
      </c>
      <c r="B401" s="4">
        <v>1296</v>
      </c>
    </row>
    <row r="402" spans="1:2">
      <c r="A402" s="3">
        <v>37153</v>
      </c>
      <c r="B402" s="4">
        <v>1287</v>
      </c>
    </row>
    <row r="403" spans="1:2">
      <c r="A403" s="3">
        <v>37154</v>
      </c>
      <c r="B403" s="4">
        <v>1288</v>
      </c>
    </row>
    <row r="404" spans="1:2">
      <c r="A404" s="3">
        <v>37155</v>
      </c>
      <c r="B404" s="4">
        <v>1295</v>
      </c>
    </row>
    <row r="405" spans="1:2">
      <c r="A405" s="3">
        <v>37158</v>
      </c>
      <c r="B405" s="4">
        <v>1297</v>
      </c>
    </row>
    <row r="406" spans="1:2">
      <c r="A406" s="3">
        <v>37159</v>
      </c>
      <c r="B406" s="4">
        <v>1298</v>
      </c>
    </row>
    <row r="407" spans="1:2">
      <c r="A407" s="3">
        <v>37160</v>
      </c>
      <c r="B407" s="4">
        <v>1295</v>
      </c>
    </row>
    <row r="408" spans="1:2">
      <c r="A408" s="3">
        <v>37161</v>
      </c>
      <c r="B408" s="4">
        <v>1297</v>
      </c>
    </row>
    <row r="409" spans="1:2">
      <c r="A409" s="3">
        <v>37162</v>
      </c>
      <c r="B409" s="4">
        <v>1299</v>
      </c>
    </row>
    <row r="410" spans="1:2">
      <c r="A410" s="3">
        <v>37165</v>
      </c>
      <c r="B410" s="4">
        <v>1299</v>
      </c>
    </row>
    <row r="411" spans="1:2">
      <c r="A411" s="3">
        <v>37166</v>
      </c>
      <c r="B411" s="4">
        <v>1299</v>
      </c>
    </row>
    <row r="412" spans="1:2">
      <c r="A412" s="3">
        <v>37167</v>
      </c>
      <c r="B412" s="4">
        <v>1299</v>
      </c>
    </row>
    <row r="413" spans="1:2">
      <c r="A413" s="3">
        <v>37168</v>
      </c>
      <c r="B413" s="4">
        <v>1303</v>
      </c>
    </row>
    <row r="414" spans="1:2">
      <c r="A414" s="3">
        <v>37169</v>
      </c>
      <c r="B414" s="4">
        <v>1302</v>
      </c>
    </row>
    <row r="415" spans="1:2">
      <c r="A415" s="3">
        <v>37172</v>
      </c>
      <c r="B415" s="4">
        <v>1300</v>
      </c>
    </row>
    <row r="416" spans="1:2">
      <c r="A416" s="3">
        <v>37173</v>
      </c>
      <c r="B416" s="4">
        <v>1297</v>
      </c>
    </row>
    <row r="417" spans="1:2">
      <c r="A417" s="3">
        <v>37174</v>
      </c>
      <c r="B417" s="4">
        <v>1298</v>
      </c>
    </row>
    <row r="418" spans="1:2">
      <c r="A418" s="3">
        <v>37175</v>
      </c>
      <c r="B418" s="4">
        <v>1292</v>
      </c>
    </row>
    <row r="419" spans="1:2">
      <c r="A419" s="3">
        <v>37176</v>
      </c>
      <c r="B419" s="4">
        <v>1289</v>
      </c>
    </row>
    <row r="420" spans="1:2">
      <c r="A420" s="3">
        <v>37179</v>
      </c>
      <c r="B420" s="4">
        <v>1287</v>
      </c>
    </row>
    <row r="421" spans="1:2">
      <c r="A421" s="3">
        <v>37180</v>
      </c>
      <c r="B421" s="4">
        <v>1295</v>
      </c>
    </row>
    <row r="422" spans="1:2">
      <c r="A422" s="3">
        <v>37181</v>
      </c>
      <c r="B422" s="4">
        <v>1295</v>
      </c>
    </row>
    <row r="423" spans="1:2">
      <c r="A423" s="3">
        <v>37182</v>
      </c>
      <c r="B423" s="4">
        <v>1292</v>
      </c>
    </row>
    <row r="424" spans="1:2">
      <c r="A424" s="3">
        <v>37183</v>
      </c>
      <c r="B424" s="4">
        <v>1297</v>
      </c>
    </row>
    <row r="425" spans="1:2">
      <c r="A425" s="3">
        <v>37186</v>
      </c>
      <c r="B425" s="4">
        <v>1298</v>
      </c>
    </row>
    <row r="426" spans="1:2">
      <c r="A426" s="3">
        <v>37187</v>
      </c>
      <c r="B426" s="4">
        <v>1299</v>
      </c>
    </row>
    <row r="427" spans="1:2">
      <c r="A427" s="3">
        <v>37188</v>
      </c>
      <c r="B427" s="4">
        <v>1291</v>
      </c>
    </row>
    <row r="428" spans="1:2">
      <c r="A428" s="3">
        <v>37189</v>
      </c>
      <c r="B428" s="4">
        <v>1291</v>
      </c>
    </row>
    <row r="429" spans="1:2">
      <c r="A429" s="3">
        <v>37190</v>
      </c>
      <c r="B429" s="4">
        <v>1292</v>
      </c>
    </row>
    <row r="430" spans="1:2">
      <c r="A430" s="3">
        <v>37193</v>
      </c>
      <c r="B430" s="4">
        <v>1289</v>
      </c>
    </row>
    <row r="431" spans="1:2">
      <c r="A431" s="3">
        <v>37194</v>
      </c>
      <c r="B431" s="4">
        <v>1288</v>
      </c>
    </row>
    <row r="432" spans="1:2">
      <c r="A432" s="3">
        <v>37195</v>
      </c>
      <c r="B432" s="4">
        <v>1286</v>
      </c>
    </row>
    <row r="433" spans="1:2">
      <c r="A433" s="3">
        <v>37196</v>
      </c>
      <c r="B433" s="4">
        <v>1286</v>
      </c>
    </row>
    <row r="434" spans="1:2">
      <c r="A434" s="3">
        <v>37197</v>
      </c>
      <c r="B434" s="4">
        <v>1286</v>
      </c>
    </row>
    <row r="435" spans="1:2">
      <c r="A435" s="3">
        <v>37200</v>
      </c>
      <c r="B435" s="4">
        <v>1286</v>
      </c>
    </row>
    <row r="436" spans="1:2">
      <c r="A436" s="3">
        <v>37201</v>
      </c>
      <c r="B436" s="4">
        <v>1285</v>
      </c>
    </row>
    <row r="437" spans="1:2">
      <c r="A437" s="3">
        <v>37202</v>
      </c>
      <c r="B437" s="4">
        <v>1282</v>
      </c>
    </row>
    <row r="438" spans="1:2">
      <c r="A438" s="3">
        <v>37203</v>
      </c>
      <c r="B438" s="4">
        <v>1275</v>
      </c>
    </row>
    <row r="439" spans="1:2">
      <c r="A439" s="3">
        <v>37204</v>
      </c>
      <c r="B439" s="4">
        <v>1273</v>
      </c>
    </row>
    <row r="440" spans="1:2">
      <c r="A440" s="3">
        <v>37207</v>
      </c>
      <c r="B440" s="4">
        <v>1273</v>
      </c>
    </row>
    <row r="441" spans="1:2">
      <c r="A441" s="3">
        <v>37208</v>
      </c>
      <c r="B441" s="4">
        <v>1278</v>
      </c>
    </row>
    <row r="442" spans="1:2">
      <c r="A442" s="3">
        <v>37209</v>
      </c>
      <c r="B442" s="4">
        <v>1274</v>
      </c>
    </row>
    <row r="443" spans="1:2">
      <c r="A443" s="3">
        <v>37210</v>
      </c>
      <c r="B443" s="4">
        <v>1273</v>
      </c>
    </row>
    <row r="444" spans="1:2">
      <c r="A444" s="3">
        <v>37211</v>
      </c>
      <c r="B444" s="4">
        <v>1273</v>
      </c>
    </row>
    <row r="445" spans="1:2">
      <c r="A445" s="3">
        <v>37214</v>
      </c>
      <c r="B445" s="4">
        <v>1274</v>
      </c>
    </row>
    <row r="446" spans="1:2">
      <c r="A446" s="3">
        <v>37215</v>
      </c>
      <c r="B446" s="4">
        <v>1273</v>
      </c>
    </row>
    <row r="447" spans="1:2">
      <c r="A447" s="3">
        <v>37216</v>
      </c>
      <c r="B447" s="4">
        <v>1270</v>
      </c>
    </row>
    <row r="448" spans="1:2">
      <c r="A448" s="3">
        <v>37217</v>
      </c>
      <c r="B448" s="4">
        <v>1277.3</v>
      </c>
    </row>
    <row r="449" spans="1:2">
      <c r="A449" s="3">
        <v>37218</v>
      </c>
      <c r="B449" s="4">
        <v>1260</v>
      </c>
    </row>
    <row r="450" spans="1:2">
      <c r="A450" s="3">
        <v>37221</v>
      </c>
      <c r="B450" s="4">
        <v>1252</v>
      </c>
    </row>
    <row r="451" spans="1:2">
      <c r="A451" s="3">
        <v>37222</v>
      </c>
      <c r="B451" s="4">
        <v>1255</v>
      </c>
    </row>
    <row r="452" spans="1:2">
      <c r="A452" s="3">
        <v>37223</v>
      </c>
      <c r="B452" s="4">
        <v>1262</v>
      </c>
    </row>
    <row r="453" spans="1:2">
      <c r="A453" s="3">
        <v>37224</v>
      </c>
      <c r="B453" s="4">
        <v>1259</v>
      </c>
    </row>
    <row r="454" spans="1:2">
      <c r="A454" s="3">
        <v>37225</v>
      </c>
      <c r="B454" s="4">
        <v>1263</v>
      </c>
    </row>
    <row r="455" spans="1:2">
      <c r="A455" s="3">
        <v>37228</v>
      </c>
      <c r="B455" s="4">
        <v>1268</v>
      </c>
    </row>
    <row r="456" spans="1:2">
      <c r="A456" s="3">
        <v>37229</v>
      </c>
      <c r="B456" s="4">
        <v>1264.0999999999999</v>
      </c>
    </row>
    <row r="457" spans="1:2">
      <c r="A457" s="3">
        <v>37230</v>
      </c>
      <c r="B457" s="4">
        <v>1260.9000000000001</v>
      </c>
    </row>
    <row r="458" spans="1:2">
      <c r="A458" s="3">
        <v>37231</v>
      </c>
      <c r="B458" s="4">
        <v>1264.4000000000001</v>
      </c>
    </row>
    <row r="459" spans="1:2">
      <c r="A459" s="3">
        <v>37232</v>
      </c>
      <c r="B459" s="4">
        <v>1264</v>
      </c>
    </row>
    <row r="460" spans="1:2">
      <c r="A460" s="3">
        <v>37235</v>
      </c>
      <c r="B460" s="4">
        <v>1272.5999999999999</v>
      </c>
    </row>
    <row r="461" spans="1:2">
      <c r="A461" s="3">
        <v>37236</v>
      </c>
      <c r="B461" s="4">
        <v>1268.3</v>
      </c>
    </row>
    <row r="462" spans="1:2">
      <c r="A462" s="3">
        <v>37237</v>
      </c>
      <c r="B462" s="4">
        <v>1264.4000000000001</v>
      </c>
    </row>
    <row r="463" spans="1:2">
      <c r="A463" s="3">
        <v>37238</v>
      </c>
      <c r="B463" s="4">
        <v>1264.5999999999999</v>
      </c>
    </row>
    <row r="464" spans="1:2">
      <c r="A464" s="3">
        <v>37239</v>
      </c>
      <c r="B464" s="4">
        <v>1275.9000000000001</v>
      </c>
    </row>
    <row r="465" spans="1:2">
      <c r="A465" s="3">
        <v>37242</v>
      </c>
      <c r="B465" s="4">
        <v>1283.5</v>
      </c>
    </row>
    <row r="466" spans="1:2">
      <c r="A466" s="3">
        <v>37243</v>
      </c>
      <c r="B466" s="4">
        <v>1281.9000000000001</v>
      </c>
    </row>
    <row r="467" spans="1:2">
      <c r="A467" s="3">
        <v>37244</v>
      </c>
      <c r="B467" s="4">
        <v>1282.2</v>
      </c>
    </row>
    <row r="468" spans="1:2">
      <c r="A468" s="3">
        <v>37245</v>
      </c>
      <c r="B468" s="4">
        <v>1290.2</v>
      </c>
    </row>
    <row r="469" spans="1:2">
      <c r="A469" s="3">
        <v>37246</v>
      </c>
      <c r="B469" s="4">
        <v>1298.9000000000001</v>
      </c>
    </row>
    <row r="470" spans="1:2">
      <c r="A470" s="3">
        <v>37249</v>
      </c>
      <c r="B470" s="4">
        <v>1298.2</v>
      </c>
    </row>
    <row r="471" spans="1:2">
      <c r="A471" s="3">
        <v>37250</v>
      </c>
      <c r="B471" s="4">
        <v>1298.2</v>
      </c>
    </row>
    <row r="472" spans="1:2">
      <c r="A472" s="3">
        <v>37251</v>
      </c>
      <c r="B472" s="4">
        <v>1308</v>
      </c>
    </row>
    <row r="473" spans="1:2">
      <c r="A473" s="3">
        <v>37252</v>
      </c>
      <c r="B473" s="4">
        <v>1319.1</v>
      </c>
    </row>
    <row r="474" spans="1:2">
      <c r="A474" s="3">
        <v>37253</v>
      </c>
      <c r="B474" s="4">
        <v>1313</v>
      </c>
    </row>
    <row r="475" spans="1:2">
      <c r="A475" s="3">
        <v>37256</v>
      </c>
      <c r="B475" s="4">
        <v>1313</v>
      </c>
    </row>
    <row r="476" spans="1:2">
      <c r="A476" s="3">
        <v>37258</v>
      </c>
      <c r="B476" s="4">
        <v>1307.4000000000001</v>
      </c>
    </row>
    <row r="477" spans="1:2">
      <c r="A477" s="3">
        <v>37259</v>
      </c>
      <c r="B477" s="4">
        <v>1302.7</v>
      </c>
    </row>
    <row r="478" spans="1:2">
      <c r="A478" s="3">
        <v>37260</v>
      </c>
      <c r="B478" s="4">
        <v>1300</v>
      </c>
    </row>
    <row r="479" spans="1:2">
      <c r="A479" s="3">
        <v>37263</v>
      </c>
      <c r="B479" s="4">
        <v>1291</v>
      </c>
    </row>
    <row r="480" spans="1:2">
      <c r="A480" s="3">
        <v>37264</v>
      </c>
      <c r="B480" s="4">
        <v>1299.5</v>
      </c>
    </row>
    <row r="481" spans="1:2">
      <c r="A481" s="3">
        <v>37265</v>
      </c>
      <c r="B481" s="4">
        <v>1301.9000000000001</v>
      </c>
    </row>
    <row r="482" spans="1:2">
      <c r="A482" s="3">
        <v>37266</v>
      </c>
      <c r="B482" s="4">
        <v>1302.3</v>
      </c>
    </row>
    <row r="483" spans="1:2">
      <c r="A483" s="3">
        <v>37267</v>
      </c>
      <c r="B483" s="4">
        <v>1305.5</v>
      </c>
    </row>
    <row r="484" spans="1:2">
      <c r="A484" s="3">
        <v>37270</v>
      </c>
      <c r="B484" s="4">
        <v>1302.3</v>
      </c>
    </row>
    <row r="485" spans="1:2">
      <c r="A485" s="3">
        <v>37271</v>
      </c>
      <c r="B485" s="4">
        <v>1306.9000000000001</v>
      </c>
    </row>
    <row r="486" spans="1:2">
      <c r="A486" s="3">
        <v>37272</v>
      </c>
      <c r="B486" s="4">
        <v>1305.8</v>
      </c>
    </row>
    <row r="487" spans="1:2">
      <c r="A487" s="3">
        <v>37273</v>
      </c>
      <c r="B487" s="4">
        <v>1307.3</v>
      </c>
    </row>
    <row r="488" spans="1:2">
      <c r="A488" s="3">
        <v>37274</v>
      </c>
      <c r="B488" s="4">
        <v>1310.5</v>
      </c>
    </row>
    <row r="489" spans="1:2">
      <c r="A489" s="3">
        <v>37277</v>
      </c>
      <c r="B489" s="4">
        <v>1310.4000000000001</v>
      </c>
    </row>
    <row r="490" spans="1:2">
      <c r="A490" s="3">
        <v>37278</v>
      </c>
      <c r="B490" s="4">
        <v>1310.4000000000001</v>
      </c>
    </row>
    <row r="491" spans="1:2">
      <c r="A491" s="3">
        <v>37279</v>
      </c>
      <c r="B491" s="4">
        <v>1330.5</v>
      </c>
    </row>
    <row r="492" spans="1:2">
      <c r="A492" s="3">
        <v>37280</v>
      </c>
      <c r="B492" s="4">
        <v>1320.5</v>
      </c>
    </row>
    <row r="493" spans="1:2">
      <c r="A493" s="3">
        <v>37281</v>
      </c>
      <c r="B493" s="4">
        <v>1317.6</v>
      </c>
    </row>
    <row r="494" spans="1:2">
      <c r="A494" s="3">
        <v>37284</v>
      </c>
      <c r="B494" s="4">
        <v>1311.3</v>
      </c>
    </row>
    <row r="495" spans="1:2">
      <c r="A495" s="3">
        <v>37285</v>
      </c>
      <c r="B495" s="4">
        <v>1303.5999999999999</v>
      </c>
    </row>
    <row r="496" spans="1:2">
      <c r="A496" s="3">
        <v>37286</v>
      </c>
      <c r="B496" s="4">
        <v>1301</v>
      </c>
    </row>
    <row r="497" spans="1:2">
      <c r="A497" s="3">
        <v>37287</v>
      </c>
      <c r="B497" s="4">
        <v>1304.4000000000001</v>
      </c>
    </row>
    <row r="498" spans="1:2">
      <c r="A498" s="3">
        <v>37288</v>
      </c>
      <c r="B498" s="4">
        <v>1307.5999999999999</v>
      </c>
    </row>
    <row r="499" spans="1:2">
      <c r="A499" s="3">
        <v>37291</v>
      </c>
      <c r="B499" s="4">
        <v>1307.8</v>
      </c>
    </row>
    <row r="500" spans="1:2">
      <c r="A500" s="3">
        <v>37292</v>
      </c>
      <c r="B500" s="4">
        <v>1306.8</v>
      </c>
    </row>
    <row r="501" spans="1:2">
      <c r="A501" s="3">
        <v>37293</v>
      </c>
      <c r="B501" s="4">
        <v>1306.7</v>
      </c>
    </row>
    <row r="502" spans="1:2">
      <c r="A502" s="3">
        <v>37294</v>
      </c>
      <c r="B502" s="4">
        <v>1308.2</v>
      </c>
    </row>
    <row r="503" spans="1:2">
      <c r="A503" s="3">
        <v>37295</v>
      </c>
      <c r="B503" s="4">
        <v>1310.2</v>
      </c>
    </row>
    <row r="504" spans="1:2">
      <c r="A504" s="3">
        <v>37298</v>
      </c>
      <c r="B504" s="4">
        <v>1310.2</v>
      </c>
    </row>
    <row r="505" spans="1:2">
      <c r="A505" s="3">
        <v>37299</v>
      </c>
      <c r="B505" s="4">
        <v>1310.2</v>
      </c>
    </row>
    <row r="506" spans="1:2">
      <c r="A506" s="3">
        <v>37300</v>
      </c>
      <c r="B506" s="4">
        <v>1310.2</v>
      </c>
    </row>
    <row r="507" spans="1:2">
      <c r="A507" s="3">
        <v>37301</v>
      </c>
      <c r="B507" s="4">
        <v>1306.2</v>
      </c>
    </row>
    <row r="508" spans="1:2">
      <c r="A508" s="3">
        <v>37302</v>
      </c>
      <c r="B508" s="4">
        <v>1305.2</v>
      </c>
    </row>
    <row r="509" spans="1:2">
      <c r="A509" s="3">
        <v>37305</v>
      </c>
      <c r="B509" s="4">
        <v>1306.5999999999999</v>
      </c>
    </row>
    <row r="510" spans="1:2">
      <c r="A510" s="3">
        <v>37306</v>
      </c>
      <c r="B510" s="4">
        <v>1311</v>
      </c>
    </row>
    <row r="511" spans="1:2">
      <c r="A511" s="3">
        <v>37307</v>
      </c>
      <c r="B511" s="4">
        <v>1310</v>
      </c>
    </row>
    <row r="512" spans="1:2">
      <c r="A512" s="3">
        <v>37308</v>
      </c>
      <c r="B512" s="4">
        <v>1308.8</v>
      </c>
    </row>
    <row r="513" spans="1:2">
      <c r="A513" s="3">
        <v>37309</v>
      </c>
      <c r="B513" s="4">
        <v>1312</v>
      </c>
    </row>
    <row r="514" spans="1:2">
      <c r="A514" s="3">
        <v>37312</v>
      </c>
      <c r="B514" s="4">
        <v>1313.9</v>
      </c>
    </row>
    <row r="515" spans="1:2">
      <c r="A515" s="3">
        <v>37313</v>
      </c>
      <c r="B515" s="4">
        <v>1315.4</v>
      </c>
    </row>
    <row r="516" spans="1:2">
      <c r="A516" s="3">
        <v>37314</v>
      </c>
      <c r="B516" s="4">
        <v>1317.3</v>
      </c>
    </row>
    <row r="517" spans="1:2">
      <c r="A517" s="3">
        <v>37315</v>
      </c>
      <c r="B517" s="4">
        <v>1313.8</v>
      </c>
    </row>
    <row r="518" spans="1:2">
      <c r="A518" s="3">
        <v>37316</v>
      </c>
      <c r="B518" s="4">
        <v>1313.8</v>
      </c>
    </row>
    <row r="519" spans="1:2">
      <c r="A519" s="3">
        <v>37319</v>
      </c>
      <c r="B519" s="4">
        <v>1308.2</v>
      </c>
    </row>
    <row r="520" spans="1:2">
      <c r="A520" s="3">
        <v>37320</v>
      </c>
      <c r="B520" s="4">
        <v>1306.4000000000001</v>
      </c>
    </row>
    <row r="521" spans="1:2">
      <c r="A521" s="3">
        <v>37321</v>
      </c>
      <c r="B521" s="4">
        <v>1306.3</v>
      </c>
    </row>
    <row r="522" spans="1:2">
      <c r="A522" s="3">
        <v>37322</v>
      </c>
      <c r="B522" s="4">
        <v>1304.5</v>
      </c>
    </row>
    <row r="523" spans="1:2">
      <c r="A523" s="3">
        <v>37323</v>
      </c>
      <c r="B523" s="4">
        <v>1304.3</v>
      </c>
    </row>
    <row r="524" spans="1:2">
      <c r="A524" s="3">
        <v>37326</v>
      </c>
      <c r="B524" s="4">
        <v>1307</v>
      </c>
    </row>
    <row r="525" spans="1:2">
      <c r="A525" s="3">
        <v>37327</v>
      </c>
      <c r="B525" s="4">
        <v>1308.5</v>
      </c>
    </row>
    <row r="526" spans="1:2">
      <c r="A526" s="3">
        <v>37328</v>
      </c>
      <c r="B526" s="4">
        <v>1310.5</v>
      </c>
    </row>
    <row r="527" spans="1:2">
      <c r="A527" s="3">
        <v>37329</v>
      </c>
      <c r="B527" s="4">
        <v>1312.1</v>
      </c>
    </row>
    <row r="528" spans="1:2">
      <c r="A528" s="3">
        <v>37330</v>
      </c>
      <c r="B528" s="4">
        <v>1312.8</v>
      </c>
    </row>
    <row r="529" spans="1:2">
      <c r="A529" s="3">
        <v>37333</v>
      </c>
      <c r="B529" s="4">
        <v>1315.5</v>
      </c>
    </row>
    <row r="530" spans="1:2">
      <c r="A530" s="3">
        <v>37334</v>
      </c>
      <c r="B530" s="4">
        <v>1316.5</v>
      </c>
    </row>
    <row r="531" spans="1:2">
      <c r="A531" s="3">
        <v>37335</v>
      </c>
      <c r="B531" s="4">
        <v>1315.8</v>
      </c>
    </row>
    <row r="532" spans="1:2">
      <c r="A532" s="3">
        <v>37336</v>
      </c>
      <c r="B532" s="4">
        <v>1316.8</v>
      </c>
    </row>
    <row r="533" spans="1:2">
      <c r="A533" s="3">
        <v>37337</v>
      </c>
      <c r="B533" s="4">
        <v>1318.4</v>
      </c>
    </row>
    <row r="534" spans="1:2">
      <c r="A534" s="3">
        <v>37340</v>
      </c>
      <c r="B534" s="4">
        <v>1321.5</v>
      </c>
    </row>
    <row r="535" spans="1:2">
      <c r="A535" s="3">
        <v>37341</v>
      </c>
      <c r="B535" s="4">
        <v>1319.3</v>
      </c>
    </row>
    <row r="536" spans="1:2">
      <c r="A536" s="3">
        <v>37342</v>
      </c>
      <c r="B536" s="4">
        <v>1317</v>
      </c>
    </row>
    <row r="537" spans="1:2">
      <c r="A537" s="3">
        <v>37343</v>
      </c>
      <c r="B537" s="4">
        <v>1317</v>
      </c>
    </row>
    <row r="538" spans="1:2">
      <c r="A538" s="3">
        <v>37344</v>
      </c>
      <c r="B538" s="4">
        <v>1315.9</v>
      </c>
    </row>
    <row r="539" spans="1:2">
      <c r="A539" s="3">
        <v>37347</v>
      </c>
      <c r="B539" s="4">
        <v>1317.5</v>
      </c>
    </row>
    <row r="540" spans="1:2">
      <c r="A540" s="3">
        <v>37348</v>
      </c>
      <c r="B540" s="4">
        <v>1319</v>
      </c>
    </row>
    <row r="541" spans="1:2">
      <c r="A541" s="3">
        <v>37349</v>
      </c>
      <c r="B541" s="4">
        <v>1319</v>
      </c>
    </row>
    <row r="542" spans="1:2">
      <c r="A542" s="3">
        <v>37350</v>
      </c>
      <c r="B542" s="4">
        <v>1320.5</v>
      </c>
    </row>
    <row r="543" spans="1:2">
      <c r="A543" s="3">
        <v>37351</v>
      </c>
      <c r="B543" s="4">
        <v>1320.5</v>
      </c>
    </row>
    <row r="544" spans="1:2">
      <c r="A544" s="3">
        <v>37354</v>
      </c>
      <c r="B544" s="4">
        <v>1318.2</v>
      </c>
    </row>
    <row r="545" spans="1:2">
      <c r="A545" s="3">
        <v>37355</v>
      </c>
      <c r="B545" s="4">
        <v>1319.6</v>
      </c>
    </row>
    <row r="546" spans="1:2">
      <c r="A546" s="3">
        <v>37356</v>
      </c>
      <c r="B546" s="4">
        <v>1319.2</v>
      </c>
    </row>
    <row r="547" spans="1:2">
      <c r="A547" s="3">
        <v>37357</v>
      </c>
      <c r="B547" s="4">
        <v>1320</v>
      </c>
    </row>
    <row r="548" spans="1:2">
      <c r="A548" s="3">
        <v>37358</v>
      </c>
      <c r="B548" s="4">
        <v>1322</v>
      </c>
    </row>
    <row r="549" spans="1:2">
      <c r="A549" s="3">
        <v>37361</v>
      </c>
      <c r="B549" s="4">
        <v>1317.9</v>
      </c>
    </row>
    <row r="550" spans="1:2">
      <c r="A550" s="3">
        <v>37362</v>
      </c>
      <c r="B550" s="4">
        <v>1315.6</v>
      </c>
    </row>
    <row r="551" spans="1:2">
      <c r="A551" s="3">
        <v>37363</v>
      </c>
      <c r="B551" s="4">
        <v>1308.7</v>
      </c>
    </row>
    <row r="552" spans="1:2">
      <c r="A552" s="3">
        <v>37364</v>
      </c>
      <c r="B552" s="4">
        <v>1303.2</v>
      </c>
    </row>
    <row r="553" spans="1:2">
      <c r="A553" s="3">
        <v>37365</v>
      </c>
      <c r="B553" s="4">
        <v>1302.2</v>
      </c>
    </row>
    <row r="554" spans="1:2">
      <c r="A554" s="3">
        <v>37368</v>
      </c>
      <c r="B554" s="4">
        <v>1298.8</v>
      </c>
    </row>
    <row r="555" spans="1:2">
      <c r="A555" s="3">
        <v>37369</v>
      </c>
      <c r="B555" s="4">
        <v>1296.3</v>
      </c>
    </row>
    <row r="556" spans="1:2">
      <c r="A556" s="3">
        <v>37370</v>
      </c>
      <c r="B556" s="4">
        <v>1297</v>
      </c>
    </row>
    <row r="557" spans="1:2">
      <c r="A557" s="3">
        <v>37371</v>
      </c>
      <c r="B557" s="4">
        <v>1287.5999999999999</v>
      </c>
    </row>
    <row r="558" spans="1:2">
      <c r="A558" s="3">
        <v>37372</v>
      </c>
      <c r="B558" s="4">
        <v>1287.5999999999999</v>
      </c>
    </row>
    <row r="559" spans="1:2">
      <c r="A559" s="3">
        <v>37375</v>
      </c>
      <c r="B559" s="4">
        <v>1283.5999999999999</v>
      </c>
    </row>
    <row r="560" spans="1:2">
      <c r="A560" s="3">
        <v>37376</v>
      </c>
      <c r="B560" s="4">
        <v>1284</v>
      </c>
    </row>
    <row r="561" spans="1:2">
      <c r="A561" s="3">
        <v>37377</v>
      </c>
      <c r="B561" s="4">
        <v>1284</v>
      </c>
    </row>
    <row r="562" spans="1:2">
      <c r="A562" s="3">
        <v>37378</v>
      </c>
      <c r="B562" s="4">
        <v>1278</v>
      </c>
    </row>
    <row r="563" spans="1:2">
      <c r="A563" s="3">
        <v>37379</v>
      </c>
      <c r="B563" s="4">
        <v>1274</v>
      </c>
    </row>
    <row r="564" spans="1:2">
      <c r="A564" s="3">
        <v>37382</v>
      </c>
      <c r="B564" s="4">
        <v>1271.2</v>
      </c>
    </row>
    <row r="565" spans="1:2">
      <c r="A565" s="3">
        <v>37383</v>
      </c>
      <c r="B565" s="4">
        <v>1269.5</v>
      </c>
    </row>
    <row r="566" spans="1:2">
      <c r="A566" s="3">
        <v>37384</v>
      </c>
      <c r="B566" s="4">
        <v>1275.4000000000001</v>
      </c>
    </row>
    <row r="567" spans="1:2">
      <c r="A567" s="3">
        <v>37385</v>
      </c>
      <c r="B567" s="4">
        <v>1272.4000000000001</v>
      </c>
    </row>
    <row r="568" spans="1:2">
      <c r="A568" s="3">
        <v>37386</v>
      </c>
      <c r="B568" s="4">
        <v>1270</v>
      </c>
    </row>
    <row r="569" spans="1:2">
      <c r="A569" s="3">
        <v>37389</v>
      </c>
      <c r="B569" s="4">
        <v>1278</v>
      </c>
    </row>
    <row r="570" spans="1:2">
      <c r="A570" s="3">
        <v>37390</v>
      </c>
      <c r="B570" s="4">
        <v>1269.3</v>
      </c>
    </row>
    <row r="571" spans="1:2">
      <c r="A571" s="3">
        <v>37391</v>
      </c>
      <c r="B571" s="4">
        <v>1267.5</v>
      </c>
    </row>
    <row r="572" spans="1:2">
      <c r="A572" s="3">
        <v>37392</v>
      </c>
      <c r="B572" s="4">
        <v>1259.8</v>
      </c>
    </row>
    <row r="573" spans="1:2">
      <c r="A573" s="3">
        <v>37393</v>
      </c>
      <c r="B573" s="4">
        <v>1251.5999999999999</v>
      </c>
    </row>
    <row r="574" spans="1:2">
      <c r="A574" s="3">
        <v>37396</v>
      </c>
      <c r="B574" s="4">
        <v>1243.5999999999999</v>
      </c>
    </row>
    <row r="575" spans="1:2">
      <c r="A575" s="3">
        <v>37397</v>
      </c>
      <c r="B575" s="4">
        <v>1239.5999999999999</v>
      </c>
    </row>
    <row r="576" spans="1:2">
      <c r="A576" s="3">
        <v>37398</v>
      </c>
      <c r="B576" s="4">
        <v>1232.2</v>
      </c>
    </row>
    <row r="577" spans="1:2">
      <c r="A577" s="3">
        <v>37399</v>
      </c>
      <c r="B577" s="4">
        <v>1231.0999999999999</v>
      </c>
    </row>
    <row r="578" spans="1:2">
      <c r="A578" s="3">
        <v>37400</v>
      </c>
      <c r="B578" s="4">
        <v>1228.2</v>
      </c>
    </row>
    <row r="579" spans="1:2">
      <c r="A579" s="3">
        <v>37403</v>
      </c>
      <c r="B579" s="4">
        <v>1218.8</v>
      </c>
    </row>
    <row r="580" spans="1:2">
      <c r="A580" s="3">
        <v>37404</v>
      </c>
      <c r="B580" s="4">
        <v>1222.5</v>
      </c>
    </row>
    <row r="581" spans="1:2">
      <c r="A581" s="3">
        <v>37405</v>
      </c>
      <c r="B581" s="4">
        <v>1219.3</v>
      </c>
    </row>
    <row r="582" spans="1:2">
      <c r="A582" s="3">
        <v>37406</v>
      </c>
      <c r="B582" s="4">
        <v>1212.5</v>
      </c>
    </row>
    <row r="583" spans="1:2">
      <c r="A583" s="3">
        <v>37407</v>
      </c>
      <c r="B583" s="4">
        <v>1209.3</v>
      </c>
    </row>
    <row r="584" spans="1:2">
      <c r="A584" s="3">
        <v>37410</v>
      </c>
      <c r="B584" s="4">
        <v>1209.3</v>
      </c>
    </row>
    <row r="585" spans="1:2">
      <c r="A585" s="3">
        <v>37411</v>
      </c>
      <c r="B585" s="4">
        <v>1205.0999999999999</v>
      </c>
    </row>
    <row r="586" spans="1:2">
      <c r="A586" s="3">
        <v>37412</v>
      </c>
      <c r="B586" s="4">
        <v>1209</v>
      </c>
    </row>
    <row r="587" spans="1:2">
      <c r="A587" s="3">
        <v>37413</v>
      </c>
      <c r="B587" s="4">
        <v>1220</v>
      </c>
    </row>
    <row r="588" spans="1:2">
      <c r="A588" s="3">
        <v>37414</v>
      </c>
      <c r="B588" s="4">
        <v>1227</v>
      </c>
    </row>
    <row r="589" spans="1:2">
      <c r="A589" s="3">
        <v>37417</v>
      </c>
      <c r="B589" s="4">
        <v>1229</v>
      </c>
    </row>
    <row r="590" spans="1:2">
      <c r="A590" s="3">
        <v>37418</v>
      </c>
      <c r="B590" s="4">
        <v>1210.5</v>
      </c>
    </row>
    <row r="591" spans="1:2">
      <c r="A591" s="3">
        <v>37419</v>
      </c>
      <c r="B591" s="4">
        <v>1218.5999999999999</v>
      </c>
    </row>
    <row r="592" spans="1:2">
      <c r="A592" s="3">
        <v>37420</v>
      </c>
      <c r="B592" s="4">
        <v>1218.5999999999999</v>
      </c>
    </row>
    <row r="593" spans="1:2">
      <c r="A593" s="3">
        <v>37421</v>
      </c>
      <c r="B593" s="4">
        <v>1221.0999999999999</v>
      </c>
    </row>
    <row r="594" spans="1:2">
      <c r="A594" s="3">
        <v>37424</v>
      </c>
      <c r="B594" s="4">
        <v>1230</v>
      </c>
    </row>
    <row r="595" spans="1:2">
      <c r="A595" s="3">
        <v>37425</v>
      </c>
      <c r="B595" s="4">
        <v>1219</v>
      </c>
    </row>
    <row r="596" spans="1:2">
      <c r="A596" s="3">
        <v>37426</v>
      </c>
      <c r="B596" s="4">
        <v>1215.3</v>
      </c>
    </row>
    <row r="597" spans="1:2">
      <c r="A597" s="3">
        <v>37427</v>
      </c>
      <c r="B597" s="4">
        <v>1209.8</v>
      </c>
    </row>
    <row r="598" spans="1:2">
      <c r="A598" s="3">
        <v>37428</v>
      </c>
      <c r="B598" s="4">
        <v>1204.4000000000001</v>
      </c>
    </row>
    <row r="599" spans="1:2">
      <c r="A599" s="3">
        <v>37431</v>
      </c>
      <c r="B599" s="4">
        <v>1209</v>
      </c>
    </row>
    <row r="600" spans="1:2">
      <c r="A600" s="3">
        <v>37432</v>
      </c>
      <c r="B600" s="4">
        <v>1212</v>
      </c>
    </row>
    <row r="601" spans="1:2">
      <c r="A601" s="3">
        <v>37433</v>
      </c>
      <c r="B601" s="4">
        <v>1202</v>
      </c>
    </row>
    <row r="602" spans="1:2">
      <c r="A602" s="3">
        <v>37434</v>
      </c>
      <c r="B602" s="4">
        <v>1187.9000000000001</v>
      </c>
    </row>
    <row r="603" spans="1:2">
      <c r="A603" s="3">
        <v>37435</v>
      </c>
      <c r="B603" s="4">
        <v>1201</v>
      </c>
    </row>
    <row r="604" spans="1:2">
      <c r="A604" s="3">
        <v>37438</v>
      </c>
      <c r="B604" s="4">
        <v>1201.2</v>
      </c>
    </row>
    <row r="605" spans="1:2">
      <c r="A605" s="3">
        <v>37439</v>
      </c>
      <c r="B605" s="4">
        <v>1190.8</v>
      </c>
    </row>
    <row r="606" spans="1:2">
      <c r="A606" s="3">
        <v>37440</v>
      </c>
      <c r="B606" s="4">
        <v>1192.8</v>
      </c>
    </row>
    <row r="607" spans="1:2">
      <c r="A607" s="3">
        <v>37441</v>
      </c>
      <c r="B607" s="4">
        <v>1200.5</v>
      </c>
    </row>
    <row r="608" spans="1:2">
      <c r="A608" s="3">
        <v>37442</v>
      </c>
      <c r="B608" s="4">
        <v>1189.9000000000001</v>
      </c>
    </row>
    <row r="609" spans="1:2">
      <c r="A609" s="3">
        <v>37445</v>
      </c>
      <c r="B609" s="4">
        <v>1185</v>
      </c>
    </row>
    <row r="610" spans="1:2">
      <c r="A610" s="3">
        <v>37446</v>
      </c>
      <c r="B610" s="4">
        <v>1167.2</v>
      </c>
    </row>
    <row r="611" spans="1:2">
      <c r="A611" s="3">
        <v>37447</v>
      </c>
      <c r="B611" s="4">
        <v>1164.4000000000001</v>
      </c>
    </row>
    <row r="612" spans="1:2">
      <c r="A612" s="3">
        <v>37448</v>
      </c>
      <c r="B612" s="4">
        <v>1164.5</v>
      </c>
    </row>
    <row r="613" spans="1:2">
      <c r="A613" s="3">
        <v>37449</v>
      </c>
      <c r="B613" s="4">
        <v>1167.8</v>
      </c>
    </row>
    <row r="614" spans="1:2">
      <c r="A614" s="3">
        <v>37452</v>
      </c>
      <c r="B614" s="4">
        <v>1161.5999999999999</v>
      </c>
    </row>
    <row r="615" spans="1:2">
      <c r="A615" s="3">
        <v>37453</v>
      </c>
      <c r="B615" s="4">
        <v>1156.8</v>
      </c>
    </row>
    <row r="616" spans="1:2">
      <c r="A616" s="3">
        <v>37454</v>
      </c>
      <c r="B616" s="4">
        <v>1156.8</v>
      </c>
    </row>
    <row r="617" spans="1:2">
      <c r="A617" s="3">
        <v>37455</v>
      </c>
      <c r="B617" s="4">
        <v>1159.8</v>
      </c>
    </row>
    <row r="618" spans="1:2">
      <c r="A618" s="3">
        <v>37456</v>
      </c>
      <c r="B618" s="4">
        <v>1155.5999999999999</v>
      </c>
    </row>
    <row r="619" spans="1:2">
      <c r="A619" s="3">
        <v>37459</v>
      </c>
      <c r="B619" s="4">
        <v>1150.5999999999999</v>
      </c>
    </row>
    <row r="620" spans="1:2">
      <c r="A620" s="3">
        <v>37460</v>
      </c>
      <c r="B620" s="4">
        <v>1158.0999999999999</v>
      </c>
    </row>
    <row r="621" spans="1:2">
      <c r="A621" s="3">
        <v>37461</v>
      </c>
      <c r="B621" s="4">
        <v>1160.0999999999999</v>
      </c>
    </row>
    <row r="622" spans="1:2">
      <c r="A622" s="3">
        <v>37462</v>
      </c>
      <c r="B622" s="4">
        <v>1170</v>
      </c>
    </row>
    <row r="623" spans="1:2">
      <c r="A623" s="3">
        <v>37463</v>
      </c>
      <c r="B623" s="4">
        <v>1175.4000000000001</v>
      </c>
    </row>
    <row r="624" spans="1:2">
      <c r="A624" s="3">
        <v>37466</v>
      </c>
      <c r="B624" s="4">
        <v>1185</v>
      </c>
    </row>
    <row r="625" spans="1:2">
      <c r="A625" s="3">
        <v>37467</v>
      </c>
      <c r="B625" s="4">
        <v>1178.0999999999999</v>
      </c>
    </row>
    <row r="626" spans="1:2">
      <c r="A626" s="3">
        <v>37468</v>
      </c>
      <c r="B626" s="4">
        <v>1173</v>
      </c>
    </row>
    <row r="627" spans="1:2">
      <c r="A627" s="3">
        <v>37469</v>
      </c>
      <c r="B627" s="4">
        <v>1172.8</v>
      </c>
    </row>
    <row r="628" spans="1:2">
      <c r="A628" s="3">
        <v>37470</v>
      </c>
      <c r="B628" s="4">
        <v>1174.3</v>
      </c>
    </row>
    <row r="629" spans="1:2">
      <c r="A629" s="3">
        <v>37473</v>
      </c>
      <c r="B629" s="4">
        <v>1187.5</v>
      </c>
    </row>
    <row r="630" spans="1:2">
      <c r="A630" s="3">
        <v>37474</v>
      </c>
      <c r="B630" s="4">
        <v>1214</v>
      </c>
    </row>
    <row r="631" spans="1:2">
      <c r="A631" s="3">
        <v>37475</v>
      </c>
      <c r="B631" s="4">
        <v>1204</v>
      </c>
    </row>
    <row r="632" spans="1:2">
      <c r="A632" s="3">
        <v>37476</v>
      </c>
      <c r="B632" s="4">
        <v>1196.7</v>
      </c>
    </row>
    <row r="633" spans="1:2">
      <c r="A633" s="3">
        <v>37477</v>
      </c>
      <c r="B633" s="4">
        <v>1193.5</v>
      </c>
    </row>
    <row r="634" spans="1:2">
      <c r="A634" s="3">
        <v>37480</v>
      </c>
      <c r="B634" s="4">
        <v>1195</v>
      </c>
    </row>
    <row r="635" spans="1:2">
      <c r="A635" s="3">
        <v>37481</v>
      </c>
      <c r="B635" s="4">
        <v>1189.5999999999999</v>
      </c>
    </row>
    <row r="636" spans="1:2">
      <c r="A636" s="3">
        <v>37482</v>
      </c>
      <c r="B636" s="4">
        <v>1176.3</v>
      </c>
    </row>
    <row r="637" spans="1:2">
      <c r="A637" s="3">
        <v>37483</v>
      </c>
      <c r="B637" s="4">
        <v>1176</v>
      </c>
    </row>
    <row r="638" spans="1:2">
      <c r="A638" s="3">
        <v>37484</v>
      </c>
      <c r="B638" s="4">
        <v>1178.9000000000001</v>
      </c>
    </row>
    <row r="639" spans="1:2">
      <c r="A639" s="3">
        <v>37487</v>
      </c>
      <c r="B639" s="4">
        <v>1184.2</v>
      </c>
    </row>
    <row r="640" spans="1:2">
      <c r="A640" s="3">
        <v>37488</v>
      </c>
      <c r="B640" s="4">
        <v>1185</v>
      </c>
    </row>
    <row r="641" spans="1:2">
      <c r="A641" s="3">
        <v>37489</v>
      </c>
      <c r="B641" s="4">
        <v>1182</v>
      </c>
    </row>
    <row r="642" spans="1:2">
      <c r="A642" s="3">
        <v>37490</v>
      </c>
      <c r="B642" s="4">
        <v>1183.7</v>
      </c>
    </row>
    <row r="643" spans="1:2">
      <c r="A643" s="3">
        <v>37491</v>
      </c>
      <c r="B643" s="4">
        <v>1200</v>
      </c>
    </row>
    <row r="644" spans="1:2">
      <c r="A644" s="3">
        <v>37494</v>
      </c>
      <c r="B644" s="4">
        <v>1195.3</v>
      </c>
    </row>
    <row r="645" spans="1:2">
      <c r="A645" s="3">
        <v>37495</v>
      </c>
      <c r="B645" s="4">
        <v>1189.8</v>
      </c>
    </row>
    <row r="646" spans="1:2">
      <c r="A646" s="3">
        <v>37496</v>
      </c>
      <c r="B646" s="4">
        <v>1197</v>
      </c>
    </row>
    <row r="647" spans="1:2">
      <c r="A647" s="3">
        <v>37497</v>
      </c>
      <c r="B647" s="4">
        <v>1197</v>
      </c>
    </row>
    <row r="648" spans="1:2">
      <c r="A648" s="3">
        <v>37498</v>
      </c>
      <c r="B648" s="4">
        <v>1191.9000000000001</v>
      </c>
    </row>
    <row r="649" spans="1:2">
      <c r="A649" s="3">
        <v>37501</v>
      </c>
      <c r="B649" s="4">
        <v>1192.2</v>
      </c>
    </row>
    <row r="650" spans="1:2">
      <c r="A650" s="3">
        <v>37502</v>
      </c>
      <c r="B650" s="4">
        <v>1190.5</v>
      </c>
    </row>
    <row r="651" spans="1:2">
      <c r="A651" s="3">
        <v>37503</v>
      </c>
      <c r="B651" s="4">
        <v>1185.0999999999999</v>
      </c>
    </row>
    <row r="652" spans="1:2">
      <c r="A652" s="3">
        <v>37504</v>
      </c>
      <c r="B652" s="4">
        <v>1181.2</v>
      </c>
    </row>
    <row r="653" spans="1:2">
      <c r="A653" s="3">
        <v>37505</v>
      </c>
      <c r="B653" s="4">
        <v>1196</v>
      </c>
    </row>
    <row r="654" spans="1:2">
      <c r="A654" s="3">
        <v>37508</v>
      </c>
      <c r="B654" s="4">
        <v>1186.8</v>
      </c>
    </row>
    <row r="655" spans="1:2">
      <c r="A655" s="3">
        <v>37509</v>
      </c>
      <c r="B655" s="4">
        <v>1202</v>
      </c>
    </row>
    <row r="656" spans="1:2">
      <c r="A656" s="3">
        <v>37510</v>
      </c>
      <c r="B656" s="4">
        <v>1192.5</v>
      </c>
    </row>
    <row r="657" spans="1:2">
      <c r="A657" s="3">
        <v>37511</v>
      </c>
      <c r="B657" s="4">
        <v>1191.4000000000001</v>
      </c>
    </row>
    <row r="658" spans="1:2">
      <c r="A658" s="3">
        <v>37512</v>
      </c>
      <c r="B658" s="4">
        <v>1213</v>
      </c>
    </row>
    <row r="659" spans="1:2">
      <c r="A659" s="3">
        <v>37515</v>
      </c>
      <c r="B659" s="4">
        <v>1210</v>
      </c>
    </row>
    <row r="660" spans="1:2">
      <c r="A660" s="3">
        <v>37516</v>
      </c>
      <c r="B660" s="4">
        <v>1208.5999999999999</v>
      </c>
    </row>
    <row r="661" spans="1:2">
      <c r="A661" s="3">
        <v>37517</v>
      </c>
      <c r="B661" s="4">
        <v>1203</v>
      </c>
    </row>
    <row r="662" spans="1:2">
      <c r="A662" s="3">
        <v>37518</v>
      </c>
      <c r="B662" s="4">
        <v>1200</v>
      </c>
    </row>
    <row r="663" spans="1:2">
      <c r="A663" s="3">
        <v>37519</v>
      </c>
      <c r="B663" s="4">
        <v>1200</v>
      </c>
    </row>
    <row r="664" spans="1:2">
      <c r="A664" s="3">
        <v>37522</v>
      </c>
      <c r="B664" s="4">
        <v>1223</v>
      </c>
    </row>
    <row r="665" spans="1:2">
      <c r="A665" s="3">
        <v>37523</v>
      </c>
      <c r="B665" s="4">
        <v>1213.5</v>
      </c>
    </row>
    <row r="666" spans="1:2">
      <c r="A666" s="3">
        <v>37524</v>
      </c>
      <c r="B666" s="4">
        <v>1220</v>
      </c>
    </row>
    <row r="667" spans="1:2">
      <c r="A667" s="3">
        <v>37525</v>
      </c>
      <c r="B667" s="4">
        <v>1218.5999999999999</v>
      </c>
    </row>
    <row r="668" spans="1:2">
      <c r="A668" s="3">
        <v>37526</v>
      </c>
      <c r="B668" s="4">
        <v>1217.9000000000001</v>
      </c>
    </row>
    <row r="669" spans="1:2">
      <c r="A669" s="3">
        <v>37529</v>
      </c>
      <c r="B669" s="4">
        <v>1217.7</v>
      </c>
    </row>
    <row r="670" spans="1:2">
      <c r="A670" s="3">
        <v>37530</v>
      </c>
      <c r="B670" s="4">
        <v>1217.5</v>
      </c>
    </row>
    <row r="671" spans="1:2">
      <c r="A671" s="3">
        <v>37531</v>
      </c>
      <c r="B671" s="4">
        <v>1220.4000000000001</v>
      </c>
    </row>
    <row r="672" spans="1:2">
      <c r="A672" s="3">
        <v>37532</v>
      </c>
      <c r="B672" s="4">
        <v>1220.4000000000001</v>
      </c>
    </row>
    <row r="673" spans="1:2">
      <c r="A673" s="3">
        <v>37533</v>
      </c>
      <c r="B673" s="4">
        <v>1222.4000000000001</v>
      </c>
    </row>
    <row r="674" spans="1:2">
      <c r="A674" s="3">
        <v>37536</v>
      </c>
      <c r="B674" s="4">
        <v>1230.7</v>
      </c>
    </row>
    <row r="675" spans="1:2">
      <c r="A675" s="3">
        <v>37537</v>
      </c>
      <c r="B675" s="4">
        <v>1237.0999999999999</v>
      </c>
    </row>
    <row r="676" spans="1:2">
      <c r="A676" s="3">
        <v>37538</v>
      </c>
      <c r="B676" s="4">
        <v>1244</v>
      </c>
    </row>
    <row r="677" spans="1:2">
      <c r="A677" s="3">
        <v>37539</v>
      </c>
      <c r="B677" s="4">
        <v>1247.8</v>
      </c>
    </row>
    <row r="678" spans="1:2">
      <c r="A678" s="3">
        <v>37540</v>
      </c>
      <c r="B678" s="4">
        <v>1260</v>
      </c>
    </row>
    <row r="679" spans="1:2">
      <c r="A679" s="3">
        <v>37543</v>
      </c>
      <c r="B679" s="4">
        <v>1249</v>
      </c>
    </row>
    <row r="680" spans="1:2">
      <c r="A680" s="3">
        <v>37544</v>
      </c>
      <c r="B680" s="4">
        <v>1250</v>
      </c>
    </row>
    <row r="681" spans="1:2">
      <c r="A681" s="3">
        <v>37545</v>
      </c>
      <c r="B681" s="4">
        <v>1236.9000000000001</v>
      </c>
    </row>
    <row r="682" spans="1:2">
      <c r="A682" s="3">
        <v>37546</v>
      </c>
      <c r="B682" s="4">
        <v>1244</v>
      </c>
    </row>
    <row r="683" spans="1:2">
      <c r="A683" s="3">
        <v>37547</v>
      </c>
      <c r="B683" s="4">
        <v>1250</v>
      </c>
    </row>
    <row r="684" spans="1:2">
      <c r="A684" s="3">
        <v>37550</v>
      </c>
      <c r="B684" s="4">
        <v>1230</v>
      </c>
    </row>
    <row r="685" spans="1:2">
      <c r="A685" s="3">
        <v>37551</v>
      </c>
      <c r="B685" s="4">
        <v>1241</v>
      </c>
    </row>
    <row r="686" spans="1:2">
      <c r="A686" s="3">
        <v>37552</v>
      </c>
      <c r="B686" s="4">
        <v>1230</v>
      </c>
    </row>
    <row r="687" spans="1:2">
      <c r="A687" s="3">
        <v>37553</v>
      </c>
      <c r="B687" s="4">
        <v>1221.9000000000001</v>
      </c>
    </row>
    <row r="688" spans="1:2">
      <c r="A688" s="3">
        <v>37554</v>
      </c>
      <c r="B688" s="4">
        <v>1221.5999999999999</v>
      </c>
    </row>
    <row r="689" spans="1:2">
      <c r="A689" s="3">
        <v>37557</v>
      </c>
      <c r="B689" s="4">
        <v>1223.5</v>
      </c>
    </row>
    <row r="690" spans="1:2">
      <c r="A690" s="3">
        <v>37558</v>
      </c>
      <c r="B690" s="4">
        <v>1212</v>
      </c>
    </row>
    <row r="691" spans="1:2">
      <c r="A691" s="3">
        <v>37559</v>
      </c>
      <c r="B691" s="4">
        <v>1231</v>
      </c>
    </row>
    <row r="692" spans="1:2">
      <c r="A692" s="3">
        <v>37560</v>
      </c>
      <c r="B692" s="4">
        <v>1223</v>
      </c>
    </row>
    <row r="693" spans="1:2">
      <c r="A693" s="3">
        <v>37561</v>
      </c>
      <c r="B693" s="4">
        <v>1224.3</v>
      </c>
    </row>
    <row r="694" spans="1:2">
      <c r="A694" s="3">
        <v>37564</v>
      </c>
      <c r="B694" s="4">
        <v>1221</v>
      </c>
    </row>
    <row r="695" spans="1:2">
      <c r="A695" s="3">
        <v>37565</v>
      </c>
      <c r="B695" s="4">
        <v>1218</v>
      </c>
    </row>
    <row r="696" spans="1:2">
      <c r="A696" s="3">
        <v>37566</v>
      </c>
      <c r="B696" s="4">
        <v>1224</v>
      </c>
    </row>
    <row r="697" spans="1:2">
      <c r="A697" s="3">
        <v>37567</v>
      </c>
      <c r="B697" s="4">
        <v>1207.2</v>
      </c>
    </row>
    <row r="698" spans="1:2">
      <c r="A698" s="3">
        <v>37568</v>
      </c>
      <c r="B698" s="4">
        <v>1197</v>
      </c>
    </row>
    <row r="699" spans="1:2">
      <c r="A699" s="3">
        <v>37571</v>
      </c>
      <c r="B699" s="4">
        <v>1190.5999999999999</v>
      </c>
    </row>
    <row r="700" spans="1:2">
      <c r="A700" s="3">
        <v>37572</v>
      </c>
      <c r="B700" s="4">
        <v>1202</v>
      </c>
    </row>
    <row r="701" spans="1:2">
      <c r="A701" s="3">
        <v>37573</v>
      </c>
      <c r="B701" s="4">
        <v>1192.2</v>
      </c>
    </row>
    <row r="702" spans="1:2">
      <c r="A702" s="3">
        <v>37574</v>
      </c>
      <c r="B702" s="4">
        <v>1201.7</v>
      </c>
    </row>
    <row r="703" spans="1:2">
      <c r="A703" s="3">
        <v>37575</v>
      </c>
      <c r="B703" s="4">
        <v>1212</v>
      </c>
    </row>
    <row r="704" spans="1:2">
      <c r="A704" s="3">
        <v>37578</v>
      </c>
      <c r="B704" s="4">
        <v>1210</v>
      </c>
    </row>
    <row r="705" spans="1:2">
      <c r="A705" s="3">
        <v>37579</v>
      </c>
      <c r="B705" s="4">
        <v>1212</v>
      </c>
    </row>
    <row r="706" spans="1:2">
      <c r="A706" s="3">
        <v>37580</v>
      </c>
      <c r="B706" s="4">
        <v>1211.5</v>
      </c>
    </row>
    <row r="707" spans="1:2">
      <c r="A707" s="3">
        <v>37581</v>
      </c>
      <c r="B707" s="4">
        <v>1216</v>
      </c>
    </row>
    <row r="708" spans="1:2">
      <c r="A708" s="3">
        <v>37582</v>
      </c>
      <c r="B708" s="4">
        <v>1215</v>
      </c>
    </row>
    <row r="709" spans="1:2">
      <c r="A709" s="3">
        <v>37585</v>
      </c>
      <c r="B709" s="4">
        <v>1211.5</v>
      </c>
    </row>
    <row r="710" spans="1:2">
      <c r="A710" s="3">
        <v>37586</v>
      </c>
      <c r="B710" s="4">
        <v>1196.0999999999999</v>
      </c>
    </row>
    <row r="711" spans="1:2">
      <c r="A711" s="3">
        <v>37587</v>
      </c>
      <c r="B711" s="4">
        <v>1207</v>
      </c>
    </row>
    <row r="712" spans="1:2">
      <c r="A712" s="3">
        <v>37588</v>
      </c>
      <c r="B712" s="4">
        <v>1207.5999999999999</v>
      </c>
    </row>
    <row r="713" spans="1:2">
      <c r="A713" s="3">
        <v>37589</v>
      </c>
      <c r="B713" s="4">
        <v>1198.7</v>
      </c>
    </row>
    <row r="714" spans="1:2">
      <c r="A714" s="3">
        <v>37592</v>
      </c>
      <c r="B714" s="4">
        <v>1210.4000000000001</v>
      </c>
    </row>
    <row r="715" spans="1:2">
      <c r="A715" s="3">
        <v>37593</v>
      </c>
      <c r="B715" s="4">
        <v>1217.2</v>
      </c>
    </row>
    <row r="716" spans="1:2">
      <c r="A716" s="3">
        <v>37594</v>
      </c>
      <c r="B716" s="4">
        <v>1216.4000000000001</v>
      </c>
    </row>
    <row r="717" spans="1:2">
      <c r="A717" s="3">
        <v>37595</v>
      </c>
      <c r="B717" s="4">
        <v>1220</v>
      </c>
    </row>
    <row r="718" spans="1:2">
      <c r="A718" s="3">
        <v>37596</v>
      </c>
      <c r="B718" s="4">
        <v>1220</v>
      </c>
    </row>
    <row r="719" spans="1:2">
      <c r="A719" s="3">
        <v>37599</v>
      </c>
      <c r="B719" s="4">
        <v>1206</v>
      </c>
    </row>
    <row r="720" spans="1:2">
      <c r="A720" s="3">
        <v>37600</v>
      </c>
      <c r="B720" s="4">
        <v>1211</v>
      </c>
    </row>
    <row r="721" spans="1:2">
      <c r="A721" s="3">
        <v>37601</v>
      </c>
      <c r="B721" s="4">
        <v>1207</v>
      </c>
    </row>
    <row r="722" spans="1:2">
      <c r="A722" s="3">
        <v>37602</v>
      </c>
      <c r="B722" s="4">
        <v>1207</v>
      </c>
    </row>
    <row r="723" spans="1:2">
      <c r="A723" s="3">
        <v>37603</v>
      </c>
      <c r="B723" s="4">
        <v>1204</v>
      </c>
    </row>
    <row r="724" spans="1:2">
      <c r="A724" s="3">
        <v>37606</v>
      </c>
      <c r="B724" s="4">
        <v>1198</v>
      </c>
    </row>
    <row r="725" spans="1:2">
      <c r="A725" s="3">
        <v>37607</v>
      </c>
      <c r="B725" s="4">
        <v>1200</v>
      </c>
    </row>
    <row r="726" spans="1:2">
      <c r="A726" s="3">
        <v>37608</v>
      </c>
      <c r="B726" s="4">
        <v>1201</v>
      </c>
    </row>
    <row r="727" spans="1:2">
      <c r="A727" s="3">
        <v>37609</v>
      </c>
      <c r="B727" s="4">
        <v>1201</v>
      </c>
    </row>
    <row r="728" spans="1:2">
      <c r="A728" s="3">
        <v>37610</v>
      </c>
      <c r="B728" s="4">
        <v>1203</v>
      </c>
    </row>
    <row r="729" spans="1:2">
      <c r="A729" s="3">
        <v>37613</v>
      </c>
      <c r="B729" s="4">
        <v>1198</v>
      </c>
    </row>
    <row r="730" spans="1:2">
      <c r="A730" s="3">
        <v>37614</v>
      </c>
      <c r="B730" s="4">
        <v>1200.5</v>
      </c>
    </row>
    <row r="731" spans="1:2">
      <c r="A731" s="3">
        <v>37615</v>
      </c>
      <c r="B731" s="4">
        <v>1200.5</v>
      </c>
    </row>
    <row r="732" spans="1:2">
      <c r="A732" s="3">
        <v>37616</v>
      </c>
      <c r="B732" s="4">
        <v>1199.8</v>
      </c>
    </row>
    <row r="733" spans="1:2">
      <c r="A733" s="3">
        <v>37617</v>
      </c>
      <c r="B733" s="4">
        <v>1197.5</v>
      </c>
    </row>
    <row r="734" spans="1:2">
      <c r="A734" s="3">
        <v>37620</v>
      </c>
      <c r="B734" s="4">
        <v>1197</v>
      </c>
    </row>
    <row r="735" spans="1:2">
      <c r="A735" s="3">
        <v>37621</v>
      </c>
      <c r="B735" s="4">
        <v>1185.8</v>
      </c>
    </row>
    <row r="736" spans="1:2">
      <c r="A736" s="3">
        <v>37622</v>
      </c>
      <c r="B736" s="4">
        <v>1185.8</v>
      </c>
    </row>
    <row r="737" spans="1:2">
      <c r="A737" s="3">
        <v>37623</v>
      </c>
      <c r="B737" s="4">
        <v>1187</v>
      </c>
    </row>
    <row r="738" spans="1:2">
      <c r="A738" s="3">
        <v>37624</v>
      </c>
      <c r="B738" s="4">
        <v>1196.5999999999999</v>
      </c>
    </row>
    <row r="739" spans="1:2">
      <c r="A739" s="3">
        <v>37627</v>
      </c>
      <c r="B739" s="4">
        <v>1185</v>
      </c>
    </row>
    <row r="740" spans="1:2">
      <c r="A740" s="3">
        <v>37628</v>
      </c>
      <c r="B740" s="4">
        <v>1181</v>
      </c>
    </row>
    <row r="741" spans="1:2">
      <c r="A741" s="3">
        <v>37629</v>
      </c>
      <c r="B741" s="4">
        <v>1182</v>
      </c>
    </row>
    <row r="742" spans="1:2">
      <c r="A742" s="3">
        <v>37630</v>
      </c>
      <c r="B742" s="4">
        <v>1180</v>
      </c>
    </row>
    <row r="743" spans="1:2">
      <c r="A743" s="3">
        <v>37631</v>
      </c>
      <c r="B743" s="4">
        <v>1177</v>
      </c>
    </row>
    <row r="744" spans="1:2">
      <c r="A744" s="3">
        <v>37634</v>
      </c>
      <c r="B744" s="4">
        <v>1175</v>
      </c>
    </row>
    <row r="745" spans="1:2">
      <c r="A745" s="3">
        <v>37635</v>
      </c>
      <c r="B745" s="4">
        <v>1170</v>
      </c>
    </row>
    <row r="746" spans="1:2">
      <c r="A746" s="3">
        <v>37636</v>
      </c>
      <c r="B746" s="4">
        <v>1169.9000000000001</v>
      </c>
    </row>
    <row r="747" spans="1:2">
      <c r="A747" s="3">
        <v>37637</v>
      </c>
      <c r="B747" s="4">
        <v>1167</v>
      </c>
    </row>
    <row r="748" spans="1:2">
      <c r="A748" s="3">
        <v>37638</v>
      </c>
      <c r="B748" s="4">
        <v>1173.4000000000001</v>
      </c>
    </row>
    <row r="749" spans="1:2">
      <c r="A749" s="3">
        <v>37641</v>
      </c>
      <c r="B749" s="4">
        <v>1174.2</v>
      </c>
    </row>
    <row r="750" spans="1:2">
      <c r="A750" s="3">
        <v>37642</v>
      </c>
      <c r="B750" s="4">
        <v>1174</v>
      </c>
    </row>
    <row r="751" spans="1:2">
      <c r="A751" s="3">
        <v>37643</v>
      </c>
      <c r="B751" s="4">
        <v>1177</v>
      </c>
    </row>
    <row r="752" spans="1:2">
      <c r="A752" s="3">
        <v>37644</v>
      </c>
      <c r="B752" s="4">
        <v>1175.4000000000001</v>
      </c>
    </row>
    <row r="753" spans="1:2">
      <c r="A753" s="3">
        <v>37645</v>
      </c>
      <c r="B753" s="4">
        <v>1163</v>
      </c>
    </row>
    <row r="754" spans="1:2">
      <c r="A754" s="3">
        <v>37648</v>
      </c>
      <c r="B754" s="4">
        <v>1160.5999999999999</v>
      </c>
    </row>
    <row r="755" spans="1:2">
      <c r="A755" s="3">
        <v>37649</v>
      </c>
      <c r="B755" s="4">
        <v>1169</v>
      </c>
    </row>
    <row r="756" spans="1:2">
      <c r="A756" s="3">
        <v>37650</v>
      </c>
      <c r="B756" s="4">
        <v>1164</v>
      </c>
    </row>
    <row r="757" spans="1:2">
      <c r="A757" s="3">
        <v>37651</v>
      </c>
      <c r="B757" s="4">
        <v>1163</v>
      </c>
    </row>
    <row r="758" spans="1:2">
      <c r="A758" s="3">
        <v>37652</v>
      </c>
      <c r="B758" s="4">
        <v>1163</v>
      </c>
    </row>
    <row r="759" spans="1:2">
      <c r="A759" s="3">
        <v>37655</v>
      </c>
      <c r="B759" s="4">
        <v>1180</v>
      </c>
    </row>
    <row r="760" spans="1:2">
      <c r="A760" s="3">
        <v>37656</v>
      </c>
      <c r="B760" s="4">
        <v>1171</v>
      </c>
    </row>
    <row r="761" spans="1:2">
      <c r="A761" s="3">
        <v>37657</v>
      </c>
      <c r="B761" s="4">
        <v>1174.2</v>
      </c>
    </row>
    <row r="762" spans="1:2">
      <c r="A762" s="3">
        <v>37658</v>
      </c>
      <c r="B762" s="4">
        <v>1170</v>
      </c>
    </row>
    <row r="763" spans="1:2">
      <c r="A763" s="3">
        <v>37659</v>
      </c>
      <c r="B763" s="4">
        <v>1183.8</v>
      </c>
    </row>
    <row r="764" spans="1:2">
      <c r="A764" s="3">
        <v>37662</v>
      </c>
      <c r="B764" s="4">
        <v>1195.5</v>
      </c>
    </row>
    <row r="765" spans="1:2">
      <c r="A765" s="3">
        <v>37663</v>
      </c>
      <c r="B765" s="4">
        <v>1202</v>
      </c>
    </row>
    <row r="766" spans="1:2">
      <c r="A766" s="3">
        <v>37664</v>
      </c>
      <c r="B766" s="4">
        <v>1192</v>
      </c>
    </row>
    <row r="767" spans="1:2">
      <c r="A767" s="3">
        <v>37665</v>
      </c>
      <c r="B767" s="4">
        <v>1202.3</v>
      </c>
    </row>
    <row r="768" spans="1:2">
      <c r="A768" s="3">
        <v>37666</v>
      </c>
      <c r="B768" s="4">
        <v>1193.5</v>
      </c>
    </row>
    <row r="769" spans="1:2">
      <c r="A769" s="3">
        <v>37669</v>
      </c>
      <c r="B769" s="4">
        <v>1207</v>
      </c>
    </row>
    <row r="770" spans="1:2">
      <c r="A770" s="3">
        <v>37670</v>
      </c>
      <c r="B770" s="4">
        <v>1194</v>
      </c>
    </row>
    <row r="771" spans="1:2">
      <c r="A771" s="3">
        <v>37671</v>
      </c>
      <c r="B771" s="4">
        <v>1197</v>
      </c>
    </row>
    <row r="772" spans="1:2">
      <c r="A772" s="3">
        <v>37672</v>
      </c>
      <c r="B772" s="4">
        <v>1187.4000000000001</v>
      </c>
    </row>
    <row r="773" spans="1:2">
      <c r="A773" s="3">
        <v>37673</v>
      </c>
      <c r="B773" s="4">
        <v>1189</v>
      </c>
    </row>
    <row r="774" spans="1:2">
      <c r="A774" s="3">
        <v>37676</v>
      </c>
      <c r="B774" s="4">
        <v>1186</v>
      </c>
    </row>
    <row r="775" spans="1:2">
      <c r="A775" s="3">
        <v>37677</v>
      </c>
      <c r="B775" s="4">
        <v>1187</v>
      </c>
    </row>
    <row r="776" spans="1:2">
      <c r="A776" s="3">
        <v>37678</v>
      </c>
      <c r="B776" s="4">
        <v>1183</v>
      </c>
    </row>
    <row r="777" spans="1:2">
      <c r="A777" s="3">
        <v>37679</v>
      </c>
      <c r="B777" s="4">
        <v>1181</v>
      </c>
    </row>
    <row r="778" spans="1:2">
      <c r="A778" s="3">
        <v>37680</v>
      </c>
      <c r="B778" s="4">
        <v>1193.5999999999999</v>
      </c>
    </row>
    <row r="779" spans="1:2">
      <c r="A779" s="3">
        <v>37683</v>
      </c>
      <c r="B779" s="4">
        <v>1182.5999999999999</v>
      </c>
    </row>
    <row r="780" spans="1:2">
      <c r="A780" s="3">
        <v>37684</v>
      </c>
      <c r="B780" s="4">
        <v>1193</v>
      </c>
    </row>
    <row r="781" spans="1:2">
      <c r="A781" s="3">
        <v>37685</v>
      </c>
      <c r="B781" s="4">
        <v>1199.0999999999999</v>
      </c>
    </row>
    <row r="782" spans="1:2">
      <c r="A782" s="3">
        <v>37686</v>
      </c>
      <c r="B782" s="4">
        <v>1215</v>
      </c>
    </row>
    <row r="783" spans="1:2">
      <c r="A783" s="3">
        <v>37687</v>
      </c>
      <c r="B783" s="4">
        <v>1218.5999999999999</v>
      </c>
    </row>
    <row r="784" spans="1:2">
      <c r="A784" s="3">
        <v>37690</v>
      </c>
      <c r="B784" s="4">
        <v>1240</v>
      </c>
    </row>
    <row r="785" spans="1:2">
      <c r="A785" s="3">
        <v>37691</v>
      </c>
      <c r="B785" s="4">
        <v>1221.5</v>
      </c>
    </row>
    <row r="786" spans="1:2">
      <c r="A786" s="3">
        <v>37692</v>
      </c>
      <c r="B786" s="4">
        <v>1242.5999999999999</v>
      </c>
    </row>
    <row r="787" spans="1:2">
      <c r="A787" s="3">
        <v>37693</v>
      </c>
      <c r="B787" s="4">
        <v>1240.5</v>
      </c>
    </row>
    <row r="788" spans="1:2">
      <c r="A788" s="3">
        <v>37694</v>
      </c>
      <c r="B788" s="4">
        <v>1241.2</v>
      </c>
    </row>
    <row r="789" spans="1:2">
      <c r="A789" s="3">
        <v>37697</v>
      </c>
      <c r="B789" s="4">
        <v>1245.5</v>
      </c>
    </row>
    <row r="790" spans="1:2">
      <c r="A790" s="3">
        <v>37698</v>
      </c>
      <c r="B790" s="4">
        <v>1250.5</v>
      </c>
    </row>
    <row r="791" spans="1:2">
      <c r="A791" s="3">
        <v>37699</v>
      </c>
      <c r="B791" s="4">
        <v>1256</v>
      </c>
    </row>
    <row r="792" spans="1:2">
      <c r="A792" s="3">
        <v>37700</v>
      </c>
      <c r="B792" s="4">
        <v>1244</v>
      </c>
    </row>
    <row r="793" spans="1:2">
      <c r="A793" s="3">
        <v>37701</v>
      </c>
      <c r="B793" s="4">
        <v>1252</v>
      </c>
    </row>
    <row r="794" spans="1:2">
      <c r="A794" s="3">
        <v>37704</v>
      </c>
      <c r="B794" s="4">
        <v>1250</v>
      </c>
    </row>
    <row r="795" spans="1:2">
      <c r="A795" s="3">
        <v>37705</v>
      </c>
      <c r="B795" s="4">
        <v>1249</v>
      </c>
    </row>
    <row r="796" spans="1:2">
      <c r="A796" s="3">
        <v>37706</v>
      </c>
      <c r="B796" s="4">
        <v>1244</v>
      </c>
    </row>
    <row r="797" spans="1:2">
      <c r="A797" s="3">
        <v>37707</v>
      </c>
      <c r="B797" s="4">
        <v>1246.9000000000001</v>
      </c>
    </row>
    <row r="798" spans="1:2">
      <c r="A798" s="3">
        <v>37708</v>
      </c>
      <c r="B798" s="4">
        <v>1258</v>
      </c>
    </row>
    <row r="799" spans="1:2">
      <c r="A799" s="3">
        <v>37711</v>
      </c>
      <c r="B799" s="4">
        <v>1250</v>
      </c>
    </row>
    <row r="800" spans="1:2">
      <c r="A800" s="3">
        <v>37712</v>
      </c>
      <c r="B800" s="4">
        <v>1256</v>
      </c>
    </row>
    <row r="801" spans="1:2">
      <c r="A801" s="3">
        <v>37713</v>
      </c>
      <c r="B801" s="4">
        <v>1254</v>
      </c>
    </row>
    <row r="802" spans="1:2">
      <c r="A802" s="3">
        <v>37714</v>
      </c>
      <c r="B802" s="4">
        <v>1254</v>
      </c>
    </row>
    <row r="803" spans="1:2">
      <c r="A803" s="3">
        <v>37715</v>
      </c>
      <c r="B803" s="4">
        <v>1257.9000000000001</v>
      </c>
    </row>
    <row r="804" spans="1:2">
      <c r="A804" s="3">
        <v>37718</v>
      </c>
      <c r="B804" s="4">
        <v>1257.4000000000001</v>
      </c>
    </row>
    <row r="805" spans="1:2">
      <c r="A805" s="3">
        <v>37719</v>
      </c>
      <c r="B805" s="4">
        <v>1253</v>
      </c>
    </row>
    <row r="806" spans="1:2">
      <c r="A806" s="3">
        <v>37720</v>
      </c>
      <c r="B806" s="4">
        <v>1244</v>
      </c>
    </row>
    <row r="807" spans="1:2">
      <c r="A807" s="3">
        <v>37721</v>
      </c>
      <c r="B807" s="4">
        <v>1229.5</v>
      </c>
    </row>
    <row r="808" spans="1:2">
      <c r="A808" s="3">
        <v>37722</v>
      </c>
      <c r="B808" s="4">
        <v>1229.5</v>
      </c>
    </row>
    <row r="809" spans="1:2">
      <c r="A809" s="3">
        <v>37725</v>
      </c>
      <c r="B809" s="4">
        <v>1223</v>
      </c>
    </row>
    <row r="810" spans="1:2">
      <c r="A810" s="3">
        <v>37726</v>
      </c>
      <c r="B810" s="4">
        <v>1218</v>
      </c>
    </row>
    <row r="811" spans="1:2">
      <c r="A811" s="3">
        <v>37727</v>
      </c>
      <c r="B811" s="4">
        <v>1212</v>
      </c>
    </row>
    <row r="812" spans="1:2">
      <c r="A812" s="3">
        <v>37728</v>
      </c>
      <c r="B812" s="4">
        <v>1205</v>
      </c>
    </row>
    <row r="813" spans="1:2">
      <c r="A813" s="3">
        <v>37729</v>
      </c>
      <c r="B813" s="4">
        <v>1203.8</v>
      </c>
    </row>
    <row r="814" spans="1:2">
      <c r="A814" s="3">
        <v>37732</v>
      </c>
      <c r="B814" s="4">
        <v>1207</v>
      </c>
    </row>
    <row r="815" spans="1:2">
      <c r="A815" s="3">
        <v>37733</v>
      </c>
      <c r="B815" s="4">
        <v>1217</v>
      </c>
    </row>
    <row r="816" spans="1:2">
      <c r="A816" s="3">
        <v>37734</v>
      </c>
      <c r="B816" s="4">
        <v>1220</v>
      </c>
    </row>
    <row r="817" spans="1:2">
      <c r="A817" s="3">
        <v>37735</v>
      </c>
      <c r="B817" s="4">
        <v>1220.4000000000001</v>
      </c>
    </row>
    <row r="818" spans="1:2">
      <c r="A818" s="3">
        <v>37736</v>
      </c>
      <c r="B818" s="4">
        <v>1237</v>
      </c>
    </row>
    <row r="819" spans="1:2">
      <c r="A819" s="3">
        <v>37739</v>
      </c>
      <c r="B819" s="4">
        <v>1220.5</v>
      </c>
    </row>
    <row r="820" spans="1:2">
      <c r="A820" s="3">
        <v>37740</v>
      </c>
      <c r="B820" s="4">
        <v>1214</v>
      </c>
    </row>
    <row r="821" spans="1:2">
      <c r="A821" s="3">
        <v>37741</v>
      </c>
      <c r="B821" s="4">
        <v>1213.5</v>
      </c>
    </row>
    <row r="822" spans="1:2">
      <c r="A822" s="3">
        <v>37742</v>
      </c>
      <c r="B822" s="4">
        <v>1212</v>
      </c>
    </row>
    <row r="823" spans="1:2">
      <c r="A823" s="3">
        <v>37743</v>
      </c>
      <c r="B823" s="4">
        <v>1212</v>
      </c>
    </row>
    <row r="824" spans="1:2">
      <c r="A824" s="3">
        <v>37746</v>
      </c>
      <c r="B824" s="4">
        <v>1215</v>
      </c>
    </row>
    <row r="825" spans="1:2">
      <c r="A825" s="3">
        <v>37747</v>
      </c>
      <c r="B825" s="4">
        <v>1199</v>
      </c>
    </row>
    <row r="826" spans="1:2">
      <c r="A826" s="3">
        <v>37748</v>
      </c>
      <c r="B826" s="4">
        <v>1198.5999999999999</v>
      </c>
    </row>
    <row r="827" spans="1:2">
      <c r="A827" s="3">
        <v>37749</v>
      </c>
      <c r="B827" s="4">
        <v>1197</v>
      </c>
    </row>
    <row r="828" spans="1:2">
      <c r="A828" s="3">
        <v>37750</v>
      </c>
      <c r="B828" s="4">
        <v>1201</v>
      </c>
    </row>
    <row r="829" spans="1:2">
      <c r="A829" s="3">
        <v>37753</v>
      </c>
      <c r="B829" s="4">
        <v>1191</v>
      </c>
    </row>
    <row r="830" spans="1:2">
      <c r="A830" s="3">
        <v>37754</v>
      </c>
      <c r="B830" s="4">
        <v>1199</v>
      </c>
    </row>
    <row r="831" spans="1:2">
      <c r="A831" s="3">
        <v>37755</v>
      </c>
      <c r="B831" s="4">
        <v>1195</v>
      </c>
    </row>
    <row r="832" spans="1:2">
      <c r="A832" s="3">
        <v>37756</v>
      </c>
      <c r="B832" s="4">
        <v>1196.0999999999999</v>
      </c>
    </row>
    <row r="833" spans="1:2">
      <c r="A833" s="3">
        <v>37757</v>
      </c>
      <c r="B833" s="4">
        <v>1199.8</v>
      </c>
    </row>
    <row r="834" spans="1:2">
      <c r="A834" s="3">
        <v>37760</v>
      </c>
      <c r="B834" s="4">
        <v>1190</v>
      </c>
    </row>
    <row r="835" spans="1:2">
      <c r="A835" s="3">
        <v>37761</v>
      </c>
      <c r="B835" s="4">
        <v>1200</v>
      </c>
    </row>
    <row r="836" spans="1:2">
      <c r="A836" s="3">
        <v>37762</v>
      </c>
      <c r="B836" s="4">
        <v>1194.2</v>
      </c>
    </row>
    <row r="837" spans="1:2">
      <c r="A837" s="3">
        <v>37763</v>
      </c>
      <c r="B837" s="4">
        <v>1195.2</v>
      </c>
    </row>
    <row r="838" spans="1:2">
      <c r="A838" s="3">
        <v>37764</v>
      </c>
      <c r="B838" s="4">
        <v>1194</v>
      </c>
    </row>
    <row r="839" spans="1:2">
      <c r="A839" s="3">
        <v>37767</v>
      </c>
      <c r="B839" s="4">
        <v>1198.8</v>
      </c>
    </row>
    <row r="840" spans="1:2">
      <c r="A840" s="3">
        <v>37768</v>
      </c>
      <c r="B840" s="4">
        <v>1198.2</v>
      </c>
    </row>
    <row r="841" spans="1:2">
      <c r="A841" s="3">
        <v>37769</v>
      </c>
      <c r="B841" s="4">
        <v>1200.4000000000001</v>
      </c>
    </row>
    <row r="842" spans="1:2">
      <c r="A842" s="3">
        <v>37770</v>
      </c>
      <c r="B842" s="4">
        <v>1207</v>
      </c>
    </row>
    <row r="843" spans="1:2">
      <c r="A843" s="3">
        <v>37771</v>
      </c>
      <c r="B843" s="4">
        <v>1208</v>
      </c>
    </row>
    <row r="844" spans="1:2">
      <c r="A844" s="3">
        <v>37774</v>
      </c>
      <c r="B844" s="4">
        <v>1202</v>
      </c>
    </row>
    <row r="845" spans="1:2">
      <c r="A845" s="3">
        <v>37775</v>
      </c>
      <c r="B845" s="4">
        <v>1203</v>
      </c>
    </row>
    <row r="846" spans="1:2">
      <c r="A846" s="3">
        <v>37776</v>
      </c>
      <c r="B846" s="4">
        <v>1199</v>
      </c>
    </row>
    <row r="847" spans="1:2">
      <c r="A847" s="3">
        <v>37777</v>
      </c>
      <c r="B847" s="4">
        <v>1200.2</v>
      </c>
    </row>
    <row r="848" spans="1:2">
      <c r="A848" s="3">
        <v>37778</v>
      </c>
      <c r="B848" s="4">
        <v>1200.2</v>
      </c>
    </row>
    <row r="849" spans="1:2">
      <c r="A849" s="3">
        <v>37781</v>
      </c>
      <c r="B849" s="4">
        <v>1195</v>
      </c>
    </row>
    <row r="850" spans="1:2">
      <c r="A850" s="3">
        <v>37782</v>
      </c>
      <c r="B850" s="4">
        <v>1194.2</v>
      </c>
    </row>
    <row r="851" spans="1:2">
      <c r="A851" s="3">
        <v>37783</v>
      </c>
      <c r="B851" s="4">
        <v>1195.2</v>
      </c>
    </row>
    <row r="852" spans="1:2">
      <c r="A852" s="3">
        <v>37784</v>
      </c>
      <c r="B852" s="4">
        <v>1193.2</v>
      </c>
    </row>
    <row r="853" spans="1:2">
      <c r="A853" s="3">
        <v>37785</v>
      </c>
      <c r="B853" s="4">
        <v>1191.9000000000001</v>
      </c>
    </row>
    <row r="854" spans="1:2">
      <c r="A854" s="3">
        <v>37788</v>
      </c>
      <c r="B854" s="4">
        <v>1190.0999999999999</v>
      </c>
    </row>
    <row r="855" spans="1:2">
      <c r="A855" s="3">
        <v>37789</v>
      </c>
      <c r="B855" s="4">
        <v>1183</v>
      </c>
    </row>
    <row r="856" spans="1:2">
      <c r="A856" s="3">
        <v>37790</v>
      </c>
      <c r="B856" s="4">
        <v>1185</v>
      </c>
    </row>
    <row r="857" spans="1:2">
      <c r="A857" s="3">
        <v>37791</v>
      </c>
      <c r="B857" s="4">
        <v>1197</v>
      </c>
    </row>
    <row r="858" spans="1:2">
      <c r="A858" s="3">
        <v>37792</v>
      </c>
      <c r="B858" s="4">
        <v>1190.5</v>
      </c>
    </row>
    <row r="859" spans="1:2">
      <c r="A859" s="3">
        <v>37795</v>
      </c>
      <c r="B859" s="4">
        <v>1190.2</v>
      </c>
    </row>
    <row r="860" spans="1:2">
      <c r="A860" s="3">
        <v>37796</v>
      </c>
      <c r="B860" s="4">
        <v>1192</v>
      </c>
    </row>
    <row r="861" spans="1:2">
      <c r="A861" s="3">
        <v>37797</v>
      </c>
      <c r="B861" s="4">
        <v>1189</v>
      </c>
    </row>
    <row r="862" spans="1:2">
      <c r="A862" s="3">
        <v>37798</v>
      </c>
      <c r="B862" s="4">
        <v>1186.5</v>
      </c>
    </row>
    <row r="863" spans="1:2">
      <c r="A863" s="3">
        <v>37799</v>
      </c>
      <c r="B863" s="4">
        <v>1193</v>
      </c>
    </row>
    <row r="864" spans="1:2">
      <c r="A864" s="3">
        <v>37802</v>
      </c>
      <c r="B864" s="4">
        <v>1194</v>
      </c>
    </row>
    <row r="865" spans="1:2">
      <c r="A865" s="3">
        <v>37803</v>
      </c>
      <c r="B865" s="4">
        <v>1190</v>
      </c>
    </row>
    <row r="866" spans="1:2">
      <c r="A866" s="3">
        <v>37804</v>
      </c>
      <c r="B866" s="4">
        <v>1187.0999999999999</v>
      </c>
    </row>
    <row r="867" spans="1:2">
      <c r="A867" s="3">
        <v>37805</v>
      </c>
      <c r="B867" s="4">
        <v>1183.4000000000001</v>
      </c>
    </row>
    <row r="868" spans="1:2">
      <c r="A868" s="3">
        <v>37806</v>
      </c>
      <c r="B868" s="4">
        <v>1180</v>
      </c>
    </row>
    <row r="869" spans="1:2">
      <c r="A869" s="3">
        <v>37809</v>
      </c>
      <c r="B869" s="4">
        <v>1181.9000000000001</v>
      </c>
    </row>
    <row r="870" spans="1:2">
      <c r="A870" s="3">
        <v>37810</v>
      </c>
      <c r="B870" s="4">
        <v>1180.0999999999999</v>
      </c>
    </row>
    <row r="871" spans="1:2">
      <c r="A871" s="3">
        <v>37811</v>
      </c>
      <c r="B871" s="4">
        <v>1179</v>
      </c>
    </row>
    <row r="872" spans="1:2">
      <c r="A872" s="3">
        <v>37812</v>
      </c>
      <c r="B872" s="4">
        <v>1177</v>
      </c>
    </row>
    <row r="873" spans="1:2">
      <c r="A873" s="3">
        <v>37813</v>
      </c>
      <c r="B873" s="4">
        <v>1177</v>
      </c>
    </row>
    <row r="874" spans="1:2">
      <c r="A874" s="3">
        <v>37816</v>
      </c>
      <c r="B874" s="4">
        <v>1176</v>
      </c>
    </row>
    <row r="875" spans="1:2">
      <c r="A875" s="3">
        <v>37817</v>
      </c>
      <c r="B875" s="4">
        <v>1177</v>
      </c>
    </row>
    <row r="876" spans="1:2">
      <c r="A876" s="3">
        <v>37818</v>
      </c>
      <c r="B876" s="4">
        <v>1178</v>
      </c>
    </row>
    <row r="877" spans="1:2">
      <c r="A877" s="3">
        <v>37819</v>
      </c>
      <c r="B877" s="4">
        <v>1178</v>
      </c>
    </row>
    <row r="878" spans="1:2">
      <c r="A878" s="3">
        <v>37820</v>
      </c>
      <c r="B878" s="4">
        <v>1184</v>
      </c>
    </row>
    <row r="879" spans="1:2">
      <c r="A879" s="3">
        <v>37823</v>
      </c>
      <c r="B879" s="4">
        <v>1178.4000000000001</v>
      </c>
    </row>
    <row r="880" spans="1:2">
      <c r="A880" s="3">
        <v>37824</v>
      </c>
      <c r="B880" s="4">
        <v>1182.8</v>
      </c>
    </row>
    <row r="881" spans="1:2">
      <c r="A881" s="3">
        <v>37825</v>
      </c>
      <c r="B881" s="4">
        <v>1180.8</v>
      </c>
    </row>
    <row r="882" spans="1:2">
      <c r="A882" s="3">
        <v>37826</v>
      </c>
      <c r="B882" s="4">
        <v>1179.5999999999999</v>
      </c>
    </row>
    <row r="883" spans="1:2">
      <c r="A883" s="3">
        <v>37827</v>
      </c>
      <c r="B883" s="4">
        <v>1180.0999999999999</v>
      </c>
    </row>
    <row r="884" spans="1:2">
      <c r="A884" s="3">
        <v>37830</v>
      </c>
      <c r="B884" s="4">
        <v>1183</v>
      </c>
    </row>
    <row r="885" spans="1:2">
      <c r="A885" s="3">
        <v>37831</v>
      </c>
      <c r="B885" s="4">
        <v>1178.5</v>
      </c>
    </row>
    <row r="886" spans="1:2">
      <c r="A886" s="3">
        <v>37832</v>
      </c>
      <c r="B886" s="4">
        <v>1179.8</v>
      </c>
    </row>
    <row r="887" spans="1:2">
      <c r="A887" s="3">
        <v>37833</v>
      </c>
      <c r="B887" s="4">
        <v>1180</v>
      </c>
    </row>
    <row r="888" spans="1:2">
      <c r="A888" s="3">
        <v>37834</v>
      </c>
      <c r="B888" s="4">
        <v>1183</v>
      </c>
    </row>
    <row r="889" spans="1:2">
      <c r="A889" s="3">
        <v>37837</v>
      </c>
      <c r="B889" s="4">
        <v>1184</v>
      </c>
    </row>
    <row r="890" spans="1:2">
      <c r="A890" s="3">
        <v>37838</v>
      </c>
      <c r="B890" s="4">
        <v>1186</v>
      </c>
    </row>
    <row r="891" spans="1:2">
      <c r="A891" s="3">
        <v>37839</v>
      </c>
      <c r="B891" s="4">
        <v>1186</v>
      </c>
    </row>
    <row r="892" spans="1:2">
      <c r="A892" s="3">
        <v>37840</v>
      </c>
      <c r="B892" s="4">
        <v>1184.9000000000001</v>
      </c>
    </row>
    <row r="893" spans="1:2">
      <c r="A893" s="3">
        <v>37841</v>
      </c>
      <c r="B893" s="4">
        <v>1181</v>
      </c>
    </row>
    <row r="894" spans="1:2">
      <c r="A894" s="3">
        <v>37844</v>
      </c>
      <c r="B894" s="4">
        <v>1178</v>
      </c>
    </row>
    <row r="895" spans="1:2">
      <c r="A895" s="3">
        <v>37845</v>
      </c>
      <c r="B895" s="4">
        <v>1178</v>
      </c>
    </row>
    <row r="896" spans="1:2">
      <c r="A896" s="3">
        <v>37846</v>
      </c>
      <c r="B896" s="4">
        <v>1179</v>
      </c>
    </row>
    <row r="897" spans="1:2">
      <c r="A897" s="3">
        <v>37847</v>
      </c>
      <c r="B897" s="4">
        <v>1178</v>
      </c>
    </row>
    <row r="898" spans="1:2">
      <c r="A898" s="3">
        <v>37848</v>
      </c>
      <c r="B898" s="4">
        <v>1177</v>
      </c>
    </row>
    <row r="899" spans="1:2">
      <c r="A899" s="3">
        <v>37851</v>
      </c>
      <c r="B899" s="4">
        <v>1178</v>
      </c>
    </row>
    <row r="900" spans="1:2">
      <c r="A900" s="3">
        <v>37852</v>
      </c>
      <c r="B900" s="4">
        <v>1178</v>
      </c>
    </row>
    <row r="901" spans="1:2">
      <c r="A901" s="3">
        <v>37853</v>
      </c>
      <c r="B901" s="4">
        <v>1175.5</v>
      </c>
    </row>
    <row r="902" spans="1:2">
      <c r="A902" s="3">
        <v>37854</v>
      </c>
      <c r="B902" s="4">
        <v>1172</v>
      </c>
    </row>
    <row r="903" spans="1:2">
      <c r="A903" s="3">
        <v>37855</v>
      </c>
      <c r="B903" s="4">
        <v>1165</v>
      </c>
    </row>
    <row r="904" spans="1:2">
      <c r="A904" s="3">
        <v>37858</v>
      </c>
      <c r="B904" s="4">
        <v>1170</v>
      </c>
    </row>
    <row r="905" spans="1:2">
      <c r="A905" s="3">
        <v>37859</v>
      </c>
      <c r="B905" s="4">
        <v>1169</v>
      </c>
    </row>
    <row r="906" spans="1:2">
      <c r="A906" s="3">
        <v>37860</v>
      </c>
      <c r="B906" s="4">
        <v>1178</v>
      </c>
    </row>
    <row r="907" spans="1:2">
      <c r="A907" s="3">
        <v>37861</v>
      </c>
      <c r="B907" s="4">
        <v>1178</v>
      </c>
    </row>
    <row r="908" spans="1:2">
      <c r="A908" s="3">
        <v>37862</v>
      </c>
      <c r="B908" s="4">
        <v>1174</v>
      </c>
    </row>
    <row r="909" spans="1:2">
      <c r="A909" s="3">
        <v>37865</v>
      </c>
      <c r="B909" s="4">
        <v>1175.3</v>
      </c>
    </row>
    <row r="910" spans="1:2">
      <c r="A910" s="3">
        <v>37866</v>
      </c>
      <c r="B910" s="4">
        <v>1178</v>
      </c>
    </row>
    <row r="911" spans="1:2">
      <c r="A911" s="3">
        <v>37867</v>
      </c>
      <c r="B911" s="4">
        <v>1174</v>
      </c>
    </row>
    <row r="912" spans="1:2">
      <c r="A912" s="3">
        <v>37868</v>
      </c>
      <c r="B912" s="4">
        <v>1175</v>
      </c>
    </row>
    <row r="913" spans="1:2">
      <c r="A913" s="3">
        <v>37869</v>
      </c>
      <c r="B913" s="4">
        <v>1170</v>
      </c>
    </row>
    <row r="914" spans="1:2">
      <c r="A914" s="3">
        <v>37872</v>
      </c>
      <c r="B914" s="4">
        <v>1169</v>
      </c>
    </row>
    <row r="915" spans="1:2">
      <c r="A915" s="3">
        <v>37873</v>
      </c>
      <c r="B915" s="4">
        <v>1170</v>
      </c>
    </row>
    <row r="916" spans="1:2">
      <c r="A916" s="3">
        <v>37874</v>
      </c>
      <c r="B916" s="4">
        <v>1167</v>
      </c>
    </row>
    <row r="917" spans="1:2">
      <c r="A917" s="3">
        <v>37875</v>
      </c>
      <c r="B917" s="4">
        <v>1170</v>
      </c>
    </row>
    <row r="918" spans="1:2">
      <c r="A918" s="3">
        <v>37876</v>
      </c>
      <c r="B918" s="4">
        <v>1170</v>
      </c>
    </row>
    <row r="919" spans="1:2">
      <c r="A919" s="3">
        <v>37879</v>
      </c>
      <c r="B919" s="4">
        <v>1171</v>
      </c>
    </row>
    <row r="920" spans="1:2">
      <c r="A920" s="3">
        <v>37880</v>
      </c>
      <c r="B920" s="4">
        <v>1169</v>
      </c>
    </row>
    <row r="921" spans="1:2">
      <c r="A921" s="3">
        <v>37881</v>
      </c>
      <c r="B921" s="4">
        <v>1170</v>
      </c>
    </row>
    <row r="922" spans="1:2">
      <c r="A922" s="3">
        <v>37882</v>
      </c>
      <c r="B922" s="4">
        <v>1167</v>
      </c>
    </row>
    <row r="923" spans="1:2">
      <c r="A923" s="3">
        <v>37883</v>
      </c>
      <c r="B923" s="4">
        <v>1165</v>
      </c>
    </row>
    <row r="924" spans="1:2">
      <c r="A924" s="3">
        <v>37886</v>
      </c>
      <c r="B924" s="4">
        <v>1147</v>
      </c>
    </row>
    <row r="925" spans="1:2">
      <c r="A925" s="3">
        <v>37887</v>
      </c>
      <c r="B925" s="4">
        <v>1153</v>
      </c>
    </row>
    <row r="926" spans="1:2">
      <c r="A926" s="3">
        <v>37888</v>
      </c>
      <c r="B926" s="4">
        <v>1150.4000000000001</v>
      </c>
    </row>
    <row r="927" spans="1:2">
      <c r="A927" s="3">
        <v>37889</v>
      </c>
      <c r="B927" s="4">
        <v>1151</v>
      </c>
    </row>
    <row r="928" spans="1:2">
      <c r="A928" s="3">
        <v>37890</v>
      </c>
      <c r="B928" s="4">
        <v>1148</v>
      </c>
    </row>
    <row r="929" spans="1:2">
      <c r="A929" s="3">
        <v>37893</v>
      </c>
      <c r="B929" s="4">
        <v>1147</v>
      </c>
    </row>
    <row r="930" spans="1:2">
      <c r="A930" s="3">
        <v>37894</v>
      </c>
      <c r="B930" s="4">
        <v>1148</v>
      </c>
    </row>
    <row r="931" spans="1:2">
      <c r="A931" s="3">
        <v>37895</v>
      </c>
      <c r="B931" s="4">
        <v>1151.7</v>
      </c>
    </row>
    <row r="932" spans="1:2">
      <c r="A932" s="3">
        <v>37896</v>
      </c>
      <c r="B932" s="4">
        <v>1147</v>
      </c>
    </row>
    <row r="933" spans="1:2">
      <c r="A933" s="3">
        <v>37897</v>
      </c>
      <c r="B933" s="4">
        <v>1146</v>
      </c>
    </row>
    <row r="934" spans="1:2">
      <c r="A934" s="3">
        <v>37900</v>
      </c>
      <c r="B934" s="4">
        <v>1151.4000000000001</v>
      </c>
    </row>
    <row r="935" spans="1:2">
      <c r="A935" s="3">
        <v>37901</v>
      </c>
      <c r="B935" s="4">
        <v>1149</v>
      </c>
    </row>
    <row r="936" spans="1:2">
      <c r="A936" s="3">
        <v>37902</v>
      </c>
      <c r="B936" s="4">
        <v>1149.8</v>
      </c>
    </row>
    <row r="937" spans="1:2">
      <c r="A937" s="3">
        <v>37903</v>
      </c>
      <c r="B937" s="4">
        <v>1148.5999999999999</v>
      </c>
    </row>
    <row r="938" spans="1:2">
      <c r="A938" s="3">
        <v>37904</v>
      </c>
      <c r="B938" s="4">
        <v>1145</v>
      </c>
    </row>
    <row r="939" spans="1:2">
      <c r="A939" s="3">
        <v>37907</v>
      </c>
      <c r="B939" s="4">
        <v>1147</v>
      </c>
    </row>
    <row r="940" spans="1:2">
      <c r="A940" s="3">
        <v>37908</v>
      </c>
      <c r="B940" s="4">
        <v>1174</v>
      </c>
    </row>
    <row r="941" spans="1:2">
      <c r="A941" s="3">
        <v>37909</v>
      </c>
      <c r="B941" s="4">
        <v>1170.4000000000001</v>
      </c>
    </row>
    <row r="942" spans="1:2">
      <c r="A942" s="3">
        <v>37910</v>
      </c>
      <c r="B942" s="4">
        <v>1172</v>
      </c>
    </row>
    <row r="943" spans="1:2">
      <c r="A943" s="3">
        <v>37911</v>
      </c>
      <c r="B943" s="4">
        <v>1177</v>
      </c>
    </row>
    <row r="944" spans="1:2">
      <c r="A944" s="3">
        <v>37914</v>
      </c>
      <c r="B944" s="4">
        <v>1180</v>
      </c>
    </row>
    <row r="945" spans="1:2">
      <c r="A945" s="3">
        <v>37915</v>
      </c>
      <c r="B945" s="4">
        <v>1181.8</v>
      </c>
    </row>
    <row r="946" spans="1:2">
      <c r="A946" s="3">
        <v>37916</v>
      </c>
      <c r="B946" s="4">
        <v>1178</v>
      </c>
    </row>
    <row r="947" spans="1:2">
      <c r="A947" s="3">
        <v>37917</v>
      </c>
      <c r="B947" s="4">
        <v>1189</v>
      </c>
    </row>
    <row r="948" spans="1:2">
      <c r="A948" s="3">
        <v>37918</v>
      </c>
      <c r="B948" s="4">
        <v>1185</v>
      </c>
    </row>
    <row r="949" spans="1:2">
      <c r="A949" s="3">
        <v>37921</v>
      </c>
      <c r="B949" s="4">
        <v>1182</v>
      </c>
    </row>
    <row r="950" spans="1:2">
      <c r="A950" s="3">
        <v>37922</v>
      </c>
      <c r="B950" s="4">
        <v>1188</v>
      </c>
    </row>
    <row r="951" spans="1:2">
      <c r="A951" s="3">
        <v>37923</v>
      </c>
      <c r="B951" s="4">
        <v>1177</v>
      </c>
    </row>
    <row r="952" spans="1:2">
      <c r="A952" s="3">
        <v>37924</v>
      </c>
      <c r="B952" s="4">
        <v>1178</v>
      </c>
    </row>
    <row r="953" spans="1:2">
      <c r="A953" s="3">
        <v>37925</v>
      </c>
      <c r="B953" s="4">
        <v>1183</v>
      </c>
    </row>
    <row r="954" spans="1:2">
      <c r="A954" s="3">
        <v>37928</v>
      </c>
      <c r="B954" s="4">
        <v>1189</v>
      </c>
    </row>
    <row r="955" spans="1:2">
      <c r="A955" s="3">
        <v>37929</v>
      </c>
      <c r="B955" s="4">
        <v>1185</v>
      </c>
    </row>
    <row r="956" spans="1:2">
      <c r="A956" s="3">
        <v>37930</v>
      </c>
      <c r="B956" s="4">
        <v>1185</v>
      </c>
    </row>
    <row r="957" spans="1:2">
      <c r="A957" s="3">
        <v>37931</v>
      </c>
      <c r="B957" s="4">
        <v>1180.9000000000001</v>
      </c>
    </row>
    <row r="958" spans="1:2">
      <c r="A958" s="3">
        <v>37932</v>
      </c>
      <c r="B958" s="4">
        <v>1179</v>
      </c>
    </row>
    <row r="959" spans="1:2">
      <c r="A959" s="3">
        <v>37935</v>
      </c>
      <c r="B959" s="4">
        <v>1174</v>
      </c>
    </row>
    <row r="960" spans="1:2">
      <c r="A960" s="3">
        <v>37936</v>
      </c>
      <c r="B960" s="4">
        <v>1177.5</v>
      </c>
    </row>
    <row r="961" spans="1:2">
      <c r="A961" s="3">
        <v>37937</v>
      </c>
      <c r="B961" s="4">
        <v>1172.8</v>
      </c>
    </row>
    <row r="962" spans="1:2">
      <c r="A962" s="3">
        <v>37938</v>
      </c>
      <c r="B962" s="4">
        <v>1171</v>
      </c>
    </row>
    <row r="963" spans="1:2">
      <c r="A963" s="3">
        <v>37939</v>
      </c>
      <c r="B963" s="4">
        <v>1171.2</v>
      </c>
    </row>
    <row r="964" spans="1:2">
      <c r="A964" s="3">
        <v>37942</v>
      </c>
      <c r="B964" s="4">
        <v>1182</v>
      </c>
    </row>
    <row r="965" spans="1:2">
      <c r="A965" s="3">
        <v>37943</v>
      </c>
      <c r="B965" s="4">
        <v>1178</v>
      </c>
    </row>
    <row r="966" spans="1:2">
      <c r="A966" s="3">
        <v>37944</v>
      </c>
      <c r="B966" s="4">
        <v>1177</v>
      </c>
    </row>
    <row r="967" spans="1:2">
      <c r="A967" s="3">
        <v>37945</v>
      </c>
      <c r="B967" s="4">
        <v>1191.5</v>
      </c>
    </row>
    <row r="968" spans="1:2">
      <c r="A968" s="3">
        <v>37946</v>
      </c>
      <c r="B968" s="4">
        <v>1195.3</v>
      </c>
    </row>
    <row r="969" spans="1:2">
      <c r="A969" s="3">
        <v>37949</v>
      </c>
      <c r="B969" s="4">
        <v>1202</v>
      </c>
    </row>
    <row r="970" spans="1:2">
      <c r="A970" s="3">
        <v>37950</v>
      </c>
      <c r="B970" s="4">
        <v>1202.8</v>
      </c>
    </row>
    <row r="971" spans="1:2">
      <c r="A971" s="3">
        <v>37951</v>
      </c>
      <c r="B971" s="4">
        <v>1202</v>
      </c>
    </row>
    <row r="972" spans="1:2">
      <c r="A972" s="3">
        <v>37952</v>
      </c>
      <c r="B972" s="4">
        <v>1203</v>
      </c>
    </row>
    <row r="973" spans="1:2">
      <c r="A973" s="3">
        <v>37953</v>
      </c>
      <c r="B973" s="4">
        <v>1202</v>
      </c>
    </row>
    <row r="974" spans="1:2">
      <c r="A974" s="3">
        <v>37956</v>
      </c>
      <c r="B974" s="4">
        <v>1200</v>
      </c>
    </row>
    <row r="975" spans="1:2">
      <c r="A975" s="3">
        <v>37957</v>
      </c>
      <c r="B975" s="4">
        <v>1195.3</v>
      </c>
    </row>
    <row r="976" spans="1:2">
      <c r="A976" s="3">
        <v>37958</v>
      </c>
      <c r="B976" s="4">
        <v>1195</v>
      </c>
    </row>
    <row r="977" spans="1:2">
      <c r="A977" s="3">
        <v>37959</v>
      </c>
      <c r="B977" s="4">
        <v>1191</v>
      </c>
    </row>
    <row r="978" spans="1:2">
      <c r="A978" s="3">
        <v>37960</v>
      </c>
      <c r="B978" s="4">
        <v>1190</v>
      </c>
    </row>
    <row r="979" spans="1:2">
      <c r="A979" s="3">
        <v>37963</v>
      </c>
      <c r="B979" s="4">
        <v>1186</v>
      </c>
    </row>
    <row r="980" spans="1:2">
      <c r="A980" s="3">
        <v>37964</v>
      </c>
      <c r="B980" s="4">
        <v>1185</v>
      </c>
    </row>
    <row r="981" spans="1:2">
      <c r="A981" s="3">
        <v>37965</v>
      </c>
      <c r="B981" s="4">
        <v>1189</v>
      </c>
    </row>
    <row r="982" spans="1:2">
      <c r="A982" s="3">
        <v>37966</v>
      </c>
      <c r="B982" s="4">
        <v>1187.7</v>
      </c>
    </row>
    <row r="983" spans="1:2">
      <c r="A983" s="3">
        <v>37967</v>
      </c>
      <c r="B983" s="4">
        <v>1185</v>
      </c>
    </row>
    <row r="984" spans="1:2">
      <c r="A984" s="3">
        <v>37970</v>
      </c>
      <c r="B984" s="4">
        <v>1182</v>
      </c>
    </row>
    <row r="985" spans="1:2">
      <c r="A985" s="3">
        <v>37971</v>
      </c>
      <c r="B985" s="4">
        <v>1190</v>
      </c>
    </row>
    <row r="986" spans="1:2">
      <c r="A986" s="3">
        <v>37972</v>
      </c>
      <c r="B986" s="4">
        <v>1190</v>
      </c>
    </row>
    <row r="987" spans="1:2">
      <c r="A987" s="3">
        <v>37973</v>
      </c>
      <c r="B987" s="4">
        <v>1191</v>
      </c>
    </row>
    <row r="988" spans="1:2">
      <c r="A988" s="3">
        <v>37974</v>
      </c>
      <c r="B988" s="4">
        <v>1193</v>
      </c>
    </row>
    <row r="989" spans="1:2">
      <c r="A989" s="3">
        <v>37977</v>
      </c>
      <c r="B989" s="4">
        <v>1194</v>
      </c>
    </row>
    <row r="990" spans="1:2">
      <c r="A990" s="3">
        <v>37978</v>
      </c>
      <c r="B990" s="4">
        <v>1195</v>
      </c>
    </row>
    <row r="991" spans="1:2">
      <c r="A991" s="3">
        <v>37979</v>
      </c>
      <c r="B991" s="4">
        <v>1199</v>
      </c>
    </row>
    <row r="992" spans="1:2">
      <c r="A992" s="3">
        <v>37980</v>
      </c>
      <c r="B992" s="4">
        <v>1199</v>
      </c>
    </row>
    <row r="993" spans="1:2">
      <c r="A993" s="3">
        <v>37981</v>
      </c>
      <c r="B993" s="4">
        <v>1199.8</v>
      </c>
    </row>
    <row r="994" spans="1:2">
      <c r="A994" s="3">
        <v>37984</v>
      </c>
      <c r="B994" s="4">
        <v>1195</v>
      </c>
    </row>
    <row r="995" spans="1:2">
      <c r="A995" s="3">
        <v>37985</v>
      </c>
      <c r="B995" s="4">
        <v>1197.3</v>
      </c>
    </row>
    <row r="996" spans="1:2">
      <c r="A996" s="3">
        <v>37986</v>
      </c>
      <c r="B996" s="4">
        <v>1192</v>
      </c>
    </row>
    <row r="997" spans="1:2">
      <c r="A997" s="3">
        <v>37987</v>
      </c>
      <c r="B997" s="4">
        <v>1192</v>
      </c>
    </row>
    <row r="998" spans="1:2">
      <c r="A998" s="3">
        <v>37988</v>
      </c>
      <c r="B998" s="4">
        <v>1195</v>
      </c>
    </row>
    <row r="999" spans="1:2">
      <c r="A999" s="3">
        <v>37991</v>
      </c>
      <c r="B999" s="4">
        <v>1192</v>
      </c>
    </row>
    <row r="1000" spans="1:2">
      <c r="A1000" s="3">
        <v>37992</v>
      </c>
      <c r="B1000" s="4">
        <v>1185</v>
      </c>
    </row>
    <row r="1001" spans="1:2">
      <c r="A1001" s="3">
        <v>37993</v>
      </c>
      <c r="B1001" s="4">
        <v>1186</v>
      </c>
    </row>
    <row r="1002" spans="1:2">
      <c r="A1002" s="3">
        <v>37994</v>
      </c>
      <c r="B1002" s="4">
        <v>1181</v>
      </c>
    </row>
    <row r="1003" spans="1:2">
      <c r="A1003" s="3">
        <v>37995</v>
      </c>
      <c r="B1003" s="4">
        <v>1178</v>
      </c>
    </row>
    <row r="1004" spans="1:2">
      <c r="A1004" s="3">
        <v>37998</v>
      </c>
      <c r="B1004" s="4">
        <v>1176</v>
      </c>
    </row>
    <row r="1005" spans="1:2">
      <c r="A1005" s="3">
        <v>37999</v>
      </c>
      <c r="B1005" s="4">
        <v>1181</v>
      </c>
    </row>
    <row r="1006" spans="1:2">
      <c r="A1006" s="3">
        <v>38000</v>
      </c>
      <c r="B1006" s="4">
        <v>1180</v>
      </c>
    </row>
    <row r="1007" spans="1:2">
      <c r="A1007" s="3">
        <v>38001</v>
      </c>
      <c r="B1007" s="4">
        <v>1186</v>
      </c>
    </row>
    <row r="1008" spans="1:2">
      <c r="A1008" s="3">
        <v>38002</v>
      </c>
      <c r="B1008" s="4">
        <v>1185</v>
      </c>
    </row>
    <row r="1009" spans="1:2">
      <c r="A1009" s="3">
        <v>38005</v>
      </c>
      <c r="B1009" s="4">
        <v>1185.0999999999999</v>
      </c>
    </row>
    <row r="1010" spans="1:2">
      <c r="A1010" s="3">
        <v>38006</v>
      </c>
      <c r="B1010" s="4">
        <v>1188</v>
      </c>
    </row>
    <row r="1011" spans="1:2">
      <c r="A1011" s="3">
        <v>38007</v>
      </c>
      <c r="B1011" s="4">
        <v>1188</v>
      </c>
    </row>
    <row r="1012" spans="1:2">
      <c r="A1012" s="3">
        <v>38008</v>
      </c>
      <c r="B1012" s="4">
        <v>1184</v>
      </c>
    </row>
    <row r="1013" spans="1:2">
      <c r="A1013" s="3">
        <v>38009</v>
      </c>
      <c r="B1013" s="4">
        <v>1184</v>
      </c>
    </row>
    <row r="1014" spans="1:2">
      <c r="A1014" s="3">
        <v>38012</v>
      </c>
      <c r="B1014" s="4">
        <v>1180</v>
      </c>
    </row>
    <row r="1015" spans="1:2">
      <c r="A1015" s="3">
        <v>38013</v>
      </c>
      <c r="B1015" s="4">
        <v>1180</v>
      </c>
    </row>
    <row r="1016" spans="1:2">
      <c r="A1016" s="3">
        <v>38014</v>
      </c>
      <c r="B1016" s="4">
        <v>1171</v>
      </c>
    </row>
    <row r="1017" spans="1:2">
      <c r="A1017" s="3">
        <v>38015</v>
      </c>
      <c r="B1017" s="4">
        <v>1172</v>
      </c>
    </row>
    <row r="1018" spans="1:2">
      <c r="A1018" s="3">
        <v>38016</v>
      </c>
      <c r="B1018" s="4">
        <v>1171</v>
      </c>
    </row>
    <row r="1019" spans="1:2">
      <c r="A1019" s="3">
        <v>38019</v>
      </c>
      <c r="B1019" s="4">
        <v>1170</v>
      </c>
    </row>
    <row r="1020" spans="1:2">
      <c r="A1020" s="3">
        <v>38020</v>
      </c>
      <c r="B1020" s="4">
        <v>1168</v>
      </c>
    </row>
    <row r="1021" spans="1:2">
      <c r="A1021" s="3">
        <v>38021</v>
      </c>
      <c r="B1021" s="4">
        <v>1168.2</v>
      </c>
    </row>
    <row r="1022" spans="1:2">
      <c r="A1022" s="3">
        <v>38022</v>
      </c>
      <c r="B1022" s="4">
        <v>1166</v>
      </c>
    </row>
    <row r="1023" spans="1:2">
      <c r="A1023" s="3">
        <v>38023</v>
      </c>
      <c r="B1023" s="4">
        <v>1167</v>
      </c>
    </row>
    <row r="1024" spans="1:2">
      <c r="A1024" s="3">
        <v>38026</v>
      </c>
      <c r="B1024" s="4">
        <v>1166.2</v>
      </c>
    </row>
    <row r="1025" spans="1:2">
      <c r="A1025" s="3">
        <v>38027</v>
      </c>
      <c r="B1025" s="4">
        <v>1158</v>
      </c>
    </row>
    <row r="1026" spans="1:2">
      <c r="A1026" s="3">
        <v>38028</v>
      </c>
      <c r="B1026" s="4">
        <v>1160.5</v>
      </c>
    </row>
    <row r="1027" spans="1:2">
      <c r="A1027" s="3">
        <v>38029</v>
      </c>
      <c r="B1027" s="4">
        <v>1160</v>
      </c>
    </row>
    <row r="1028" spans="1:2">
      <c r="A1028" s="3">
        <v>38030</v>
      </c>
      <c r="B1028" s="4">
        <v>1156</v>
      </c>
    </row>
    <row r="1029" spans="1:2">
      <c r="A1029" s="3">
        <v>38033</v>
      </c>
      <c r="B1029" s="4">
        <v>1158</v>
      </c>
    </row>
    <row r="1030" spans="1:2">
      <c r="A1030" s="3">
        <v>38034</v>
      </c>
      <c r="B1030" s="4">
        <v>1156</v>
      </c>
    </row>
    <row r="1031" spans="1:2">
      <c r="A1031" s="3">
        <v>38035</v>
      </c>
      <c r="B1031" s="4">
        <v>1158</v>
      </c>
    </row>
    <row r="1032" spans="1:2">
      <c r="A1032" s="3">
        <v>38036</v>
      </c>
      <c r="B1032" s="4">
        <v>1167</v>
      </c>
    </row>
    <row r="1033" spans="1:2">
      <c r="A1033" s="3">
        <v>38037</v>
      </c>
      <c r="B1033" s="4">
        <v>1173</v>
      </c>
    </row>
    <row r="1034" spans="1:2">
      <c r="A1034" s="3">
        <v>38040</v>
      </c>
      <c r="B1034" s="4">
        <v>1179</v>
      </c>
    </row>
    <row r="1035" spans="1:2">
      <c r="A1035" s="3">
        <v>38041</v>
      </c>
      <c r="B1035" s="4">
        <v>1173</v>
      </c>
    </row>
    <row r="1036" spans="1:2">
      <c r="A1036" s="3">
        <v>38042</v>
      </c>
      <c r="B1036" s="4">
        <v>1170.0999999999999</v>
      </c>
    </row>
    <row r="1037" spans="1:2">
      <c r="A1037" s="3">
        <v>38043</v>
      </c>
      <c r="B1037" s="4">
        <v>1177</v>
      </c>
    </row>
    <row r="1038" spans="1:2">
      <c r="A1038" s="3">
        <v>38044</v>
      </c>
      <c r="B1038" s="4">
        <v>1178</v>
      </c>
    </row>
    <row r="1039" spans="1:2">
      <c r="A1039" s="3">
        <v>38047</v>
      </c>
      <c r="B1039" s="4">
        <v>1176</v>
      </c>
    </row>
    <row r="1040" spans="1:2">
      <c r="A1040" s="3">
        <v>38048</v>
      </c>
      <c r="B1040" s="4">
        <v>1182</v>
      </c>
    </row>
    <row r="1041" spans="1:2">
      <c r="A1041" s="3">
        <v>38049</v>
      </c>
      <c r="B1041" s="4">
        <v>1177</v>
      </c>
    </row>
    <row r="1042" spans="1:2">
      <c r="A1042" s="3">
        <v>38050</v>
      </c>
      <c r="B1042" s="4">
        <v>1170</v>
      </c>
    </row>
    <row r="1043" spans="1:2">
      <c r="A1043" s="3">
        <v>38051</v>
      </c>
      <c r="B1043" s="4">
        <v>1175</v>
      </c>
    </row>
    <row r="1044" spans="1:2">
      <c r="A1044" s="3">
        <v>38054</v>
      </c>
      <c r="B1044" s="4">
        <v>1173.2</v>
      </c>
    </row>
    <row r="1045" spans="1:2">
      <c r="A1045" s="3">
        <v>38055</v>
      </c>
      <c r="B1045" s="4">
        <v>1171</v>
      </c>
    </row>
    <row r="1046" spans="1:2">
      <c r="A1046" s="3">
        <v>38056</v>
      </c>
      <c r="B1046" s="4">
        <v>1173</v>
      </c>
    </row>
    <row r="1047" spans="1:2">
      <c r="A1047" s="3">
        <v>38057</v>
      </c>
      <c r="B1047" s="4">
        <v>1170</v>
      </c>
    </row>
    <row r="1048" spans="1:2">
      <c r="A1048" s="3">
        <v>38058</v>
      </c>
      <c r="B1048" s="4">
        <v>1180</v>
      </c>
    </row>
    <row r="1049" spans="1:2">
      <c r="A1049" s="3">
        <v>38061</v>
      </c>
      <c r="B1049" s="4">
        <v>1173</v>
      </c>
    </row>
    <row r="1050" spans="1:2">
      <c r="A1050" s="3">
        <v>38062</v>
      </c>
      <c r="B1050" s="4">
        <v>1171</v>
      </c>
    </row>
    <row r="1051" spans="1:2">
      <c r="A1051" s="3">
        <v>38063</v>
      </c>
      <c r="B1051" s="4">
        <v>1166</v>
      </c>
    </row>
    <row r="1052" spans="1:2">
      <c r="A1052" s="3">
        <v>38064</v>
      </c>
      <c r="B1052" s="4">
        <v>1156</v>
      </c>
    </row>
    <row r="1053" spans="1:2">
      <c r="A1053" s="3">
        <v>38065</v>
      </c>
      <c r="B1053" s="4">
        <v>1156</v>
      </c>
    </row>
    <row r="1054" spans="1:2">
      <c r="A1054" s="3">
        <v>38068</v>
      </c>
      <c r="B1054" s="4">
        <v>1158</v>
      </c>
    </row>
    <row r="1055" spans="1:2">
      <c r="A1055" s="3">
        <v>38069</v>
      </c>
      <c r="B1055" s="4">
        <v>1159</v>
      </c>
    </row>
    <row r="1056" spans="1:2">
      <c r="A1056" s="3">
        <v>38070</v>
      </c>
      <c r="B1056" s="4">
        <v>1154</v>
      </c>
    </row>
    <row r="1057" spans="1:2">
      <c r="A1057" s="3">
        <v>38071</v>
      </c>
      <c r="B1057" s="4">
        <v>1158</v>
      </c>
    </row>
    <row r="1058" spans="1:2">
      <c r="A1058" s="3">
        <v>38072</v>
      </c>
      <c r="B1058" s="4">
        <v>1157.4000000000001</v>
      </c>
    </row>
    <row r="1059" spans="1:2">
      <c r="A1059" s="3">
        <v>38075</v>
      </c>
      <c r="B1059" s="4">
        <v>1152</v>
      </c>
    </row>
    <row r="1060" spans="1:2">
      <c r="A1060" s="3">
        <v>38076</v>
      </c>
      <c r="B1060" s="4">
        <v>1153</v>
      </c>
    </row>
    <row r="1061" spans="1:2">
      <c r="A1061" s="3">
        <v>38077</v>
      </c>
      <c r="B1061" s="4">
        <v>1142</v>
      </c>
    </row>
    <row r="1062" spans="1:2">
      <c r="A1062" s="3">
        <v>38078</v>
      </c>
      <c r="B1062" s="4">
        <v>1140.9000000000001</v>
      </c>
    </row>
    <row r="1063" spans="1:2">
      <c r="A1063" s="3">
        <v>38079</v>
      </c>
      <c r="B1063" s="4">
        <v>1141.3</v>
      </c>
    </row>
    <row r="1064" spans="1:2">
      <c r="A1064" s="3">
        <v>38082</v>
      </c>
      <c r="B1064" s="4">
        <v>1142</v>
      </c>
    </row>
    <row r="1065" spans="1:2">
      <c r="A1065" s="3">
        <v>38083</v>
      </c>
      <c r="B1065" s="4">
        <v>1149.9000000000001</v>
      </c>
    </row>
    <row r="1066" spans="1:2">
      <c r="A1066" s="3">
        <v>38084</v>
      </c>
      <c r="B1066" s="4">
        <v>1139</v>
      </c>
    </row>
    <row r="1067" spans="1:2">
      <c r="A1067" s="3">
        <v>38085</v>
      </c>
      <c r="B1067" s="4">
        <v>1143</v>
      </c>
    </row>
    <row r="1068" spans="1:2">
      <c r="A1068" s="3">
        <v>38086</v>
      </c>
      <c r="B1068" s="4">
        <v>1143.9000000000001</v>
      </c>
    </row>
    <row r="1069" spans="1:2">
      <c r="A1069" s="3">
        <v>38089</v>
      </c>
      <c r="B1069" s="4">
        <v>1141.8</v>
      </c>
    </row>
    <row r="1070" spans="1:2">
      <c r="A1070" s="3">
        <v>38090</v>
      </c>
      <c r="B1070" s="4">
        <v>1143</v>
      </c>
    </row>
    <row r="1071" spans="1:2">
      <c r="A1071" s="3">
        <v>38091</v>
      </c>
      <c r="B1071" s="4">
        <v>1157</v>
      </c>
    </row>
    <row r="1072" spans="1:2">
      <c r="A1072" s="3">
        <v>38092</v>
      </c>
      <c r="B1072" s="4">
        <v>1153</v>
      </c>
    </row>
    <row r="1073" spans="1:2">
      <c r="A1073" s="3">
        <v>38093</v>
      </c>
      <c r="B1073" s="4">
        <v>1162</v>
      </c>
    </row>
    <row r="1074" spans="1:2">
      <c r="A1074" s="3">
        <v>38096</v>
      </c>
      <c r="B1074" s="4">
        <v>1155</v>
      </c>
    </row>
    <row r="1075" spans="1:2">
      <c r="A1075" s="3">
        <v>38097</v>
      </c>
      <c r="B1075" s="4">
        <v>1154</v>
      </c>
    </row>
    <row r="1076" spans="1:2">
      <c r="A1076" s="3">
        <v>38098</v>
      </c>
      <c r="B1076" s="4">
        <v>1155</v>
      </c>
    </row>
    <row r="1077" spans="1:2">
      <c r="A1077" s="3">
        <v>38099</v>
      </c>
      <c r="B1077" s="4">
        <v>1163</v>
      </c>
    </row>
    <row r="1078" spans="1:2">
      <c r="A1078" s="3">
        <v>38100</v>
      </c>
      <c r="B1078" s="4">
        <v>1158</v>
      </c>
    </row>
    <row r="1079" spans="1:2">
      <c r="A1079" s="3">
        <v>38103</v>
      </c>
      <c r="B1079" s="4">
        <v>1154</v>
      </c>
    </row>
    <row r="1080" spans="1:2">
      <c r="A1080" s="3">
        <v>38104</v>
      </c>
      <c r="B1080" s="4">
        <v>1152</v>
      </c>
    </row>
    <row r="1081" spans="1:2">
      <c r="A1081" s="3">
        <v>38105</v>
      </c>
      <c r="B1081" s="4">
        <v>1154</v>
      </c>
    </row>
    <row r="1082" spans="1:2">
      <c r="A1082" s="3">
        <v>38106</v>
      </c>
      <c r="B1082" s="4">
        <v>1170</v>
      </c>
    </row>
    <row r="1083" spans="1:2">
      <c r="A1083" s="3">
        <v>38107</v>
      </c>
      <c r="B1083" s="4">
        <v>1173.0999999999999</v>
      </c>
    </row>
    <row r="1084" spans="1:2">
      <c r="A1084" s="3">
        <v>38110</v>
      </c>
      <c r="B1084" s="4">
        <v>1171</v>
      </c>
    </row>
    <row r="1085" spans="1:2">
      <c r="A1085" s="3">
        <v>38111</v>
      </c>
      <c r="B1085" s="4">
        <v>1173</v>
      </c>
    </row>
    <row r="1086" spans="1:2">
      <c r="A1086" s="3">
        <v>38112</v>
      </c>
      <c r="B1086" s="4">
        <v>1163</v>
      </c>
    </row>
    <row r="1087" spans="1:2">
      <c r="A1087" s="3">
        <v>38113</v>
      </c>
      <c r="B1087" s="4">
        <v>1166</v>
      </c>
    </row>
    <row r="1088" spans="1:2">
      <c r="A1088" s="3">
        <v>38114</v>
      </c>
      <c r="B1088" s="4">
        <v>1171</v>
      </c>
    </row>
    <row r="1089" spans="1:2">
      <c r="A1089" s="3">
        <v>38117</v>
      </c>
      <c r="B1089" s="4">
        <v>1189</v>
      </c>
    </row>
    <row r="1090" spans="1:2">
      <c r="A1090" s="3">
        <v>38118</v>
      </c>
      <c r="B1090" s="4">
        <v>1187</v>
      </c>
    </row>
    <row r="1091" spans="1:2">
      <c r="A1091" s="3">
        <v>38119</v>
      </c>
      <c r="B1091" s="4">
        <v>1181</v>
      </c>
    </row>
    <row r="1092" spans="1:2">
      <c r="A1092" s="3">
        <v>38120</v>
      </c>
      <c r="B1092" s="4">
        <v>1185</v>
      </c>
    </row>
    <row r="1093" spans="1:2">
      <c r="A1093" s="3">
        <v>38121</v>
      </c>
      <c r="B1093" s="4">
        <v>1186</v>
      </c>
    </row>
    <row r="1094" spans="1:2">
      <c r="A1094" s="3">
        <v>38124</v>
      </c>
      <c r="B1094" s="4">
        <v>1182</v>
      </c>
    </row>
    <row r="1095" spans="1:2">
      <c r="A1095" s="3">
        <v>38125</v>
      </c>
      <c r="B1095" s="4">
        <v>1184</v>
      </c>
    </row>
    <row r="1096" spans="1:2">
      <c r="A1096" s="3">
        <v>38126</v>
      </c>
      <c r="B1096" s="4">
        <v>1175</v>
      </c>
    </row>
    <row r="1097" spans="1:2">
      <c r="A1097" s="3">
        <v>38127</v>
      </c>
      <c r="B1097" s="4">
        <v>1178</v>
      </c>
    </row>
    <row r="1098" spans="1:2">
      <c r="A1098" s="3">
        <v>38128</v>
      </c>
      <c r="B1098" s="4">
        <v>1175</v>
      </c>
    </row>
    <row r="1099" spans="1:2">
      <c r="A1099" s="3">
        <v>38131</v>
      </c>
      <c r="B1099" s="4">
        <v>1178</v>
      </c>
    </row>
    <row r="1100" spans="1:2">
      <c r="A1100" s="3">
        <v>38132</v>
      </c>
      <c r="B1100" s="4">
        <v>1179</v>
      </c>
    </row>
    <row r="1101" spans="1:2">
      <c r="A1101" s="3">
        <v>38133</v>
      </c>
      <c r="B1101" s="4">
        <v>1179</v>
      </c>
    </row>
    <row r="1102" spans="1:2">
      <c r="A1102" s="3">
        <v>38134</v>
      </c>
      <c r="B1102" s="4">
        <v>1169</v>
      </c>
    </row>
    <row r="1103" spans="1:2">
      <c r="A1103" s="3">
        <v>38135</v>
      </c>
      <c r="B1103" s="4">
        <v>1164</v>
      </c>
    </row>
    <row r="1104" spans="1:2">
      <c r="A1104" s="3">
        <v>38138</v>
      </c>
      <c r="B1104" s="4">
        <v>1159.8</v>
      </c>
    </row>
    <row r="1105" spans="1:2">
      <c r="A1105" s="3">
        <v>38139</v>
      </c>
      <c r="B1105" s="4">
        <v>1160</v>
      </c>
    </row>
    <row r="1106" spans="1:2">
      <c r="A1106" s="3">
        <v>38140</v>
      </c>
      <c r="B1106" s="4">
        <v>1164</v>
      </c>
    </row>
    <row r="1107" spans="1:2">
      <c r="A1107" s="3">
        <v>38141</v>
      </c>
      <c r="B1107" s="4">
        <v>1164.2</v>
      </c>
    </row>
    <row r="1108" spans="1:2">
      <c r="A1108" s="3">
        <v>38142</v>
      </c>
      <c r="B1108" s="4">
        <v>1163</v>
      </c>
    </row>
    <row r="1109" spans="1:2">
      <c r="A1109" s="3">
        <v>38145</v>
      </c>
      <c r="B1109" s="4">
        <v>1159</v>
      </c>
    </row>
    <row r="1110" spans="1:2">
      <c r="A1110" s="3">
        <v>38146</v>
      </c>
      <c r="B1110" s="4">
        <v>1158</v>
      </c>
    </row>
    <row r="1111" spans="1:2">
      <c r="A1111" s="3">
        <v>38147</v>
      </c>
      <c r="B1111" s="4">
        <v>1155</v>
      </c>
    </row>
    <row r="1112" spans="1:2">
      <c r="A1112" s="3">
        <v>38148</v>
      </c>
      <c r="B1112" s="4">
        <v>1159</v>
      </c>
    </row>
    <row r="1113" spans="1:2">
      <c r="A1113" s="3">
        <v>38149</v>
      </c>
      <c r="B1113" s="4">
        <v>1163.8</v>
      </c>
    </row>
    <row r="1114" spans="1:2">
      <c r="A1114" s="3">
        <v>38152</v>
      </c>
      <c r="B1114" s="4">
        <v>1163</v>
      </c>
    </row>
    <row r="1115" spans="1:2">
      <c r="A1115" s="3">
        <v>38153</v>
      </c>
      <c r="B1115" s="4">
        <v>1157</v>
      </c>
    </row>
    <row r="1116" spans="1:2">
      <c r="A1116" s="3">
        <v>38154</v>
      </c>
      <c r="B1116" s="4">
        <v>1157</v>
      </c>
    </row>
    <row r="1117" spans="1:2">
      <c r="A1117" s="3">
        <v>38155</v>
      </c>
      <c r="B1117" s="4">
        <v>1161</v>
      </c>
    </row>
    <row r="1118" spans="1:2">
      <c r="A1118" s="3">
        <v>38156</v>
      </c>
      <c r="B1118" s="4">
        <v>1156</v>
      </c>
    </row>
    <row r="1119" spans="1:2">
      <c r="A1119" s="3">
        <v>38159</v>
      </c>
      <c r="B1119" s="4">
        <v>1157</v>
      </c>
    </row>
    <row r="1120" spans="1:2">
      <c r="A1120" s="3">
        <v>38160</v>
      </c>
      <c r="B1120" s="4">
        <v>1157</v>
      </c>
    </row>
    <row r="1121" spans="1:2">
      <c r="A1121" s="3">
        <v>38161</v>
      </c>
      <c r="B1121" s="4">
        <v>1158</v>
      </c>
    </row>
    <row r="1122" spans="1:2">
      <c r="A1122" s="3">
        <v>38162</v>
      </c>
      <c r="B1122" s="4">
        <v>1152</v>
      </c>
    </row>
    <row r="1123" spans="1:2">
      <c r="A1123" s="3">
        <v>38163</v>
      </c>
      <c r="B1123" s="4">
        <v>1148</v>
      </c>
    </row>
    <row r="1124" spans="1:2">
      <c r="A1124" s="3">
        <v>38166</v>
      </c>
      <c r="B1124" s="4">
        <v>1152</v>
      </c>
    </row>
    <row r="1125" spans="1:2">
      <c r="A1125" s="3">
        <v>38167</v>
      </c>
      <c r="B1125" s="4">
        <v>1151</v>
      </c>
    </row>
    <row r="1126" spans="1:2">
      <c r="A1126" s="3">
        <v>38168</v>
      </c>
      <c r="B1126" s="4">
        <v>1154</v>
      </c>
    </row>
    <row r="1127" spans="1:2">
      <c r="A1127" s="3">
        <v>38169</v>
      </c>
      <c r="B1127" s="4">
        <v>1152</v>
      </c>
    </row>
    <row r="1128" spans="1:2">
      <c r="A1128" s="3">
        <v>38170</v>
      </c>
      <c r="B1128" s="4">
        <v>1151</v>
      </c>
    </row>
    <row r="1129" spans="1:2">
      <c r="A1129" s="3">
        <v>38173</v>
      </c>
      <c r="B1129" s="4">
        <v>1152.5999999999999</v>
      </c>
    </row>
    <row r="1130" spans="1:2">
      <c r="A1130" s="3">
        <v>38174</v>
      </c>
      <c r="B1130" s="4">
        <v>1155</v>
      </c>
    </row>
    <row r="1131" spans="1:2">
      <c r="A1131" s="3">
        <v>38175</v>
      </c>
      <c r="B1131" s="4">
        <v>1151</v>
      </c>
    </row>
    <row r="1132" spans="1:2">
      <c r="A1132" s="3">
        <v>38176</v>
      </c>
      <c r="B1132" s="4">
        <v>1150</v>
      </c>
    </row>
    <row r="1133" spans="1:2">
      <c r="A1133" s="3">
        <v>38177</v>
      </c>
      <c r="B1133" s="4">
        <v>1149.3</v>
      </c>
    </row>
    <row r="1134" spans="1:2">
      <c r="A1134" s="3">
        <v>38180</v>
      </c>
      <c r="B1134" s="4">
        <v>1147.3</v>
      </c>
    </row>
    <row r="1135" spans="1:2">
      <c r="A1135" s="3">
        <v>38181</v>
      </c>
      <c r="B1135" s="4">
        <v>1149.3</v>
      </c>
    </row>
    <row r="1136" spans="1:2">
      <c r="A1136" s="3">
        <v>38182</v>
      </c>
      <c r="B1136" s="4">
        <v>1152.3</v>
      </c>
    </row>
    <row r="1137" spans="1:2">
      <c r="A1137" s="3">
        <v>38183</v>
      </c>
      <c r="B1137" s="4">
        <v>1163.5</v>
      </c>
    </row>
    <row r="1138" spans="1:2">
      <c r="A1138" s="3">
        <v>38184</v>
      </c>
      <c r="B1138" s="4">
        <v>1164.2</v>
      </c>
    </row>
    <row r="1139" spans="1:2">
      <c r="A1139" s="3">
        <v>38187</v>
      </c>
      <c r="B1139" s="4">
        <v>1157.2</v>
      </c>
    </row>
    <row r="1140" spans="1:2">
      <c r="A1140" s="3">
        <v>38188</v>
      </c>
      <c r="B1140" s="4">
        <v>1160.3</v>
      </c>
    </row>
    <row r="1141" spans="1:2">
      <c r="A1141" s="3">
        <v>38189</v>
      </c>
      <c r="B1141" s="4">
        <v>1163.3</v>
      </c>
    </row>
    <row r="1142" spans="1:2">
      <c r="A1142" s="3">
        <v>38190</v>
      </c>
      <c r="B1142" s="4">
        <v>1162.3</v>
      </c>
    </row>
    <row r="1143" spans="1:2">
      <c r="A1143" s="3">
        <v>38191</v>
      </c>
      <c r="B1143" s="4">
        <v>1167.3</v>
      </c>
    </row>
    <row r="1144" spans="1:2">
      <c r="A1144" s="3">
        <v>38194</v>
      </c>
      <c r="B1144" s="4">
        <v>1161</v>
      </c>
    </row>
    <row r="1145" spans="1:2">
      <c r="A1145" s="3">
        <v>38195</v>
      </c>
      <c r="B1145" s="4">
        <v>1163</v>
      </c>
    </row>
    <row r="1146" spans="1:2">
      <c r="A1146" s="3">
        <v>38196</v>
      </c>
      <c r="B1146" s="4">
        <v>1167</v>
      </c>
    </row>
    <row r="1147" spans="1:2">
      <c r="A1147" s="3">
        <v>38197</v>
      </c>
      <c r="B1147" s="4">
        <v>1168</v>
      </c>
    </row>
    <row r="1148" spans="1:2">
      <c r="A1148" s="3">
        <v>38198</v>
      </c>
      <c r="B1148" s="4">
        <v>1165</v>
      </c>
    </row>
    <row r="1149" spans="1:2">
      <c r="A1149" s="3">
        <v>38201</v>
      </c>
      <c r="B1149" s="4">
        <v>1164</v>
      </c>
    </row>
    <row r="1150" spans="1:2">
      <c r="A1150" s="3">
        <v>38202</v>
      </c>
      <c r="B1150" s="4">
        <v>1164.9000000000001</v>
      </c>
    </row>
    <row r="1151" spans="1:2">
      <c r="A1151" s="3">
        <v>38203</v>
      </c>
      <c r="B1151" s="4">
        <v>1165</v>
      </c>
    </row>
    <row r="1152" spans="1:2">
      <c r="A1152" s="3">
        <v>38204</v>
      </c>
      <c r="B1152" s="4">
        <v>1163</v>
      </c>
    </row>
    <row r="1153" spans="1:2">
      <c r="A1153" s="3">
        <v>38205</v>
      </c>
      <c r="B1153" s="4">
        <v>1156</v>
      </c>
    </row>
    <row r="1154" spans="1:2">
      <c r="A1154" s="3">
        <v>38208</v>
      </c>
      <c r="B1154" s="4">
        <v>1156</v>
      </c>
    </row>
    <row r="1155" spans="1:2">
      <c r="A1155" s="3">
        <v>38209</v>
      </c>
      <c r="B1155" s="4">
        <v>1155</v>
      </c>
    </row>
    <row r="1156" spans="1:2">
      <c r="A1156" s="3">
        <v>38210</v>
      </c>
      <c r="B1156" s="4">
        <v>1155</v>
      </c>
    </row>
    <row r="1157" spans="1:2">
      <c r="A1157" s="3">
        <v>38211</v>
      </c>
      <c r="B1157" s="4">
        <v>1157</v>
      </c>
    </row>
    <row r="1158" spans="1:2">
      <c r="A1158" s="3">
        <v>38212</v>
      </c>
      <c r="B1158" s="4">
        <v>1155</v>
      </c>
    </row>
    <row r="1159" spans="1:2">
      <c r="A1159" s="3">
        <v>38215</v>
      </c>
      <c r="B1159" s="4">
        <v>1159</v>
      </c>
    </row>
    <row r="1160" spans="1:2">
      <c r="A1160" s="3">
        <v>38216</v>
      </c>
      <c r="B1160" s="4">
        <v>1162.75</v>
      </c>
    </row>
    <row r="1161" spans="1:2">
      <c r="A1161" s="3">
        <v>38217</v>
      </c>
      <c r="B1161" s="4">
        <v>1158.2</v>
      </c>
    </row>
    <row r="1162" spans="1:2">
      <c r="A1162" s="3">
        <v>38218</v>
      </c>
      <c r="B1162" s="4">
        <v>1156.2</v>
      </c>
    </row>
    <row r="1163" spans="1:2">
      <c r="A1163" s="3">
        <v>38219</v>
      </c>
      <c r="B1163" s="4">
        <v>1154.2</v>
      </c>
    </row>
    <row r="1164" spans="1:2">
      <c r="A1164" s="3">
        <v>38222</v>
      </c>
      <c r="B1164" s="4">
        <v>1153.2</v>
      </c>
    </row>
    <row r="1165" spans="1:2">
      <c r="A1165" s="3">
        <v>38223</v>
      </c>
      <c r="B1165" s="4">
        <v>1153.9000000000001</v>
      </c>
    </row>
    <row r="1166" spans="1:2">
      <c r="A1166" s="3">
        <v>38224</v>
      </c>
      <c r="B1166" s="4">
        <v>1155</v>
      </c>
    </row>
    <row r="1167" spans="1:2">
      <c r="A1167" s="3">
        <v>38225</v>
      </c>
      <c r="B1167" s="4">
        <v>1153</v>
      </c>
    </row>
    <row r="1168" spans="1:2">
      <c r="A1168" s="3">
        <v>38226</v>
      </c>
      <c r="B1168" s="4">
        <v>1151</v>
      </c>
    </row>
    <row r="1169" spans="1:2">
      <c r="A1169" s="3">
        <v>38229</v>
      </c>
      <c r="B1169" s="4">
        <v>1152.2</v>
      </c>
    </row>
    <row r="1170" spans="1:2">
      <c r="A1170" s="3">
        <v>38230</v>
      </c>
      <c r="B1170" s="4">
        <v>1151.7</v>
      </c>
    </row>
    <row r="1171" spans="1:2">
      <c r="A1171" s="3">
        <v>38231</v>
      </c>
      <c r="B1171" s="4">
        <v>1148</v>
      </c>
    </row>
    <row r="1172" spans="1:2">
      <c r="A1172" s="3">
        <v>38232</v>
      </c>
      <c r="B1172" s="4">
        <v>1150</v>
      </c>
    </row>
    <row r="1173" spans="1:2">
      <c r="A1173" s="3">
        <v>38233</v>
      </c>
      <c r="B1173" s="4">
        <v>1150</v>
      </c>
    </row>
    <row r="1174" spans="1:2">
      <c r="A1174" s="3">
        <v>38236</v>
      </c>
      <c r="B1174" s="4">
        <v>1152.7</v>
      </c>
    </row>
    <row r="1175" spans="1:2">
      <c r="A1175" s="3">
        <v>38237</v>
      </c>
      <c r="B1175" s="4">
        <v>1150.5999999999999</v>
      </c>
    </row>
    <row r="1176" spans="1:2">
      <c r="A1176" s="3">
        <v>38238</v>
      </c>
      <c r="B1176" s="4">
        <v>1148</v>
      </c>
    </row>
    <row r="1177" spans="1:2">
      <c r="A1177" s="3">
        <v>38239</v>
      </c>
      <c r="B1177" s="4">
        <v>1145</v>
      </c>
    </row>
    <row r="1178" spans="1:2">
      <c r="A1178" s="3">
        <v>38240</v>
      </c>
      <c r="B1178" s="4">
        <v>1145.8</v>
      </c>
    </row>
    <row r="1179" spans="1:2">
      <c r="A1179" s="3">
        <v>38243</v>
      </c>
      <c r="B1179" s="4">
        <v>1144.9000000000001</v>
      </c>
    </row>
    <row r="1180" spans="1:2">
      <c r="A1180" s="3">
        <v>38244</v>
      </c>
      <c r="B1180" s="4">
        <v>1144</v>
      </c>
    </row>
    <row r="1181" spans="1:2">
      <c r="A1181" s="3">
        <v>38245</v>
      </c>
      <c r="B1181" s="4">
        <v>1145</v>
      </c>
    </row>
    <row r="1182" spans="1:2">
      <c r="A1182" s="3">
        <v>38246</v>
      </c>
      <c r="B1182" s="4">
        <v>1145.7</v>
      </c>
    </row>
    <row r="1183" spans="1:2">
      <c r="A1183" s="3">
        <v>38247</v>
      </c>
      <c r="B1183" s="4">
        <v>1146</v>
      </c>
    </row>
    <row r="1184" spans="1:2">
      <c r="A1184" s="3">
        <v>38250</v>
      </c>
      <c r="B1184" s="4">
        <v>1146.2</v>
      </c>
    </row>
    <row r="1185" spans="1:2">
      <c r="A1185" s="3">
        <v>38251</v>
      </c>
      <c r="B1185" s="4">
        <v>1145</v>
      </c>
    </row>
    <row r="1186" spans="1:2">
      <c r="A1186" s="3">
        <v>38252</v>
      </c>
      <c r="B1186" s="4">
        <v>1148.5</v>
      </c>
    </row>
    <row r="1187" spans="1:2">
      <c r="A1187" s="3">
        <v>38253</v>
      </c>
      <c r="B1187" s="4">
        <v>1147.5</v>
      </c>
    </row>
    <row r="1188" spans="1:2">
      <c r="A1188" s="3">
        <v>38254</v>
      </c>
      <c r="B1188" s="4">
        <v>1146</v>
      </c>
    </row>
    <row r="1189" spans="1:2">
      <c r="A1189" s="3">
        <v>38257</v>
      </c>
      <c r="B1189" s="4">
        <v>1149</v>
      </c>
    </row>
    <row r="1190" spans="1:2">
      <c r="A1190" s="3">
        <v>38258</v>
      </c>
      <c r="B1190" s="4">
        <v>1155</v>
      </c>
    </row>
    <row r="1191" spans="1:2">
      <c r="A1191" s="3">
        <v>38259</v>
      </c>
      <c r="B1191" s="4">
        <v>1153</v>
      </c>
    </row>
    <row r="1192" spans="1:2">
      <c r="A1192" s="3">
        <v>38260</v>
      </c>
      <c r="B1192" s="4">
        <v>1151</v>
      </c>
    </row>
    <row r="1193" spans="1:2">
      <c r="A1193" s="3">
        <v>38261</v>
      </c>
      <c r="B1193" s="4">
        <v>1148</v>
      </c>
    </row>
    <row r="1194" spans="1:2">
      <c r="A1194" s="3">
        <v>38264</v>
      </c>
      <c r="B1194" s="4">
        <v>1149</v>
      </c>
    </row>
    <row r="1195" spans="1:2">
      <c r="A1195" s="3">
        <v>38265</v>
      </c>
      <c r="B1195" s="4">
        <v>1148</v>
      </c>
    </row>
    <row r="1196" spans="1:2">
      <c r="A1196" s="3">
        <v>38266</v>
      </c>
      <c r="B1196" s="4">
        <v>1152</v>
      </c>
    </row>
    <row r="1197" spans="1:2">
      <c r="A1197" s="3">
        <v>38267</v>
      </c>
      <c r="B1197" s="4">
        <v>1150</v>
      </c>
    </row>
    <row r="1198" spans="1:2">
      <c r="A1198" s="3">
        <v>38268</v>
      </c>
      <c r="B1198" s="4">
        <v>1148</v>
      </c>
    </row>
    <row r="1199" spans="1:2">
      <c r="A1199" s="3">
        <v>38271</v>
      </c>
      <c r="B1199" s="4">
        <v>1146</v>
      </c>
    </row>
    <row r="1200" spans="1:2">
      <c r="A1200" s="3">
        <v>38272</v>
      </c>
      <c r="B1200" s="4">
        <v>1146</v>
      </c>
    </row>
    <row r="1201" spans="1:2">
      <c r="A1201" s="3">
        <v>38273</v>
      </c>
      <c r="B1201" s="4">
        <v>1148</v>
      </c>
    </row>
    <row r="1202" spans="1:2">
      <c r="A1202" s="3">
        <v>38274</v>
      </c>
      <c r="B1202" s="4">
        <v>1144</v>
      </c>
    </row>
    <row r="1203" spans="1:2">
      <c r="A1203" s="3">
        <v>38275</v>
      </c>
      <c r="B1203" s="4">
        <v>1145</v>
      </c>
    </row>
    <row r="1204" spans="1:2">
      <c r="A1204" s="3">
        <v>38278</v>
      </c>
      <c r="B1204" s="4">
        <v>1141</v>
      </c>
    </row>
    <row r="1205" spans="1:2">
      <c r="A1205" s="3">
        <v>38279</v>
      </c>
      <c r="B1205" s="4">
        <v>1140</v>
      </c>
    </row>
    <row r="1206" spans="1:2">
      <c r="A1206" s="3">
        <v>38280</v>
      </c>
      <c r="B1206" s="4">
        <v>1141</v>
      </c>
    </row>
    <row r="1207" spans="1:2">
      <c r="A1207" s="3">
        <v>38281</v>
      </c>
      <c r="B1207" s="4">
        <v>1140</v>
      </c>
    </row>
    <row r="1208" spans="1:2">
      <c r="A1208" s="3">
        <v>38282</v>
      </c>
      <c r="B1208" s="4">
        <v>1137</v>
      </c>
    </row>
    <row r="1209" spans="1:2">
      <c r="A1209" s="3">
        <v>38285</v>
      </c>
      <c r="B1209" s="4">
        <v>1133</v>
      </c>
    </row>
    <row r="1210" spans="1:2">
      <c r="A1210" s="3">
        <v>38286</v>
      </c>
      <c r="B1210" s="4">
        <v>1131</v>
      </c>
    </row>
    <row r="1211" spans="1:2">
      <c r="A1211" s="3">
        <v>38287</v>
      </c>
      <c r="B1211" s="4">
        <v>1126</v>
      </c>
    </row>
    <row r="1212" spans="1:2">
      <c r="A1212" s="3">
        <v>38288</v>
      </c>
      <c r="B1212" s="4">
        <v>1124.9000000000001</v>
      </c>
    </row>
    <row r="1213" spans="1:2">
      <c r="A1213" s="3">
        <v>38289</v>
      </c>
      <c r="B1213" s="4">
        <v>1119</v>
      </c>
    </row>
    <row r="1214" spans="1:2">
      <c r="A1214" s="3">
        <v>38292</v>
      </c>
      <c r="B1214" s="4">
        <v>1120</v>
      </c>
    </row>
    <row r="1215" spans="1:2">
      <c r="A1215" s="3">
        <v>38293</v>
      </c>
      <c r="B1215" s="4">
        <v>1112.5</v>
      </c>
    </row>
    <row r="1216" spans="1:2">
      <c r="A1216" s="3">
        <v>38294</v>
      </c>
      <c r="B1216" s="4">
        <v>1113</v>
      </c>
    </row>
    <row r="1217" spans="1:2">
      <c r="A1217" s="3">
        <v>38295</v>
      </c>
      <c r="B1217" s="4">
        <v>1111</v>
      </c>
    </row>
    <row r="1218" spans="1:2">
      <c r="A1218" s="3">
        <v>38296</v>
      </c>
      <c r="B1218" s="4">
        <v>1108</v>
      </c>
    </row>
    <row r="1219" spans="1:2">
      <c r="A1219" s="3">
        <v>38299</v>
      </c>
      <c r="B1219" s="4">
        <v>1107</v>
      </c>
    </row>
    <row r="1220" spans="1:2">
      <c r="A1220" s="3">
        <v>38300</v>
      </c>
      <c r="B1220" s="4">
        <v>1102</v>
      </c>
    </row>
    <row r="1221" spans="1:2">
      <c r="A1221" s="3">
        <v>38301</v>
      </c>
      <c r="B1221" s="4">
        <v>1112</v>
      </c>
    </row>
    <row r="1222" spans="1:2">
      <c r="A1222" s="3">
        <v>38302</v>
      </c>
      <c r="B1222" s="4">
        <v>1111</v>
      </c>
    </row>
    <row r="1223" spans="1:2">
      <c r="A1223" s="3">
        <v>38303</v>
      </c>
      <c r="B1223" s="4">
        <v>1100</v>
      </c>
    </row>
    <row r="1224" spans="1:2">
      <c r="A1224" s="3">
        <v>38306</v>
      </c>
      <c r="B1224" s="4">
        <v>1095.5</v>
      </c>
    </row>
    <row r="1225" spans="1:2">
      <c r="A1225" s="3">
        <v>38307</v>
      </c>
      <c r="B1225" s="4">
        <v>1091</v>
      </c>
    </row>
    <row r="1226" spans="1:2">
      <c r="A1226" s="3">
        <v>38308</v>
      </c>
      <c r="B1226" s="4">
        <v>1080</v>
      </c>
    </row>
    <row r="1227" spans="1:2">
      <c r="A1227" s="3">
        <v>38309</v>
      </c>
      <c r="B1227" s="4">
        <v>1069</v>
      </c>
    </row>
    <row r="1228" spans="1:2">
      <c r="A1228" s="3">
        <v>38310</v>
      </c>
      <c r="B1228" s="4">
        <v>1068</v>
      </c>
    </row>
    <row r="1229" spans="1:2">
      <c r="A1229" s="3">
        <v>38313</v>
      </c>
      <c r="B1229" s="4">
        <v>1063</v>
      </c>
    </row>
    <row r="1230" spans="1:2">
      <c r="A1230" s="3">
        <v>38314</v>
      </c>
      <c r="B1230" s="4">
        <v>1064</v>
      </c>
    </row>
    <row r="1231" spans="1:2">
      <c r="A1231" s="3">
        <v>38315</v>
      </c>
      <c r="B1231" s="4">
        <v>1065</v>
      </c>
    </row>
    <row r="1232" spans="1:2">
      <c r="A1232" s="3">
        <v>38316</v>
      </c>
      <c r="B1232" s="4">
        <v>1057.0999999999999</v>
      </c>
    </row>
    <row r="1233" spans="1:2">
      <c r="A1233" s="3">
        <v>38317</v>
      </c>
      <c r="B1233" s="4">
        <v>1047</v>
      </c>
    </row>
    <row r="1234" spans="1:2">
      <c r="A1234" s="3">
        <v>38320</v>
      </c>
      <c r="B1234" s="4">
        <v>1047</v>
      </c>
    </row>
    <row r="1235" spans="1:2">
      <c r="A1235" s="3">
        <v>38321</v>
      </c>
      <c r="B1235" s="4">
        <v>1048</v>
      </c>
    </row>
    <row r="1236" spans="1:2">
      <c r="A1236" s="3">
        <v>38322</v>
      </c>
      <c r="B1236" s="4">
        <v>1045</v>
      </c>
    </row>
    <row r="1237" spans="1:2">
      <c r="A1237" s="3">
        <v>38323</v>
      </c>
      <c r="B1237" s="4">
        <v>1041</v>
      </c>
    </row>
    <row r="1238" spans="1:2">
      <c r="A1238" s="3">
        <v>38324</v>
      </c>
      <c r="B1238" s="4">
        <v>1042.5</v>
      </c>
    </row>
    <row r="1239" spans="1:2">
      <c r="A1239" s="3">
        <v>38327</v>
      </c>
      <c r="B1239" s="4">
        <v>1037</v>
      </c>
    </row>
    <row r="1240" spans="1:2">
      <c r="A1240" s="3">
        <v>38328</v>
      </c>
      <c r="B1240" s="4">
        <v>1041</v>
      </c>
    </row>
    <row r="1241" spans="1:2">
      <c r="A1241" s="3">
        <v>38329</v>
      </c>
      <c r="B1241" s="4">
        <v>1058</v>
      </c>
    </row>
    <row r="1242" spans="1:2">
      <c r="A1242" s="3">
        <v>38330</v>
      </c>
      <c r="B1242" s="4">
        <v>1055</v>
      </c>
    </row>
    <row r="1243" spans="1:2">
      <c r="A1243" s="3">
        <v>38331</v>
      </c>
      <c r="B1243" s="4">
        <v>1067</v>
      </c>
    </row>
    <row r="1244" spans="1:2">
      <c r="A1244" s="3">
        <v>38334</v>
      </c>
      <c r="B1244" s="4">
        <v>1058</v>
      </c>
    </row>
    <row r="1245" spans="1:2">
      <c r="A1245" s="3">
        <v>38335</v>
      </c>
      <c r="B1245" s="4">
        <v>1058</v>
      </c>
    </row>
    <row r="1246" spans="1:2">
      <c r="A1246" s="3">
        <v>38336</v>
      </c>
      <c r="B1246" s="4">
        <v>1061</v>
      </c>
    </row>
    <row r="1247" spans="1:2">
      <c r="A1247" s="3">
        <v>38337</v>
      </c>
      <c r="B1247" s="4">
        <v>1057</v>
      </c>
    </row>
    <row r="1248" spans="1:2">
      <c r="A1248" s="3">
        <v>38338</v>
      </c>
      <c r="B1248" s="4">
        <v>1060</v>
      </c>
    </row>
    <row r="1249" spans="1:2">
      <c r="A1249" s="3">
        <v>38341</v>
      </c>
      <c r="B1249" s="4">
        <v>1056</v>
      </c>
    </row>
    <row r="1250" spans="1:2">
      <c r="A1250" s="3">
        <v>38342</v>
      </c>
      <c r="B1250" s="4">
        <v>1055</v>
      </c>
    </row>
    <row r="1251" spans="1:2">
      <c r="A1251" s="3">
        <v>38343</v>
      </c>
      <c r="B1251" s="4">
        <v>1053</v>
      </c>
    </row>
    <row r="1252" spans="1:2">
      <c r="A1252" s="3">
        <v>38344</v>
      </c>
      <c r="B1252" s="4">
        <v>1050</v>
      </c>
    </row>
    <row r="1253" spans="1:2">
      <c r="A1253" s="3">
        <v>38345</v>
      </c>
      <c r="B1253" s="4">
        <v>1047.8</v>
      </c>
    </row>
    <row r="1254" spans="1:2">
      <c r="A1254" s="3">
        <v>38348</v>
      </c>
      <c r="B1254" s="4">
        <v>1046</v>
      </c>
    </row>
    <row r="1255" spans="1:2">
      <c r="A1255" s="3">
        <v>38349</v>
      </c>
      <c r="B1255" s="4">
        <v>1042</v>
      </c>
    </row>
    <row r="1256" spans="1:2">
      <c r="A1256" s="3">
        <v>38350</v>
      </c>
      <c r="B1256" s="4">
        <v>1041</v>
      </c>
    </row>
    <row r="1257" spans="1:2">
      <c r="A1257" s="3">
        <v>38351</v>
      </c>
      <c r="B1257" s="4">
        <v>1041</v>
      </c>
    </row>
    <row r="1258" spans="1:2">
      <c r="A1258" s="3">
        <v>38352</v>
      </c>
      <c r="B1258" s="4">
        <v>1035.0999999999999</v>
      </c>
    </row>
    <row r="1259" spans="1:2">
      <c r="A1259" s="3">
        <v>38355</v>
      </c>
      <c r="B1259" s="4">
        <v>1037</v>
      </c>
    </row>
    <row r="1260" spans="1:2">
      <c r="A1260" s="3">
        <v>38356</v>
      </c>
      <c r="B1260" s="4">
        <v>1038</v>
      </c>
    </row>
    <row r="1261" spans="1:2">
      <c r="A1261" s="3">
        <v>38357</v>
      </c>
      <c r="B1261" s="4">
        <v>1046.3</v>
      </c>
    </row>
    <row r="1262" spans="1:2">
      <c r="A1262" s="3">
        <v>38358</v>
      </c>
      <c r="B1262" s="4">
        <v>1058</v>
      </c>
    </row>
    <row r="1263" spans="1:2">
      <c r="A1263" s="3">
        <v>38359</v>
      </c>
      <c r="B1263" s="4">
        <v>1053</v>
      </c>
    </row>
    <row r="1264" spans="1:2">
      <c r="A1264" s="3">
        <v>38362</v>
      </c>
      <c r="B1264" s="4">
        <v>1053</v>
      </c>
    </row>
    <row r="1265" spans="1:2">
      <c r="A1265" s="3">
        <v>38363</v>
      </c>
      <c r="B1265" s="4">
        <v>1045</v>
      </c>
    </row>
    <row r="1266" spans="1:2">
      <c r="A1266" s="3">
        <v>38364</v>
      </c>
      <c r="B1266" s="4">
        <v>1042</v>
      </c>
    </row>
    <row r="1267" spans="1:2">
      <c r="A1267" s="3">
        <v>38365</v>
      </c>
      <c r="B1267" s="4">
        <v>1036</v>
      </c>
    </row>
    <row r="1268" spans="1:2">
      <c r="A1268" s="3">
        <v>38366</v>
      </c>
      <c r="B1268" s="4">
        <v>1043</v>
      </c>
    </row>
    <row r="1269" spans="1:2">
      <c r="A1269" s="3">
        <v>38369</v>
      </c>
      <c r="B1269" s="4">
        <v>1036</v>
      </c>
    </row>
    <row r="1270" spans="1:2">
      <c r="A1270" s="3">
        <v>38370</v>
      </c>
      <c r="B1270" s="4">
        <v>1035.8</v>
      </c>
    </row>
    <row r="1271" spans="1:2">
      <c r="A1271" s="3">
        <v>38371</v>
      </c>
      <c r="B1271" s="4">
        <v>1031</v>
      </c>
    </row>
    <row r="1272" spans="1:2">
      <c r="A1272" s="3">
        <v>38372</v>
      </c>
      <c r="B1272" s="4">
        <v>1032</v>
      </c>
    </row>
    <row r="1273" spans="1:2">
      <c r="A1273" s="3">
        <v>38373</v>
      </c>
      <c r="B1273" s="4">
        <v>1038</v>
      </c>
    </row>
    <row r="1274" spans="1:2">
      <c r="A1274" s="3">
        <v>38376</v>
      </c>
      <c r="B1274" s="4">
        <v>1032</v>
      </c>
    </row>
    <row r="1275" spans="1:2">
      <c r="A1275" s="3">
        <v>38377</v>
      </c>
      <c r="B1275" s="4">
        <v>1031</v>
      </c>
    </row>
    <row r="1276" spans="1:2">
      <c r="A1276" s="3">
        <v>38378</v>
      </c>
      <c r="B1276" s="4">
        <v>1031.5999999999999</v>
      </c>
    </row>
    <row r="1277" spans="1:2">
      <c r="A1277" s="3">
        <v>38379</v>
      </c>
      <c r="B1277" s="4">
        <v>1028</v>
      </c>
    </row>
    <row r="1278" spans="1:2">
      <c r="A1278" s="3">
        <v>38380</v>
      </c>
      <c r="B1278" s="4">
        <v>1024</v>
      </c>
    </row>
    <row r="1279" spans="1:2">
      <c r="A1279" s="3">
        <v>38383</v>
      </c>
      <c r="B1279" s="4">
        <v>1026</v>
      </c>
    </row>
    <row r="1280" spans="1:2">
      <c r="A1280" s="3">
        <v>38384</v>
      </c>
      <c r="B1280" s="4">
        <v>1028</v>
      </c>
    </row>
    <row r="1281" spans="1:2">
      <c r="A1281" s="3">
        <v>38385</v>
      </c>
      <c r="B1281" s="4">
        <v>1027.8</v>
      </c>
    </row>
    <row r="1282" spans="1:2">
      <c r="A1282" s="3">
        <v>38386</v>
      </c>
      <c r="B1282" s="4">
        <v>1025</v>
      </c>
    </row>
    <row r="1283" spans="1:2">
      <c r="A1283" s="3">
        <v>38387</v>
      </c>
      <c r="B1283" s="4">
        <v>1023</v>
      </c>
    </row>
    <row r="1284" spans="1:2">
      <c r="A1284" s="3">
        <v>38390</v>
      </c>
      <c r="B1284" s="4">
        <v>1029</v>
      </c>
    </row>
    <row r="1285" spans="1:2">
      <c r="A1285" s="3">
        <v>38391</v>
      </c>
      <c r="B1285" s="4">
        <v>1036</v>
      </c>
    </row>
    <row r="1286" spans="1:2">
      <c r="A1286" s="3">
        <v>38392</v>
      </c>
      <c r="B1286" s="4">
        <v>1038</v>
      </c>
    </row>
    <row r="1287" spans="1:2">
      <c r="A1287" s="3">
        <v>38393</v>
      </c>
      <c r="B1287" s="4">
        <v>1038</v>
      </c>
    </row>
    <row r="1288" spans="1:2">
      <c r="A1288" s="3">
        <v>38394</v>
      </c>
      <c r="B1288" s="4">
        <v>1033</v>
      </c>
    </row>
    <row r="1289" spans="1:2">
      <c r="A1289" s="3">
        <v>38397</v>
      </c>
      <c r="B1289" s="4">
        <v>1025</v>
      </c>
    </row>
    <row r="1290" spans="1:2">
      <c r="A1290" s="3">
        <v>38398</v>
      </c>
      <c r="B1290" s="4">
        <v>1024</v>
      </c>
    </row>
    <row r="1291" spans="1:2">
      <c r="A1291" s="3">
        <v>38399</v>
      </c>
      <c r="B1291" s="4">
        <v>1027</v>
      </c>
    </row>
    <row r="1292" spans="1:2">
      <c r="A1292" s="3">
        <v>38400</v>
      </c>
      <c r="B1292" s="4">
        <v>1025</v>
      </c>
    </row>
    <row r="1293" spans="1:2">
      <c r="A1293" s="3">
        <v>38401</v>
      </c>
      <c r="B1293" s="4">
        <v>1026</v>
      </c>
    </row>
    <row r="1294" spans="1:2">
      <c r="A1294" s="3">
        <v>38404</v>
      </c>
      <c r="B1294" s="4">
        <v>1023</v>
      </c>
    </row>
    <row r="1295" spans="1:2">
      <c r="A1295" s="3">
        <v>38405</v>
      </c>
      <c r="B1295" s="4">
        <v>1005</v>
      </c>
    </row>
    <row r="1296" spans="1:2">
      <c r="A1296" s="3">
        <v>38406</v>
      </c>
      <c r="B1296" s="4">
        <v>1003</v>
      </c>
    </row>
    <row r="1297" spans="1:2">
      <c r="A1297" s="3">
        <v>38407</v>
      </c>
      <c r="B1297" s="4">
        <v>1007</v>
      </c>
    </row>
    <row r="1298" spans="1:2">
      <c r="A1298" s="3">
        <v>38408</v>
      </c>
      <c r="B1298" s="4">
        <v>1008</v>
      </c>
    </row>
    <row r="1299" spans="1:2">
      <c r="A1299" s="3">
        <v>38411</v>
      </c>
      <c r="B1299" s="4">
        <v>1004</v>
      </c>
    </row>
    <row r="1300" spans="1:2">
      <c r="A1300" s="3">
        <v>38412</v>
      </c>
      <c r="B1300" s="4">
        <v>1004</v>
      </c>
    </row>
    <row r="1301" spans="1:2">
      <c r="A1301" s="3">
        <v>38413</v>
      </c>
      <c r="B1301" s="4">
        <v>1007</v>
      </c>
    </row>
    <row r="1302" spans="1:2">
      <c r="A1302" s="3">
        <v>38414</v>
      </c>
      <c r="B1302" s="4">
        <v>1006</v>
      </c>
    </row>
    <row r="1303" spans="1:2">
      <c r="A1303" s="3">
        <v>38415</v>
      </c>
      <c r="B1303" s="4">
        <v>1008</v>
      </c>
    </row>
    <row r="1304" spans="1:2">
      <c r="A1304" s="3">
        <v>38418</v>
      </c>
      <c r="B1304" s="4">
        <v>1004.6</v>
      </c>
    </row>
    <row r="1305" spans="1:2">
      <c r="A1305" s="3">
        <v>38419</v>
      </c>
      <c r="B1305" s="4">
        <v>1004.2</v>
      </c>
    </row>
    <row r="1306" spans="1:2">
      <c r="A1306" s="3">
        <v>38420</v>
      </c>
      <c r="B1306" s="4">
        <v>1001</v>
      </c>
    </row>
    <row r="1307" spans="1:2">
      <c r="A1307" s="3">
        <v>38421</v>
      </c>
      <c r="B1307" s="4">
        <v>1000.2</v>
      </c>
    </row>
    <row r="1308" spans="1:2">
      <c r="A1308" s="3">
        <v>38422</v>
      </c>
      <c r="B1308" s="5">
        <v>997.5</v>
      </c>
    </row>
    <row r="1309" spans="1:2">
      <c r="A1309" s="3">
        <v>38425</v>
      </c>
      <c r="B1309" s="4">
        <v>1000.7</v>
      </c>
    </row>
    <row r="1310" spans="1:2">
      <c r="A1310" s="3">
        <v>38426</v>
      </c>
      <c r="B1310" s="4">
        <v>1003.8</v>
      </c>
    </row>
    <row r="1311" spans="1:2">
      <c r="A1311" s="3">
        <v>38427</v>
      </c>
      <c r="B1311" s="4">
        <v>1003.7</v>
      </c>
    </row>
    <row r="1312" spans="1:2">
      <c r="A1312" s="3">
        <v>38428</v>
      </c>
      <c r="B1312" s="4">
        <v>1000.7</v>
      </c>
    </row>
    <row r="1313" spans="1:2">
      <c r="A1313" s="3">
        <v>38429</v>
      </c>
      <c r="B1313" s="4">
        <v>1004</v>
      </c>
    </row>
    <row r="1314" spans="1:2">
      <c r="A1314" s="3">
        <v>38432</v>
      </c>
      <c r="B1314" s="4">
        <v>1009</v>
      </c>
    </row>
    <row r="1315" spans="1:2">
      <c r="A1315" s="3">
        <v>38433</v>
      </c>
      <c r="B1315" s="4">
        <v>1009.5</v>
      </c>
    </row>
    <row r="1316" spans="1:2">
      <c r="A1316" s="3">
        <v>38434</v>
      </c>
      <c r="B1316" s="4">
        <v>1012</v>
      </c>
    </row>
    <row r="1317" spans="1:2">
      <c r="A1317" s="3">
        <v>38435</v>
      </c>
      <c r="B1317" s="4">
        <v>1013</v>
      </c>
    </row>
    <row r="1318" spans="1:2">
      <c r="A1318" s="3">
        <v>38436</v>
      </c>
      <c r="B1318" s="4">
        <v>1014.2</v>
      </c>
    </row>
    <row r="1319" spans="1:2">
      <c r="A1319" s="3">
        <v>38439</v>
      </c>
      <c r="B1319" s="4">
        <v>1018</v>
      </c>
    </row>
    <row r="1320" spans="1:2">
      <c r="A1320" s="3">
        <v>38440</v>
      </c>
      <c r="B1320" s="4">
        <v>1024</v>
      </c>
    </row>
    <row r="1321" spans="1:2">
      <c r="A1321" s="3">
        <v>38441</v>
      </c>
      <c r="B1321" s="4">
        <v>1024</v>
      </c>
    </row>
    <row r="1322" spans="1:2">
      <c r="A1322" s="3">
        <v>38442</v>
      </c>
      <c r="B1322" s="4">
        <v>1017</v>
      </c>
    </row>
    <row r="1323" spans="1:2">
      <c r="A1323" s="3">
        <v>38443</v>
      </c>
      <c r="B1323" s="4">
        <v>1012</v>
      </c>
    </row>
    <row r="1324" spans="1:2">
      <c r="A1324" s="3">
        <v>38446</v>
      </c>
      <c r="B1324" s="4">
        <v>1017</v>
      </c>
    </row>
    <row r="1325" spans="1:2">
      <c r="A1325" s="3">
        <v>38447</v>
      </c>
      <c r="B1325" s="4">
        <v>1017</v>
      </c>
    </row>
    <row r="1326" spans="1:2">
      <c r="A1326" s="3">
        <v>38448</v>
      </c>
      <c r="B1326" s="4">
        <v>1016</v>
      </c>
    </row>
    <row r="1327" spans="1:2">
      <c r="A1327" s="3">
        <v>38449</v>
      </c>
      <c r="B1327" s="4">
        <v>1012</v>
      </c>
    </row>
    <row r="1328" spans="1:2">
      <c r="A1328" s="3">
        <v>38450</v>
      </c>
      <c r="B1328" s="4">
        <v>1013</v>
      </c>
    </row>
    <row r="1329" spans="1:2">
      <c r="A1329" s="3">
        <v>38453</v>
      </c>
      <c r="B1329" s="4">
        <v>1013</v>
      </c>
    </row>
    <row r="1330" spans="1:2">
      <c r="A1330" s="3">
        <v>38454</v>
      </c>
      <c r="B1330" s="4">
        <v>1015</v>
      </c>
    </row>
    <row r="1331" spans="1:2">
      <c r="A1331" s="3">
        <v>38455</v>
      </c>
      <c r="B1331" s="4">
        <v>1011</v>
      </c>
    </row>
    <row r="1332" spans="1:2">
      <c r="A1332" s="3">
        <v>38456</v>
      </c>
      <c r="B1332" s="4">
        <v>1018</v>
      </c>
    </row>
    <row r="1333" spans="1:2">
      <c r="A1333" s="3">
        <v>38457</v>
      </c>
      <c r="B1333" s="4">
        <v>1017.5</v>
      </c>
    </row>
    <row r="1334" spans="1:2">
      <c r="A1334" s="3">
        <v>38460</v>
      </c>
      <c r="B1334" s="4">
        <v>1017</v>
      </c>
    </row>
    <row r="1335" spans="1:2">
      <c r="A1335" s="3">
        <v>38461</v>
      </c>
      <c r="B1335" s="4">
        <v>1010</v>
      </c>
    </row>
    <row r="1336" spans="1:2">
      <c r="A1336" s="3">
        <v>38462</v>
      </c>
      <c r="B1336" s="4">
        <v>1005</v>
      </c>
    </row>
    <row r="1337" spans="1:2">
      <c r="A1337" s="3">
        <v>38463</v>
      </c>
      <c r="B1337" s="4">
        <v>1008</v>
      </c>
    </row>
    <row r="1338" spans="1:2">
      <c r="A1338" s="3">
        <v>38464</v>
      </c>
      <c r="B1338" s="4">
        <v>1000</v>
      </c>
    </row>
    <row r="1339" spans="1:2">
      <c r="A1339" s="3">
        <v>38467</v>
      </c>
      <c r="B1339" s="5">
        <v>998.9</v>
      </c>
    </row>
    <row r="1340" spans="1:2">
      <c r="A1340" s="3">
        <v>38468</v>
      </c>
      <c r="B1340" s="5">
        <v>998.7</v>
      </c>
    </row>
    <row r="1341" spans="1:2">
      <c r="A1341" s="3">
        <v>38469</v>
      </c>
      <c r="B1341" s="4">
        <v>1001</v>
      </c>
    </row>
    <row r="1342" spans="1:2">
      <c r="A1342" s="3">
        <v>38470</v>
      </c>
      <c r="B1342" s="4">
        <v>1002</v>
      </c>
    </row>
    <row r="1343" spans="1:2">
      <c r="A1343" s="3">
        <v>38471</v>
      </c>
      <c r="B1343" s="5">
        <v>997</v>
      </c>
    </row>
    <row r="1344" spans="1:2">
      <c r="A1344" s="3">
        <v>38474</v>
      </c>
      <c r="B1344" s="4">
        <v>1001</v>
      </c>
    </row>
    <row r="1345" spans="1:2">
      <c r="A1345" s="3">
        <v>38475</v>
      </c>
      <c r="B1345" s="4">
        <v>1002</v>
      </c>
    </row>
    <row r="1346" spans="1:2">
      <c r="A1346" s="3">
        <v>38476</v>
      </c>
      <c r="B1346" s="5">
        <v>995</v>
      </c>
    </row>
    <row r="1347" spans="1:2">
      <c r="A1347" s="3">
        <v>38477</v>
      </c>
      <c r="B1347" s="5">
        <v>999.6</v>
      </c>
    </row>
    <row r="1348" spans="1:2">
      <c r="A1348" s="3">
        <v>38478</v>
      </c>
      <c r="B1348" s="4">
        <v>1002</v>
      </c>
    </row>
    <row r="1349" spans="1:2">
      <c r="A1349" s="3">
        <v>38481</v>
      </c>
      <c r="B1349" s="4">
        <v>1001</v>
      </c>
    </row>
    <row r="1350" spans="1:2">
      <c r="A1350" s="3">
        <v>38482</v>
      </c>
      <c r="B1350" s="5">
        <v>999</v>
      </c>
    </row>
    <row r="1351" spans="1:2">
      <c r="A1351" s="3">
        <v>38483</v>
      </c>
      <c r="B1351" s="5">
        <v>997</v>
      </c>
    </row>
    <row r="1352" spans="1:2">
      <c r="A1352" s="3">
        <v>38484</v>
      </c>
      <c r="B1352" s="5">
        <v>999</v>
      </c>
    </row>
    <row r="1353" spans="1:2">
      <c r="A1353" s="3">
        <v>38485</v>
      </c>
      <c r="B1353" s="4">
        <v>1005</v>
      </c>
    </row>
    <row r="1354" spans="1:2">
      <c r="A1354" s="3">
        <v>38488</v>
      </c>
      <c r="B1354" s="4">
        <v>1007</v>
      </c>
    </row>
    <row r="1355" spans="1:2">
      <c r="A1355" s="3">
        <v>38489</v>
      </c>
      <c r="B1355" s="5">
        <v>999</v>
      </c>
    </row>
    <row r="1356" spans="1:2">
      <c r="A1356" s="3">
        <v>38490</v>
      </c>
      <c r="B1356" s="5">
        <v>999</v>
      </c>
    </row>
    <row r="1357" spans="1:2">
      <c r="A1357" s="3">
        <v>38491</v>
      </c>
      <c r="B1357" s="4">
        <v>1004</v>
      </c>
    </row>
    <row r="1358" spans="1:2">
      <c r="A1358" s="3">
        <v>38492</v>
      </c>
      <c r="B1358" s="4">
        <v>1008</v>
      </c>
    </row>
    <row r="1359" spans="1:2">
      <c r="A1359" s="3">
        <v>38495</v>
      </c>
      <c r="B1359" s="4">
        <v>1004</v>
      </c>
    </row>
    <row r="1360" spans="1:2">
      <c r="A1360" s="3">
        <v>38496</v>
      </c>
      <c r="B1360" s="5">
        <v>996</v>
      </c>
    </row>
    <row r="1361" spans="1:2">
      <c r="A1361" s="3">
        <v>38497</v>
      </c>
      <c r="B1361" s="4">
        <v>1001</v>
      </c>
    </row>
    <row r="1362" spans="1:2">
      <c r="A1362" s="3">
        <v>38498</v>
      </c>
      <c r="B1362" s="4">
        <v>1001</v>
      </c>
    </row>
    <row r="1363" spans="1:2">
      <c r="A1363" s="3">
        <v>38499</v>
      </c>
      <c r="B1363" s="4">
        <v>1000</v>
      </c>
    </row>
    <row r="1364" spans="1:2">
      <c r="A1364" s="3">
        <v>38502</v>
      </c>
      <c r="B1364" s="4">
        <v>1002.3</v>
      </c>
    </row>
    <row r="1365" spans="1:2">
      <c r="A1365" s="3">
        <v>38503</v>
      </c>
      <c r="B1365" s="4">
        <v>1007</v>
      </c>
    </row>
    <row r="1366" spans="1:2">
      <c r="A1366" s="3">
        <v>38504</v>
      </c>
      <c r="B1366" s="4">
        <v>1015</v>
      </c>
    </row>
    <row r="1367" spans="1:2">
      <c r="A1367" s="3">
        <v>38505</v>
      </c>
      <c r="B1367" s="4">
        <v>1013</v>
      </c>
    </row>
    <row r="1368" spans="1:2">
      <c r="A1368" s="3">
        <v>38506</v>
      </c>
      <c r="B1368" s="4">
        <v>1008</v>
      </c>
    </row>
    <row r="1369" spans="1:2">
      <c r="A1369" s="3">
        <v>38509</v>
      </c>
      <c r="B1369" s="4">
        <v>1005</v>
      </c>
    </row>
    <row r="1370" spans="1:2">
      <c r="A1370" s="3">
        <v>38510</v>
      </c>
      <c r="B1370" s="4">
        <v>1004</v>
      </c>
    </row>
    <row r="1371" spans="1:2">
      <c r="A1371" s="3">
        <v>38511</v>
      </c>
      <c r="B1371" s="4">
        <v>1006</v>
      </c>
    </row>
    <row r="1372" spans="1:2">
      <c r="A1372" s="3">
        <v>38512</v>
      </c>
      <c r="B1372" s="4">
        <v>1003</v>
      </c>
    </row>
    <row r="1373" spans="1:2">
      <c r="A1373" s="3">
        <v>38513</v>
      </c>
      <c r="B1373" s="4">
        <v>1008</v>
      </c>
    </row>
    <row r="1374" spans="1:2">
      <c r="A1374" s="3">
        <v>38516</v>
      </c>
      <c r="B1374" s="4">
        <v>1017</v>
      </c>
    </row>
    <row r="1375" spans="1:2">
      <c r="A1375" s="3">
        <v>38517</v>
      </c>
      <c r="B1375" s="4">
        <v>1015</v>
      </c>
    </row>
    <row r="1376" spans="1:2">
      <c r="A1376" s="3">
        <v>38518</v>
      </c>
      <c r="B1376" s="4">
        <v>1013</v>
      </c>
    </row>
    <row r="1377" spans="1:2">
      <c r="A1377" s="3">
        <v>38519</v>
      </c>
      <c r="B1377" s="4">
        <v>1014</v>
      </c>
    </row>
    <row r="1378" spans="1:2">
      <c r="A1378" s="3">
        <v>38520</v>
      </c>
      <c r="B1378" s="4">
        <v>1009</v>
      </c>
    </row>
    <row r="1379" spans="1:2">
      <c r="A1379" s="3">
        <v>38523</v>
      </c>
      <c r="B1379" s="4">
        <v>1010</v>
      </c>
    </row>
    <row r="1380" spans="1:2">
      <c r="A1380" s="3">
        <v>38524</v>
      </c>
      <c r="B1380" s="4">
        <v>1008</v>
      </c>
    </row>
    <row r="1381" spans="1:2">
      <c r="A1381" s="3">
        <v>38525</v>
      </c>
      <c r="B1381" s="4">
        <v>1010</v>
      </c>
    </row>
    <row r="1382" spans="1:2">
      <c r="A1382" s="3">
        <v>38526</v>
      </c>
      <c r="B1382" s="4">
        <v>1010.4</v>
      </c>
    </row>
    <row r="1383" spans="1:2">
      <c r="A1383" s="3">
        <v>38527</v>
      </c>
      <c r="B1383" s="4">
        <v>1013</v>
      </c>
    </row>
    <row r="1384" spans="1:2">
      <c r="A1384" s="3">
        <v>38530</v>
      </c>
      <c r="B1384" s="4">
        <v>1013</v>
      </c>
    </row>
    <row r="1385" spans="1:2">
      <c r="A1385" s="3">
        <v>38531</v>
      </c>
      <c r="B1385" s="4">
        <v>1023</v>
      </c>
    </row>
    <row r="1386" spans="1:2">
      <c r="A1386" s="3">
        <v>38532</v>
      </c>
      <c r="B1386" s="4">
        <v>1031</v>
      </c>
    </row>
    <row r="1387" spans="1:2">
      <c r="A1387" s="3">
        <v>38533</v>
      </c>
      <c r="B1387" s="4">
        <v>1035</v>
      </c>
    </row>
    <row r="1388" spans="1:2">
      <c r="A1388" s="3">
        <v>38534</v>
      </c>
      <c r="B1388" s="4">
        <v>1034</v>
      </c>
    </row>
    <row r="1389" spans="1:2">
      <c r="A1389" s="3">
        <v>38537</v>
      </c>
      <c r="B1389" s="4">
        <v>1043.3</v>
      </c>
    </row>
    <row r="1390" spans="1:2">
      <c r="A1390" s="3">
        <v>38538</v>
      </c>
      <c r="B1390" s="4">
        <v>1049</v>
      </c>
    </row>
    <row r="1391" spans="1:2">
      <c r="A1391" s="3">
        <v>38539</v>
      </c>
      <c r="B1391" s="4">
        <v>1054</v>
      </c>
    </row>
    <row r="1392" spans="1:2">
      <c r="A1392" s="3">
        <v>38540</v>
      </c>
      <c r="B1392" s="4">
        <v>1051</v>
      </c>
    </row>
    <row r="1393" spans="1:2">
      <c r="A1393" s="3">
        <v>38541</v>
      </c>
      <c r="B1393" s="4">
        <v>1050</v>
      </c>
    </row>
    <row r="1394" spans="1:2">
      <c r="A1394" s="3">
        <v>38544</v>
      </c>
      <c r="B1394" s="4">
        <v>1039.5</v>
      </c>
    </row>
    <row r="1395" spans="1:2">
      <c r="A1395" s="3">
        <v>38545</v>
      </c>
      <c r="B1395" s="4">
        <v>1035</v>
      </c>
    </row>
    <row r="1396" spans="1:2">
      <c r="A1396" s="3">
        <v>38546</v>
      </c>
      <c r="B1396" s="4">
        <v>1036</v>
      </c>
    </row>
    <row r="1397" spans="1:2">
      <c r="A1397" s="3">
        <v>38547</v>
      </c>
      <c r="B1397" s="4">
        <v>1034</v>
      </c>
    </row>
    <row r="1398" spans="1:2">
      <c r="A1398" s="3">
        <v>38548</v>
      </c>
      <c r="B1398" s="4">
        <v>1038</v>
      </c>
    </row>
    <row r="1399" spans="1:2">
      <c r="A1399" s="3">
        <v>38551</v>
      </c>
      <c r="B1399" s="4">
        <v>1033</v>
      </c>
    </row>
    <row r="1400" spans="1:2">
      <c r="A1400" s="3">
        <v>38552</v>
      </c>
      <c r="B1400" s="4">
        <v>1044</v>
      </c>
    </row>
    <row r="1401" spans="1:2">
      <c r="A1401" s="3">
        <v>38553</v>
      </c>
      <c r="B1401" s="4">
        <v>1044</v>
      </c>
    </row>
    <row r="1402" spans="1:2">
      <c r="A1402" s="3">
        <v>38554</v>
      </c>
      <c r="B1402" s="4">
        <v>1035</v>
      </c>
    </row>
    <row r="1403" spans="1:2">
      <c r="A1403" s="3">
        <v>38555</v>
      </c>
      <c r="B1403" s="4">
        <v>1022</v>
      </c>
    </row>
    <row r="1404" spans="1:2">
      <c r="A1404" s="3">
        <v>38558</v>
      </c>
      <c r="B1404" s="4">
        <v>1012.7</v>
      </c>
    </row>
    <row r="1405" spans="1:2">
      <c r="A1405" s="3">
        <v>38559</v>
      </c>
      <c r="B1405" s="4">
        <v>1025</v>
      </c>
    </row>
    <row r="1406" spans="1:2">
      <c r="A1406" s="3">
        <v>38560</v>
      </c>
      <c r="B1406" s="4">
        <v>1030.9000000000001</v>
      </c>
    </row>
    <row r="1407" spans="1:2">
      <c r="A1407" s="3">
        <v>38561</v>
      </c>
      <c r="B1407" s="4">
        <v>1027.7</v>
      </c>
    </row>
    <row r="1408" spans="1:2">
      <c r="A1408" s="3">
        <v>38562</v>
      </c>
      <c r="B1408" s="4">
        <v>1023.1</v>
      </c>
    </row>
    <row r="1409" spans="1:2">
      <c r="A1409" s="3">
        <v>38565</v>
      </c>
      <c r="B1409" s="4">
        <v>1025</v>
      </c>
    </row>
    <row r="1410" spans="1:2">
      <c r="A1410" s="3">
        <v>38566</v>
      </c>
      <c r="B1410" s="4">
        <v>1019</v>
      </c>
    </row>
    <row r="1411" spans="1:2">
      <c r="A1411" s="3">
        <v>38567</v>
      </c>
      <c r="B1411" s="4">
        <v>1015</v>
      </c>
    </row>
    <row r="1412" spans="1:2">
      <c r="A1412" s="3">
        <v>38568</v>
      </c>
      <c r="B1412" s="4">
        <v>1011</v>
      </c>
    </row>
    <row r="1413" spans="1:2">
      <c r="A1413" s="3">
        <v>38569</v>
      </c>
      <c r="B1413" s="4">
        <v>1016</v>
      </c>
    </row>
    <row r="1414" spans="1:2">
      <c r="A1414" s="3">
        <v>38572</v>
      </c>
      <c r="B1414" s="4">
        <v>1017</v>
      </c>
    </row>
    <row r="1415" spans="1:2">
      <c r="A1415" s="3">
        <v>38573</v>
      </c>
      <c r="B1415" s="4">
        <v>1014</v>
      </c>
    </row>
    <row r="1416" spans="1:2">
      <c r="A1416" s="3">
        <v>38574</v>
      </c>
      <c r="B1416" s="4">
        <v>1012</v>
      </c>
    </row>
    <row r="1417" spans="1:2">
      <c r="A1417" s="3">
        <v>38575</v>
      </c>
      <c r="B1417" s="4">
        <v>1011</v>
      </c>
    </row>
    <row r="1418" spans="1:2">
      <c r="A1418" s="3">
        <v>38576</v>
      </c>
      <c r="B1418" s="4">
        <v>1014</v>
      </c>
    </row>
    <row r="1419" spans="1:2">
      <c r="A1419" s="3">
        <v>38579</v>
      </c>
      <c r="B1419" s="4">
        <v>1015</v>
      </c>
    </row>
    <row r="1420" spans="1:2">
      <c r="A1420" s="3">
        <v>38580</v>
      </c>
      <c r="B1420" s="4">
        <v>1018</v>
      </c>
    </row>
    <row r="1421" spans="1:2">
      <c r="A1421" s="3">
        <v>38581</v>
      </c>
      <c r="B1421" s="4">
        <v>1018</v>
      </c>
    </row>
    <row r="1422" spans="1:2">
      <c r="A1422" s="3">
        <v>38582</v>
      </c>
      <c r="B1422" s="4">
        <v>1018.4</v>
      </c>
    </row>
    <row r="1423" spans="1:2">
      <c r="A1423" s="3">
        <v>38583</v>
      </c>
      <c r="B1423" s="4">
        <v>1022</v>
      </c>
    </row>
    <row r="1424" spans="1:2">
      <c r="A1424" s="3">
        <v>38586</v>
      </c>
      <c r="B1424" s="4">
        <v>1024.4000000000001</v>
      </c>
    </row>
    <row r="1425" spans="1:2">
      <c r="A1425" s="3">
        <v>38587</v>
      </c>
      <c r="B1425" s="4">
        <v>1028</v>
      </c>
    </row>
    <row r="1426" spans="1:2">
      <c r="A1426" s="3">
        <v>38588</v>
      </c>
      <c r="B1426" s="4">
        <v>1027.4000000000001</v>
      </c>
    </row>
    <row r="1427" spans="1:2">
      <c r="A1427" s="3">
        <v>38589</v>
      </c>
      <c r="B1427" s="4">
        <v>1024.2</v>
      </c>
    </row>
    <row r="1428" spans="1:2">
      <c r="A1428" s="3">
        <v>38590</v>
      </c>
      <c r="B1428" s="4">
        <v>1028.7</v>
      </c>
    </row>
    <row r="1429" spans="1:2">
      <c r="A1429" s="3">
        <v>38593</v>
      </c>
      <c r="B1429" s="4">
        <v>1030.4000000000001</v>
      </c>
    </row>
    <row r="1430" spans="1:2">
      <c r="A1430" s="3">
        <v>38594</v>
      </c>
      <c r="B1430" s="4">
        <v>1034.0999999999999</v>
      </c>
    </row>
    <row r="1431" spans="1:2">
      <c r="A1431" s="3">
        <v>38595</v>
      </c>
      <c r="B1431" s="4">
        <v>1038</v>
      </c>
    </row>
    <row r="1432" spans="1:2">
      <c r="A1432" s="3">
        <v>38596</v>
      </c>
      <c r="B1432" s="4">
        <v>1029</v>
      </c>
    </row>
    <row r="1433" spans="1:2">
      <c r="A1433" s="3">
        <v>38597</v>
      </c>
      <c r="B1433" s="4">
        <v>1026.4000000000001</v>
      </c>
    </row>
    <row r="1434" spans="1:2">
      <c r="A1434" s="3">
        <v>38600</v>
      </c>
      <c r="B1434" s="4">
        <v>1022.6</v>
      </c>
    </row>
    <row r="1435" spans="1:2">
      <c r="A1435" s="3">
        <v>38601</v>
      </c>
      <c r="B1435" s="4">
        <v>1024</v>
      </c>
    </row>
    <row r="1436" spans="1:2">
      <c r="A1436" s="3">
        <v>38602</v>
      </c>
      <c r="B1436" s="4">
        <v>1026.2</v>
      </c>
    </row>
    <row r="1437" spans="1:2">
      <c r="A1437" s="3">
        <v>38603</v>
      </c>
      <c r="B1437" s="4">
        <v>1027</v>
      </c>
    </row>
    <row r="1438" spans="1:2">
      <c r="A1438" s="3">
        <v>38604</v>
      </c>
      <c r="B1438" s="4">
        <v>1025</v>
      </c>
    </row>
    <row r="1439" spans="1:2">
      <c r="A1439" s="3">
        <v>38607</v>
      </c>
      <c r="B1439" s="4">
        <v>1026</v>
      </c>
    </row>
    <row r="1440" spans="1:2">
      <c r="A1440" s="3">
        <v>38608</v>
      </c>
      <c r="B1440" s="4">
        <v>1025.3</v>
      </c>
    </row>
    <row r="1441" spans="1:2">
      <c r="A1441" s="3">
        <v>38609</v>
      </c>
      <c r="B1441" s="4">
        <v>1025.4000000000001</v>
      </c>
    </row>
    <row r="1442" spans="1:2">
      <c r="A1442" s="3">
        <v>38610</v>
      </c>
      <c r="B1442" s="4">
        <v>1025.4000000000001</v>
      </c>
    </row>
    <row r="1443" spans="1:2">
      <c r="A1443" s="3">
        <v>38611</v>
      </c>
      <c r="B1443" s="4">
        <v>1030</v>
      </c>
    </row>
    <row r="1444" spans="1:2">
      <c r="A1444" s="3">
        <v>38614</v>
      </c>
      <c r="B1444" s="4">
        <v>1028</v>
      </c>
    </row>
    <row r="1445" spans="1:2">
      <c r="A1445" s="3">
        <v>38615</v>
      </c>
      <c r="B1445" s="4">
        <v>1031</v>
      </c>
    </row>
    <row r="1446" spans="1:2">
      <c r="A1446" s="3">
        <v>38616</v>
      </c>
      <c r="B1446" s="4">
        <v>1028</v>
      </c>
    </row>
    <row r="1447" spans="1:2">
      <c r="A1447" s="3">
        <v>38617</v>
      </c>
      <c r="B1447" s="4">
        <v>1027.4000000000001</v>
      </c>
    </row>
    <row r="1448" spans="1:2">
      <c r="A1448" s="3">
        <v>38618</v>
      </c>
      <c r="B1448" s="4">
        <v>1030</v>
      </c>
    </row>
    <row r="1449" spans="1:2">
      <c r="A1449" s="3">
        <v>38621</v>
      </c>
      <c r="B1449" s="4">
        <v>1034.4000000000001</v>
      </c>
    </row>
    <row r="1450" spans="1:2">
      <c r="A1450" s="3">
        <v>38622</v>
      </c>
      <c r="B1450" s="4">
        <v>1038</v>
      </c>
    </row>
    <row r="1451" spans="1:2">
      <c r="A1451" s="3">
        <v>38623</v>
      </c>
      <c r="B1451" s="4">
        <v>1039</v>
      </c>
    </row>
    <row r="1452" spans="1:2">
      <c r="A1452" s="3">
        <v>38624</v>
      </c>
      <c r="B1452" s="4">
        <v>1039.4000000000001</v>
      </c>
    </row>
    <row r="1453" spans="1:2">
      <c r="A1453" s="3">
        <v>38625</v>
      </c>
      <c r="B1453" s="4">
        <v>1043.4000000000001</v>
      </c>
    </row>
    <row r="1454" spans="1:2">
      <c r="A1454" s="3">
        <v>38628</v>
      </c>
      <c r="B1454" s="4">
        <v>1047</v>
      </c>
    </row>
    <row r="1455" spans="1:2">
      <c r="A1455" s="3">
        <v>38629</v>
      </c>
      <c r="B1455" s="4">
        <v>1043.4000000000001</v>
      </c>
    </row>
    <row r="1456" spans="1:2">
      <c r="A1456" s="3">
        <v>38630</v>
      </c>
      <c r="B1456" s="4">
        <v>1039</v>
      </c>
    </row>
    <row r="1457" spans="1:2">
      <c r="A1457" s="3">
        <v>38631</v>
      </c>
      <c r="B1457" s="4">
        <v>1039</v>
      </c>
    </row>
    <row r="1458" spans="1:2">
      <c r="A1458" s="3">
        <v>38632</v>
      </c>
      <c r="B1458" s="4">
        <v>1037</v>
      </c>
    </row>
    <row r="1459" spans="1:2">
      <c r="A1459" s="3">
        <v>38635</v>
      </c>
      <c r="B1459" s="4">
        <v>1037.8</v>
      </c>
    </row>
    <row r="1460" spans="1:2">
      <c r="A1460" s="3">
        <v>38636</v>
      </c>
      <c r="B1460" s="4">
        <v>1044</v>
      </c>
    </row>
    <row r="1461" spans="1:2">
      <c r="A1461" s="3">
        <v>38637</v>
      </c>
      <c r="B1461" s="4">
        <v>1043.4000000000001</v>
      </c>
    </row>
    <row r="1462" spans="1:2">
      <c r="A1462" s="3">
        <v>38638</v>
      </c>
      <c r="B1462" s="4">
        <v>1049</v>
      </c>
    </row>
    <row r="1463" spans="1:2">
      <c r="A1463" s="3">
        <v>38639</v>
      </c>
      <c r="B1463" s="4">
        <v>1044.4000000000001</v>
      </c>
    </row>
    <row r="1464" spans="1:2">
      <c r="A1464" s="3">
        <v>38642</v>
      </c>
      <c r="B1464" s="4">
        <v>1048</v>
      </c>
    </row>
    <row r="1465" spans="1:2">
      <c r="A1465" s="3">
        <v>38643</v>
      </c>
      <c r="B1465" s="4">
        <v>1053</v>
      </c>
    </row>
    <row r="1466" spans="1:2">
      <c r="A1466" s="3">
        <v>38644</v>
      </c>
      <c r="B1466" s="4">
        <v>1053.4000000000001</v>
      </c>
    </row>
    <row r="1467" spans="1:2">
      <c r="A1467" s="3">
        <v>38645</v>
      </c>
      <c r="B1467" s="4">
        <v>1054.4000000000001</v>
      </c>
    </row>
    <row r="1468" spans="1:2">
      <c r="A1468" s="3">
        <v>38646</v>
      </c>
      <c r="B1468" s="4">
        <v>1060</v>
      </c>
    </row>
    <row r="1469" spans="1:2">
      <c r="A1469" s="3">
        <v>38649</v>
      </c>
      <c r="B1469" s="4">
        <v>1054.3</v>
      </c>
    </row>
    <row r="1470" spans="1:2">
      <c r="A1470" s="3">
        <v>38650</v>
      </c>
      <c r="B1470" s="4">
        <v>1048</v>
      </c>
    </row>
    <row r="1471" spans="1:2">
      <c r="A1471" s="3">
        <v>38651</v>
      </c>
      <c r="B1471" s="4">
        <v>1045</v>
      </c>
    </row>
    <row r="1472" spans="1:2">
      <c r="A1472" s="3">
        <v>38652</v>
      </c>
      <c r="B1472" s="4">
        <v>1040</v>
      </c>
    </row>
    <row r="1473" spans="1:2">
      <c r="A1473" s="3">
        <v>38653</v>
      </c>
      <c r="B1473" s="4">
        <v>1040.0999999999999</v>
      </c>
    </row>
    <row r="1474" spans="1:2">
      <c r="A1474" s="3">
        <v>38656</v>
      </c>
      <c r="B1474" s="4">
        <v>1042.3</v>
      </c>
    </row>
    <row r="1475" spans="1:2">
      <c r="A1475" s="3">
        <v>38657</v>
      </c>
      <c r="B1475" s="4">
        <v>1041</v>
      </c>
    </row>
    <row r="1476" spans="1:2">
      <c r="A1476" s="3">
        <v>38658</v>
      </c>
      <c r="B1476" s="4">
        <v>1041.4000000000001</v>
      </c>
    </row>
    <row r="1477" spans="1:2">
      <c r="A1477" s="3">
        <v>38659</v>
      </c>
      <c r="B1477" s="4">
        <v>1044.5999999999999</v>
      </c>
    </row>
    <row r="1478" spans="1:2">
      <c r="A1478" s="3">
        <v>38660</v>
      </c>
      <c r="B1478" s="4">
        <v>1050</v>
      </c>
    </row>
    <row r="1479" spans="1:2">
      <c r="A1479" s="3">
        <v>38663</v>
      </c>
      <c r="B1479" s="4">
        <v>1047</v>
      </c>
    </row>
    <row r="1480" spans="1:2">
      <c r="A1480" s="3">
        <v>38664</v>
      </c>
      <c r="B1480" s="4">
        <v>1045</v>
      </c>
    </row>
    <row r="1481" spans="1:2">
      <c r="A1481" s="3">
        <v>38665</v>
      </c>
      <c r="B1481" s="4">
        <v>1047.8</v>
      </c>
    </row>
    <row r="1482" spans="1:2">
      <c r="A1482" s="3">
        <v>38666</v>
      </c>
      <c r="B1482" s="4">
        <v>1046.4000000000001</v>
      </c>
    </row>
    <row r="1483" spans="1:2">
      <c r="A1483" s="3">
        <v>38667</v>
      </c>
      <c r="B1483" s="4">
        <v>1041.2</v>
      </c>
    </row>
    <row r="1484" spans="1:2">
      <c r="A1484" s="3">
        <v>38670</v>
      </c>
      <c r="B1484" s="4">
        <v>1039.4000000000001</v>
      </c>
    </row>
    <row r="1485" spans="1:2">
      <c r="A1485" s="3">
        <v>38671</v>
      </c>
      <c r="B1485" s="4">
        <v>1034.4000000000001</v>
      </c>
    </row>
    <row r="1486" spans="1:2">
      <c r="A1486" s="3">
        <v>38672</v>
      </c>
      <c r="B1486" s="4">
        <v>1036.4000000000001</v>
      </c>
    </row>
    <row r="1487" spans="1:2">
      <c r="A1487" s="3">
        <v>38673</v>
      </c>
      <c r="B1487" s="4">
        <v>1033.4000000000001</v>
      </c>
    </row>
    <row r="1488" spans="1:2">
      <c r="A1488" s="3">
        <v>38674</v>
      </c>
      <c r="B1488" s="4">
        <v>1037</v>
      </c>
    </row>
    <row r="1489" spans="1:2">
      <c r="A1489" s="3">
        <v>38677</v>
      </c>
      <c r="B1489" s="4">
        <v>1037.4000000000001</v>
      </c>
    </row>
    <row r="1490" spans="1:2">
      <c r="A1490" s="3">
        <v>38678</v>
      </c>
      <c r="B1490" s="4">
        <v>1043</v>
      </c>
    </row>
    <row r="1491" spans="1:2">
      <c r="A1491" s="3">
        <v>38679</v>
      </c>
      <c r="B1491" s="4">
        <v>1036.4000000000001</v>
      </c>
    </row>
    <row r="1492" spans="1:2">
      <c r="A1492" s="3">
        <v>38680</v>
      </c>
      <c r="B1492" s="4">
        <v>1037.7</v>
      </c>
    </row>
    <row r="1493" spans="1:2">
      <c r="A1493" s="3">
        <v>38681</v>
      </c>
      <c r="B1493" s="4">
        <v>1041.4000000000001</v>
      </c>
    </row>
    <row r="1494" spans="1:2">
      <c r="A1494" s="3">
        <v>38684</v>
      </c>
      <c r="B1494" s="4">
        <v>1039.4000000000001</v>
      </c>
    </row>
    <row r="1495" spans="1:2">
      <c r="A1495" s="3">
        <v>38685</v>
      </c>
      <c r="B1495" s="4">
        <v>1038</v>
      </c>
    </row>
    <row r="1496" spans="1:2">
      <c r="A1496" s="3">
        <v>38686</v>
      </c>
      <c r="B1496" s="4">
        <v>1037.4000000000001</v>
      </c>
    </row>
    <row r="1497" spans="1:2">
      <c r="A1497" s="3">
        <v>38687</v>
      </c>
      <c r="B1497" s="4">
        <v>1036.4000000000001</v>
      </c>
    </row>
    <row r="1498" spans="1:2">
      <c r="A1498" s="3">
        <v>38688</v>
      </c>
      <c r="B1498" s="4">
        <v>1034</v>
      </c>
    </row>
    <row r="1499" spans="1:2">
      <c r="A1499" s="3">
        <v>38691</v>
      </c>
      <c r="B1499" s="4">
        <v>1036.4000000000001</v>
      </c>
    </row>
    <row r="1500" spans="1:2">
      <c r="A1500" s="3">
        <v>38692</v>
      </c>
      <c r="B1500" s="4">
        <v>1034.4000000000001</v>
      </c>
    </row>
    <row r="1501" spans="1:2">
      <c r="A1501" s="3">
        <v>38693</v>
      </c>
      <c r="B1501" s="4">
        <v>1035.4000000000001</v>
      </c>
    </row>
    <row r="1502" spans="1:2">
      <c r="A1502" s="3">
        <v>38694</v>
      </c>
      <c r="B1502" s="4">
        <v>1034.4000000000001</v>
      </c>
    </row>
    <row r="1503" spans="1:2">
      <c r="A1503" s="3">
        <v>38695</v>
      </c>
      <c r="B1503" s="4">
        <v>1035</v>
      </c>
    </row>
    <row r="1504" spans="1:2">
      <c r="A1504" s="3">
        <v>38698</v>
      </c>
      <c r="B1504" s="4">
        <v>1032.2</v>
      </c>
    </row>
    <row r="1505" spans="1:2">
      <c r="A1505" s="3">
        <v>38699</v>
      </c>
      <c r="B1505" s="4">
        <v>1026.4000000000001</v>
      </c>
    </row>
    <row r="1506" spans="1:2">
      <c r="A1506" s="3">
        <v>38700</v>
      </c>
      <c r="B1506" s="4">
        <v>1013.4</v>
      </c>
    </row>
    <row r="1507" spans="1:2">
      <c r="A1507" s="3">
        <v>38701</v>
      </c>
      <c r="B1507" s="4">
        <v>1015</v>
      </c>
    </row>
    <row r="1508" spans="1:2">
      <c r="A1508" s="3">
        <v>38702</v>
      </c>
      <c r="B1508" s="4">
        <v>1017.4</v>
      </c>
    </row>
    <row r="1509" spans="1:2">
      <c r="A1509" s="3">
        <v>38705</v>
      </c>
      <c r="B1509" s="4">
        <v>1016.4</v>
      </c>
    </row>
    <row r="1510" spans="1:2">
      <c r="A1510" s="3">
        <v>38706</v>
      </c>
      <c r="B1510" s="4">
        <v>1016.7</v>
      </c>
    </row>
    <row r="1511" spans="1:2">
      <c r="A1511" s="3">
        <v>38707</v>
      </c>
      <c r="B1511" s="4">
        <v>1018.1</v>
      </c>
    </row>
    <row r="1512" spans="1:2">
      <c r="A1512" s="3">
        <v>38708</v>
      </c>
      <c r="B1512" s="4">
        <v>1013.5</v>
      </c>
    </row>
    <row r="1513" spans="1:2">
      <c r="A1513" s="3">
        <v>38709</v>
      </c>
      <c r="B1513" s="4">
        <v>1013.5</v>
      </c>
    </row>
    <row r="1514" spans="1:2">
      <c r="A1514" s="3">
        <v>38712</v>
      </c>
      <c r="B1514" s="4">
        <v>1011.6</v>
      </c>
    </row>
    <row r="1515" spans="1:2">
      <c r="A1515" s="3">
        <v>38713</v>
      </c>
      <c r="B1515" s="4">
        <v>1012.2</v>
      </c>
    </row>
    <row r="1516" spans="1:2">
      <c r="A1516" s="3">
        <v>38714</v>
      </c>
      <c r="B1516" s="4">
        <v>1013</v>
      </c>
    </row>
    <row r="1517" spans="1:2">
      <c r="A1517" s="3">
        <v>38715</v>
      </c>
      <c r="B1517" s="4">
        <v>1010</v>
      </c>
    </row>
    <row r="1518" spans="1:2">
      <c r="A1518" s="3">
        <v>38716</v>
      </c>
      <c r="B1518" s="4">
        <v>1007.4</v>
      </c>
    </row>
    <row r="1519" spans="1:2">
      <c r="A1519" s="3">
        <v>38719</v>
      </c>
      <c r="B1519" s="4">
        <v>1012.33</v>
      </c>
    </row>
    <row r="1520" spans="1:2">
      <c r="A1520" s="3">
        <v>38720</v>
      </c>
      <c r="B1520" s="4">
        <v>1004.4</v>
      </c>
    </row>
    <row r="1521" spans="1:2">
      <c r="A1521" s="3">
        <v>38721</v>
      </c>
      <c r="B1521" s="5">
        <v>998.1</v>
      </c>
    </row>
    <row r="1522" spans="1:2">
      <c r="A1522" s="3">
        <v>38722</v>
      </c>
      <c r="B1522" s="5">
        <v>994.4</v>
      </c>
    </row>
    <row r="1523" spans="1:2">
      <c r="A1523" s="3">
        <v>38723</v>
      </c>
      <c r="B1523" s="5">
        <v>989.2</v>
      </c>
    </row>
    <row r="1524" spans="1:2">
      <c r="A1524" s="3">
        <v>38726</v>
      </c>
      <c r="B1524" s="5">
        <v>977.4</v>
      </c>
    </row>
    <row r="1525" spans="1:2">
      <c r="A1525" s="3">
        <v>38727</v>
      </c>
      <c r="B1525" s="5">
        <v>981.8</v>
      </c>
    </row>
    <row r="1526" spans="1:2">
      <c r="A1526" s="3">
        <v>38728</v>
      </c>
      <c r="B1526" s="5">
        <v>984.4</v>
      </c>
    </row>
    <row r="1527" spans="1:2">
      <c r="A1527" s="3">
        <v>38729</v>
      </c>
      <c r="B1527" s="5">
        <v>973.8</v>
      </c>
    </row>
    <row r="1528" spans="1:2">
      <c r="A1528" s="3">
        <v>38730</v>
      </c>
      <c r="B1528" s="5">
        <v>987.3</v>
      </c>
    </row>
    <row r="1529" spans="1:2">
      <c r="A1529" s="3">
        <v>38733</v>
      </c>
      <c r="B1529" s="5">
        <v>982.4</v>
      </c>
    </row>
    <row r="1530" spans="1:2">
      <c r="A1530" s="3">
        <v>38734</v>
      </c>
      <c r="B1530" s="5">
        <v>988.9</v>
      </c>
    </row>
    <row r="1531" spans="1:2">
      <c r="A1531" s="3">
        <v>38735</v>
      </c>
      <c r="B1531" s="5">
        <v>991.9</v>
      </c>
    </row>
    <row r="1532" spans="1:2">
      <c r="A1532" s="3">
        <v>38736</v>
      </c>
      <c r="B1532" s="5">
        <v>980</v>
      </c>
    </row>
    <row r="1533" spans="1:2">
      <c r="A1533" s="3">
        <v>38737</v>
      </c>
      <c r="B1533" s="5">
        <v>986.6</v>
      </c>
    </row>
    <row r="1534" spans="1:2">
      <c r="A1534" s="3">
        <v>38740</v>
      </c>
      <c r="B1534" s="5">
        <v>981.4</v>
      </c>
    </row>
    <row r="1535" spans="1:2">
      <c r="A1535" s="3">
        <v>38741</v>
      </c>
      <c r="B1535" s="5">
        <v>975.5</v>
      </c>
    </row>
    <row r="1536" spans="1:2">
      <c r="A1536" s="3">
        <v>38742</v>
      </c>
      <c r="B1536" s="5">
        <v>968.3</v>
      </c>
    </row>
    <row r="1537" spans="1:2">
      <c r="A1537" s="3">
        <v>38743</v>
      </c>
      <c r="B1537" s="5">
        <v>968.9</v>
      </c>
    </row>
    <row r="1538" spans="1:2">
      <c r="A1538" s="3">
        <v>38744</v>
      </c>
      <c r="B1538" s="5">
        <v>970.5</v>
      </c>
    </row>
    <row r="1539" spans="1:2">
      <c r="A1539" s="3">
        <v>38747</v>
      </c>
      <c r="B1539" s="5">
        <v>970.5</v>
      </c>
    </row>
    <row r="1540" spans="1:2">
      <c r="A1540" s="3">
        <v>38748</v>
      </c>
      <c r="B1540" s="5">
        <v>958.9</v>
      </c>
    </row>
    <row r="1541" spans="1:2">
      <c r="A1541" s="3">
        <v>38749</v>
      </c>
      <c r="B1541" s="5">
        <v>962</v>
      </c>
    </row>
    <row r="1542" spans="1:2">
      <c r="A1542" s="3">
        <v>38750</v>
      </c>
      <c r="B1542" s="5">
        <v>972.3</v>
      </c>
    </row>
    <row r="1543" spans="1:2">
      <c r="A1543" s="3">
        <v>38751</v>
      </c>
      <c r="B1543" s="5">
        <v>969.9</v>
      </c>
    </row>
    <row r="1544" spans="1:2">
      <c r="A1544" s="3">
        <v>38754</v>
      </c>
      <c r="B1544" s="5">
        <v>963</v>
      </c>
    </row>
    <row r="1545" spans="1:2">
      <c r="A1545" s="3">
        <v>38755</v>
      </c>
      <c r="B1545" s="5">
        <v>968</v>
      </c>
    </row>
    <row r="1546" spans="1:2">
      <c r="A1546" s="3">
        <v>38756</v>
      </c>
      <c r="B1546" s="5">
        <v>971.5</v>
      </c>
    </row>
    <row r="1547" spans="1:2">
      <c r="A1547" s="3">
        <v>38757</v>
      </c>
      <c r="B1547" s="5">
        <v>972.3</v>
      </c>
    </row>
    <row r="1548" spans="1:2">
      <c r="A1548" s="3">
        <v>38758</v>
      </c>
      <c r="B1548" s="5">
        <v>967.4</v>
      </c>
    </row>
    <row r="1549" spans="1:2">
      <c r="A1549" s="3">
        <v>38761</v>
      </c>
      <c r="B1549" s="5">
        <v>975</v>
      </c>
    </row>
    <row r="1550" spans="1:2">
      <c r="A1550" s="3">
        <v>38762</v>
      </c>
      <c r="B1550" s="5">
        <v>968</v>
      </c>
    </row>
    <row r="1551" spans="1:2">
      <c r="A1551" s="3">
        <v>38763</v>
      </c>
      <c r="B1551" s="5">
        <v>972</v>
      </c>
    </row>
    <row r="1552" spans="1:2">
      <c r="A1552" s="3">
        <v>38764</v>
      </c>
      <c r="B1552" s="5">
        <v>974.2</v>
      </c>
    </row>
    <row r="1553" spans="1:2">
      <c r="A1553" s="3">
        <v>38765</v>
      </c>
      <c r="B1553" s="5">
        <v>972.4</v>
      </c>
    </row>
    <row r="1554" spans="1:2">
      <c r="A1554" s="3">
        <v>38768</v>
      </c>
      <c r="B1554" s="5">
        <v>967.5</v>
      </c>
    </row>
    <row r="1555" spans="1:2">
      <c r="A1555" s="3">
        <v>38769</v>
      </c>
      <c r="B1555" s="5">
        <v>968.05</v>
      </c>
    </row>
    <row r="1556" spans="1:2">
      <c r="A1556" s="3">
        <v>38770</v>
      </c>
      <c r="B1556" s="5">
        <v>974.5</v>
      </c>
    </row>
    <row r="1557" spans="1:2">
      <c r="A1557" s="3">
        <v>38771</v>
      </c>
      <c r="B1557" s="5">
        <v>965</v>
      </c>
    </row>
    <row r="1558" spans="1:2">
      <c r="A1558" s="3">
        <v>38772</v>
      </c>
      <c r="B1558" s="5">
        <v>966.3</v>
      </c>
    </row>
    <row r="1559" spans="1:2">
      <c r="A1559" s="3">
        <v>38775</v>
      </c>
      <c r="B1559" s="5">
        <v>968.5</v>
      </c>
    </row>
    <row r="1560" spans="1:2">
      <c r="A1560" s="3">
        <v>38776</v>
      </c>
      <c r="B1560" s="5">
        <v>970.9</v>
      </c>
    </row>
    <row r="1561" spans="1:2">
      <c r="A1561" s="3">
        <v>38777</v>
      </c>
      <c r="B1561" s="5">
        <v>968.05</v>
      </c>
    </row>
    <row r="1562" spans="1:2">
      <c r="A1562" s="3">
        <v>38778</v>
      </c>
      <c r="B1562" s="5">
        <v>968.7</v>
      </c>
    </row>
    <row r="1563" spans="1:2">
      <c r="A1563" s="3">
        <v>38779</v>
      </c>
      <c r="B1563" s="5">
        <v>971</v>
      </c>
    </row>
    <row r="1564" spans="1:2">
      <c r="A1564" s="3">
        <v>38782</v>
      </c>
      <c r="B1564" s="5">
        <v>974.7</v>
      </c>
    </row>
    <row r="1565" spans="1:2">
      <c r="A1565" s="3">
        <v>38783</v>
      </c>
      <c r="B1565" s="5">
        <v>976.4</v>
      </c>
    </row>
    <row r="1566" spans="1:2">
      <c r="A1566" s="3">
        <v>38784</v>
      </c>
      <c r="B1566" s="5">
        <v>981.7</v>
      </c>
    </row>
    <row r="1567" spans="1:2">
      <c r="A1567" s="3">
        <v>38785</v>
      </c>
      <c r="B1567" s="5">
        <v>981.8</v>
      </c>
    </row>
    <row r="1568" spans="1:2">
      <c r="A1568" s="3">
        <v>38786</v>
      </c>
      <c r="B1568" s="5">
        <v>979.8</v>
      </c>
    </row>
    <row r="1569" spans="1:2">
      <c r="A1569" s="3">
        <v>38789</v>
      </c>
      <c r="B1569" s="5">
        <v>980.4</v>
      </c>
    </row>
    <row r="1570" spans="1:2">
      <c r="A1570" s="3">
        <v>38790</v>
      </c>
      <c r="B1570" s="5">
        <v>976.7</v>
      </c>
    </row>
    <row r="1571" spans="1:2">
      <c r="A1571" s="3">
        <v>38791</v>
      </c>
      <c r="B1571" s="5">
        <v>974.5</v>
      </c>
    </row>
    <row r="1572" spans="1:2">
      <c r="A1572" s="3">
        <v>38792</v>
      </c>
      <c r="B1572" s="5">
        <v>974.7</v>
      </c>
    </row>
    <row r="1573" spans="1:2">
      <c r="A1573" s="3">
        <v>38793</v>
      </c>
      <c r="B1573" s="5">
        <v>970.8</v>
      </c>
    </row>
    <row r="1574" spans="1:2">
      <c r="A1574" s="3">
        <v>38796</v>
      </c>
      <c r="B1574" s="5">
        <v>966.7</v>
      </c>
    </row>
    <row r="1575" spans="1:2">
      <c r="A1575" s="3">
        <v>38797</v>
      </c>
      <c r="B1575" s="5">
        <v>968.1</v>
      </c>
    </row>
    <row r="1576" spans="1:2">
      <c r="A1576" s="3">
        <v>38798</v>
      </c>
      <c r="B1576" s="5">
        <v>973.2</v>
      </c>
    </row>
    <row r="1577" spans="1:2">
      <c r="A1577" s="3">
        <v>38799</v>
      </c>
      <c r="B1577" s="5">
        <v>975.1</v>
      </c>
    </row>
    <row r="1578" spans="1:2">
      <c r="A1578" s="3">
        <v>38800</v>
      </c>
      <c r="B1578" s="5">
        <v>979.2</v>
      </c>
    </row>
    <row r="1579" spans="1:2">
      <c r="A1579" s="3">
        <v>38803</v>
      </c>
      <c r="B1579" s="5">
        <v>975.4</v>
      </c>
    </row>
    <row r="1580" spans="1:2">
      <c r="A1580" s="3">
        <v>38804</v>
      </c>
      <c r="B1580" s="5">
        <v>976.5</v>
      </c>
    </row>
    <row r="1581" spans="1:2">
      <c r="A1581" s="3">
        <v>38805</v>
      </c>
      <c r="B1581" s="5">
        <v>974.9</v>
      </c>
    </row>
    <row r="1582" spans="1:2">
      <c r="A1582" s="3">
        <v>38806</v>
      </c>
      <c r="B1582" s="5">
        <v>975.7</v>
      </c>
    </row>
    <row r="1583" spans="1:2">
      <c r="A1583" s="3">
        <v>38807</v>
      </c>
      <c r="B1583" s="5">
        <v>971.3</v>
      </c>
    </row>
    <row r="1584" spans="1:2">
      <c r="A1584" s="3">
        <v>38810</v>
      </c>
      <c r="B1584" s="5">
        <v>970.4</v>
      </c>
    </row>
    <row r="1585" spans="1:2">
      <c r="A1585" s="3">
        <v>38811</v>
      </c>
      <c r="B1585" s="5">
        <v>962.8</v>
      </c>
    </row>
    <row r="1586" spans="1:2">
      <c r="A1586" s="3">
        <v>38812</v>
      </c>
      <c r="B1586" s="5">
        <v>957.3</v>
      </c>
    </row>
    <row r="1587" spans="1:2">
      <c r="A1587" s="3">
        <v>38813</v>
      </c>
      <c r="B1587" s="5">
        <v>953.4</v>
      </c>
    </row>
    <row r="1588" spans="1:2">
      <c r="A1588" s="3">
        <v>38814</v>
      </c>
      <c r="B1588" s="5">
        <v>952.9</v>
      </c>
    </row>
    <row r="1589" spans="1:2">
      <c r="A1589" s="3">
        <v>38817</v>
      </c>
      <c r="B1589" s="5">
        <v>953.3</v>
      </c>
    </row>
    <row r="1590" spans="1:2">
      <c r="A1590" s="3">
        <v>38818</v>
      </c>
      <c r="B1590" s="5">
        <v>954.7</v>
      </c>
    </row>
    <row r="1591" spans="1:2">
      <c r="A1591" s="3">
        <v>38819</v>
      </c>
      <c r="B1591" s="5">
        <v>960</v>
      </c>
    </row>
    <row r="1592" spans="1:2">
      <c r="A1592" s="3">
        <v>38820</v>
      </c>
      <c r="B1592" s="5">
        <v>961.5</v>
      </c>
    </row>
    <row r="1593" spans="1:2">
      <c r="A1593" s="3">
        <v>38821</v>
      </c>
      <c r="B1593" s="5">
        <v>958.4</v>
      </c>
    </row>
    <row r="1594" spans="1:2">
      <c r="A1594" s="3">
        <v>38824</v>
      </c>
      <c r="B1594" s="5">
        <v>955.3</v>
      </c>
    </row>
    <row r="1595" spans="1:2">
      <c r="A1595" s="3">
        <v>38825</v>
      </c>
      <c r="B1595" s="5">
        <v>953.4</v>
      </c>
    </row>
    <row r="1596" spans="1:2">
      <c r="A1596" s="3">
        <v>38826</v>
      </c>
      <c r="B1596" s="5">
        <v>945.4</v>
      </c>
    </row>
    <row r="1597" spans="1:2">
      <c r="A1597" s="3">
        <v>38827</v>
      </c>
      <c r="B1597" s="5">
        <v>948.1</v>
      </c>
    </row>
    <row r="1598" spans="1:2">
      <c r="A1598" s="3">
        <v>38828</v>
      </c>
      <c r="B1598" s="5">
        <v>948.2</v>
      </c>
    </row>
    <row r="1599" spans="1:2">
      <c r="A1599" s="3">
        <v>38831</v>
      </c>
      <c r="B1599" s="5">
        <v>939.5</v>
      </c>
    </row>
    <row r="1600" spans="1:2">
      <c r="A1600" s="3">
        <v>38832</v>
      </c>
      <c r="B1600" s="5">
        <v>945</v>
      </c>
    </row>
    <row r="1601" spans="1:2">
      <c r="A1601" s="3">
        <v>38833</v>
      </c>
      <c r="B1601" s="5">
        <v>946.2</v>
      </c>
    </row>
    <row r="1602" spans="1:2">
      <c r="A1602" s="3">
        <v>38834</v>
      </c>
      <c r="B1602" s="5">
        <v>944.6</v>
      </c>
    </row>
    <row r="1603" spans="1:2">
      <c r="A1603" s="3">
        <v>38835</v>
      </c>
      <c r="B1603" s="5">
        <v>942.7</v>
      </c>
    </row>
    <row r="1604" spans="1:2">
      <c r="A1604" s="3">
        <v>38838</v>
      </c>
      <c r="B1604" s="5">
        <v>942.7</v>
      </c>
    </row>
    <row r="1605" spans="1:2">
      <c r="A1605" s="3">
        <v>38839</v>
      </c>
      <c r="B1605" s="5">
        <v>939.7</v>
      </c>
    </row>
    <row r="1606" spans="1:2">
      <c r="A1606" s="3">
        <v>38840</v>
      </c>
      <c r="B1606" s="5">
        <v>933.9</v>
      </c>
    </row>
    <row r="1607" spans="1:2">
      <c r="A1607" s="3">
        <v>38841</v>
      </c>
      <c r="B1607" s="5">
        <v>939.3</v>
      </c>
    </row>
    <row r="1608" spans="1:2">
      <c r="A1608" s="3">
        <v>38842</v>
      </c>
      <c r="B1608" s="5">
        <v>939.2</v>
      </c>
    </row>
    <row r="1609" spans="1:2">
      <c r="A1609" s="3">
        <v>38845</v>
      </c>
      <c r="B1609" s="5">
        <v>927.7</v>
      </c>
    </row>
    <row r="1610" spans="1:2">
      <c r="A1610" s="3">
        <v>38846</v>
      </c>
      <c r="B1610" s="5">
        <v>931.6</v>
      </c>
    </row>
    <row r="1611" spans="1:2">
      <c r="A1611" s="3">
        <v>38847</v>
      </c>
      <c r="B1611" s="5">
        <v>928.7</v>
      </c>
    </row>
    <row r="1612" spans="1:2">
      <c r="A1612" s="3">
        <v>38848</v>
      </c>
      <c r="B1612" s="5">
        <v>935.5</v>
      </c>
    </row>
    <row r="1613" spans="1:2">
      <c r="A1613" s="3">
        <v>38849</v>
      </c>
      <c r="B1613" s="5">
        <v>932.6</v>
      </c>
    </row>
    <row r="1614" spans="1:2">
      <c r="A1614" s="3">
        <v>38852</v>
      </c>
      <c r="B1614" s="5">
        <v>943.3</v>
      </c>
    </row>
    <row r="1615" spans="1:2">
      <c r="A1615" s="3">
        <v>38853</v>
      </c>
      <c r="B1615" s="5">
        <v>944.6</v>
      </c>
    </row>
    <row r="1616" spans="1:2">
      <c r="A1616" s="3">
        <v>38854</v>
      </c>
      <c r="B1616" s="5">
        <v>936.8</v>
      </c>
    </row>
    <row r="1617" spans="1:2">
      <c r="A1617" s="3">
        <v>38855</v>
      </c>
      <c r="B1617" s="5">
        <v>946.9</v>
      </c>
    </row>
    <row r="1618" spans="1:2">
      <c r="A1618" s="3">
        <v>38856</v>
      </c>
      <c r="B1618" s="5">
        <v>946</v>
      </c>
    </row>
    <row r="1619" spans="1:2">
      <c r="A1619" s="3">
        <v>38859</v>
      </c>
      <c r="B1619" s="5">
        <v>952</v>
      </c>
    </row>
    <row r="1620" spans="1:2">
      <c r="A1620" s="3">
        <v>38860</v>
      </c>
      <c r="B1620" s="5">
        <v>943.5</v>
      </c>
    </row>
    <row r="1621" spans="1:2">
      <c r="A1621" s="3">
        <v>38861</v>
      </c>
      <c r="B1621" s="5">
        <v>949.5</v>
      </c>
    </row>
    <row r="1622" spans="1:2">
      <c r="A1622" s="3">
        <v>38862</v>
      </c>
      <c r="B1622" s="5">
        <v>948.8</v>
      </c>
    </row>
    <row r="1623" spans="1:2">
      <c r="A1623" s="3">
        <v>38863</v>
      </c>
      <c r="B1623" s="5">
        <v>945.4</v>
      </c>
    </row>
    <row r="1624" spans="1:2">
      <c r="A1624" s="3">
        <v>38866</v>
      </c>
      <c r="B1624" s="5">
        <v>947.4</v>
      </c>
    </row>
    <row r="1625" spans="1:2">
      <c r="A1625" s="3">
        <v>38867</v>
      </c>
      <c r="B1625" s="5">
        <v>945.3</v>
      </c>
    </row>
    <row r="1626" spans="1:2">
      <c r="A1626" s="3">
        <v>38868</v>
      </c>
      <c r="B1626" s="5">
        <v>945.3</v>
      </c>
    </row>
    <row r="1627" spans="1:2">
      <c r="A1627" s="3">
        <v>38869</v>
      </c>
      <c r="B1627" s="5">
        <v>947.1</v>
      </c>
    </row>
    <row r="1628" spans="1:2">
      <c r="A1628" s="3">
        <v>38870</v>
      </c>
      <c r="B1628" s="5">
        <v>947.7</v>
      </c>
    </row>
    <row r="1629" spans="1:2">
      <c r="A1629" s="3">
        <v>38873</v>
      </c>
      <c r="B1629" s="5">
        <v>942.6</v>
      </c>
    </row>
    <row r="1630" spans="1:2">
      <c r="A1630" s="3">
        <v>38874</v>
      </c>
      <c r="B1630" s="5">
        <v>942.7</v>
      </c>
    </row>
    <row r="1631" spans="1:2">
      <c r="A1631" s="3">
        <v>38875</v>
      </c>
      <c r="B1631" s="5">
        <v>948.1</v>
      </c>
    </row>
    <row r="1632" spans="1:2">
      <c r="A1632" s="3">
        <v>38876</v>
      </c>
      <c r="B1632" s="5">
        <v>953.1</v>
      </c>
    </row>
    <row r="1633" spans="1:2">
      <c r="A1633" s="3">
        <v>38877</v>
      </c>
      <c r="B1633" s="5">
        <v>954.1</v>
      </c>
    </row>
    <row r="1634" spans="1:2">
      <c r="A1634" s="3">
        <v>38880</v>
      </c>
      <c r="B1634" s="5">
        <v>956.4</v>
      </c>
    </row>
    <row r="1635" spans="1:2">
      <c r="A1635" s="3">
        <v>38881</v>
      </c>
      <c r="B1635" s="5">
        <v>961.2</v>
      </c>
    </row>
    <row r="1636" spans="1:2">
      <c r="A1636" s="3">
        <v>38882</v>
      </c>
      <c r="B1636" s="5">
        <v>961.7</v>
      </c>
    </row>
    <row r="1637" spans="1:2">
      <c r="A1637" s="3">
        <v>38883</v>
      </c>
      <c r="B1637" s="5">
        <v>959.2</v>
      </c>
    </row>
    <row r="1638" spans="1:2">
      <c r="A1638" s="3">
        <v>38884</v>
      </c>
      <c r="B1638" s="5">
        <v>955.3</v>
      </c>
    </row>
    <row r="1639" spans="1:2">
      <c r="A1639" s="3">
        <v>38887</v>
      </c>
      <c r="B1639" s="5">
        <v>960.9</v>
      </c>
    </row>
    <row r="1640" spans="1:2">
      <c r="A1640" s="3">
        <v>38888</v>
      </c>
      <c r="B1640" s="5">
        <v>956.4</v>
      </c>
    </row>
    <row r="1641" spans="1:2">
      <c r="A1641" s="3">
        <v>38889</v>
      </c>
      <c r="B1641" s="5">
        <v>955.4</v>
      </c>
    </row>
    <row r="1642" spans="1:2">
      <c r="A1642" s="3">
        <v>38890</v>
      </c>
      <c r="B1642" s="5">
        <v>954.9</v>
      </c>
    </row>
    <row r="1643" spans="1:2">
      <c r="A1643" s="3">
        <v>38891</v>
      </c>
      <c r="B1643" s="5">
        <v>955.9</v>
      </c>
    </row>
    <row r="1644" spans="1:2">
      <c r="A1644" s="3">
        <v>38894</v>
      </c>
      <c r="B1644" s="5">
        <v>959.2</v>
      </c>
    </row>
    <row r="1645" spans="1:2">
      <c r="A1645" s="3">
        <v>38895</v>
      </c>
      <c r="B1645" s="5">
        <v>958.5</v>
      </c>
    </row>
    <row r="1646" spans="1:2">
      <c r="A1646" s="3">
        <v>38896</v>
      </c>
      <c r="B1646" s="5">
        <v>957.4</v>
      </c>
    </row>
    <row r="1647" spans="1:2">
      <c r="A1647" s="3">
        <v>38897</v>
      </c>
      <c r="B1647" s="5">
        <v>960.2</v>
      </c>
    </row>
    <row r="1648" spans="1:2">
      <c r="A1648" s="3">
        <v>38898</v>
      </c>
      <c r="B1648" s="5">
        <v>948.4</v>
      </c>
    </row>
    <row r="1649" spans="1:2">
      <c r="A1649" s="3">
        <v>38901</v>
      </c>
      <c r="B1649" s="5">
        <v>944.6</v>
      </c>
    </row>
    <row r="1650" spans="1:2">
      <c r="A1650" s="3">
        <v>38902</v>
      </c>
      <c r="B1650" s="5">
        <v>943</v>
      </c>
    </row>
    <row r="1651" spans="1:2">
      <c r="A1651" s="3">
        <v>38903</v>
      </c>
      <c r="B1651" s="5">
        <v>946.5</v>
      </c>
    </row>
    <row r="1652" spans="1:2">
      <c r="A1652" s="3">
        <v>38904</v>
      </c>
      <c r="B1652" s="5">
        <v>949.1</v>
      </c>
    </row>
    <row r="1653" spans="1:2">
      <c r="A1653" s="3">
        <v>38905</v>
      </c>
      <c r="B1653" s="5">
        <v>947.4</v>
      </c>
    </row>
    <row r="1654" spans="1:2">
      <c r="A1654" s="3">
        <v>38908</v>
      </c>
      <c r="B1654" s="5">
        <v>941.6</v>
      </c>
    </row>
    <row r="1655" spans="1:2">
      <c r="A1655" s="3">
        <v>38909</v>
      </c>
      <c r="B1655" s="5">
        <v>946.5</v>
      </c>
    </row>
    <row r="1656" spans="1:2">
      <c r="A1656" s="3">
        <v>38910</v>
      </c>
      <c r="B1656" s="5">
        <v>948.5</v>
      </c>
    </row>
    <row r="1657" spans="1:2">
      <c r="A1657" s="3">
        <v>38911</v>
      </c>
      <c r="B1657" s="5">
        <v>948.9</v>
      </c>
    </row>
    <row r="1658" spans="1:2">
      <c r="A1658" s="3">
        <v>38912</v>
      </c>
      <c r="B1658" s="5">
        <v>953.5</v>
      </c>
    </row>
    <row r="1659" spans="1:2">
      <c r="A1659" s="3">
        <v>38915</v>
      </c>
      <c r="B1659" s="5">
        <v>953.6</v>
      </c>
    </row>
    <row r="1660" spans="1:2">
      <c r="A1660" s="3">
        <v>38916</v>
      </c>
      <c r="B1660" s="5">
        <v>958.1</v>
      </c>
    </row>
    <row r="1661" spans="1:2">
      <c r="A1661" s="3">
        <v>38917</v>
      </c>
      <c r="B1661" s="5">
        <v>957.5</v>
      </c>
    </row>
    <row r="1662" spans="1:2">
      <c r="A1662" s="3">
        <v>38918</v>
      </c>
      <c r="B1662" s="5">
        <v>951.5</v>
      </c>
    </row>
    <row r="1663" spans="1:2">
      <c r="A1663" s="3">
        <v>38919</v>
      </c>
      <c r="B1663" s="5">
        <v>949.6</v>
      </c>
    </row>
    <row r="1664" spans="1:2">
      <c r="A1664" s="3">
        <v>38922</v>
      </c>
      <c r="B1664" s="5">
        <v>951.4</v>
      </c>
    </row>
    <row r="1665" spans="1:2">
      <c r="A1665" s="3">
        <v>38923</v>
      </c>
      <c r="B1665" s="5">
        <v>951.7</v>
      </c>
    </row>
    <row r="1666" spans="1:2">
      <c r="A1666" s="3">
        <v>38924</v>
      </c>
      <c r="B1666" s="5">
        <v>954.3</v>
      </c>
    </row>
    <row r="1667" spans="1:2">
      <c r="A1667" s="3">
        <v>38925</v>
      </c>
      <c r="B1667" s="5">
        <v>951.8</v>
      </c>
    </row>
    <row r="1668" spans="1:2">
      <c r="A1668" s="3">
        <v>38926</v>
      </c>
      <c r="B1668" s="5">
        <v>953.6</v>
      </c>
    </row>
    <row r="1669" spans="1:2">
      <c r="A1669" s="3">
        <v>38929</v>
      </c>
      <c r="B1669" s="5">
        <v>954.8</v>
      </c>
    </row>
    <row r="1670" spans="1:2">
      <c r="A1670" s="3">
        <v>38930</v>
      </c>
      <c r="B1670" s="5">
        <v>955.7</v>
      </c>
    </row>
    <row r="1671" spans="1:2">
      <c r="A1671" s="3">
        <v>38931</v>
      </c>
      <c r="B1671" s="5">
        <v>962.1</v>
      </c>
    </row>
    <row r="1672" spans="1:2">
      <c r="A1672" s="3">
        <v>38932</v>
      </c>
      <c r="B1672" s="5">
        <v>965.4</v>
      </c>
    </row>
    <row r="1673" spans="1:2">
      <c r="A1673" s="3">
        <v>38933</v>
      </c>
      <c r="B1673" s="5">
        <v>964.5</v>
      </c>
    </row>
    <row r="1674" spans="1:2">
      <c r="A1674" s="3">
        <v>38936</v>
      </c>
      <c r="B1674" s="5">
        <v>962.3</v>
      </c>
    </row>
    <row r="1675" spans="1:2">
      <c r="A1675" s="3">
        <v>38937</v>
      </c>
      <c r="B1675" s="5">
        <v>963.3</v>
      </c>
    </row>
    <row r="1676" spans="1:2">
      <c r="A1676" s="3">
        <v>38938</v>
      </c>
      <c r="B1676" s="5">
        <v>959.1</v>
      </c>
    </row>
    <row r="1677" spans="1:2">
      <c r="A1677" s="3">
        <v>38939</v>
      </c>
      <c r="B1677" s="5">
        <v>957.4</v>
      </c>
    </row>
    <row r="1678" spans="1:2">
      <c r="A1678" s="3">
        <v>38940</v>
      </c>
      <c r="B1678" s="5">
        <v>961.5</v>
      </c>
    </row>
    <row r="1679" spans="1:2">
      <c r="A1679" s="3">
        <v>38943</v>
      </c>
      <c r="B1679" s="5">
        <v>965.6</v>
      </c>
    </row>
    <row r="1680" spans="1:2">
      <c r="A1680" s="3">
        <v>38944</v>
      </c>
      <c r="B1680" s="5">
        <v>965.4</v>
      </c>
    </row>
    <row r="1681" spans="1:2">
      <c r="A1681" s="3">
        <v>38945</v>
      </c>
      <c r="B1681" s="5">
        <v>964.9</v>
      </c>
    </row>
    <row r="1682" spans="1:2">
      <c r="A1682" s="3">
        <v>38946</v>
      </c>
      <c r="B1682" s="5">
        <v>960.6</v>
      </c>
    </row>
    <row r="1683" spans="1:2">
      <c r="A1683" s="3">
        <v>38947</v>
      </c>
      <c r="B1683" s="5">
        <v>958.2</v>
      </c>
    </row>
    <row r="1684" spans="1:2">
      <c r="A1684" s="3">
        <v>38950</v>
      </c>
      <c r="B1684" s="5">
        <v>956.2</v>
      </c>
    </row>
    <row r="1685" spans="1:2">
      <c r="A1685" s="3">
        <v>38951</v>
      </c>
      <c r="B1685" s="5">
        <v>956.1</v>
      </c>
    </row>
    <row r="1686" spans="1:2">
      <c r="A1686" s="3">
        <v>38952</v>
      </c>
      <c r="B1686" s="5">
        <v>955.3</v>
      </c>
    </row>
    <row r="1687" spans="1:2">
      <c r="A1687" s="3">
        <v>38953</v>
      </c>
      <c r="B1687" s="5">
        <v>958.9</v>
      </c>
    </row>
    <row r="1688" spans="1:2">
      <c r="A1688" s="3">
        <v>38954</v>
      </c>
      <c r="B1688" s="5">
        <v>961.7</v>
      </c>
    </row>
    <row r="1689" spans="1:2">
      <c r="A1689" s="3">
        <v>38957</v>
      </c>
      <c r="B1689" s="5">
        <v>963.7</v>
      </c>
    </row>
    <row r="1690" spans="1:2">
      <c r="A1690" s="3">
        <v>38958</v>
      </c>
      <c r="B1690" s="5">
        <v>960.7</v>
      </c>
    </row>
    <row r="1691" spans="1:2">
      <c r="A1691" s="3">
        <v>38959</v>
      </c>
      <c r="B1691" s="5">
        <v>960.9</v>
      </c>
    </row>
    <row r="1692" spans="1:2">
      <c r="A1692" s="3">
        <v>38960</v>
      </c>
      <c r="B1692" s="5">
        <v>961</v>
      </c>
    </row>
    <row r="1693" spans="1:2">
      <c r="A1693" s="3">
        <v>38961</v>
      </c>
      <c r="B1693" s="5">
        <v>960.3</v>
      </c>
    </row>
    <row r="1694" spans="1:2">
      <c r="A1694" s="3">
        <v>38964</v>
      </c>
      <c r="B1694" s="5">
        <v>957.5</v>
      </c>
    </row>
    <row r="1695" spans="1:2">
      <c r="A1695" s="3">
        <v>38965</v>
      </c>
      <c r="B1695" s="5">
        <v>956.4</v>
      </c>
    </row>
    <row r="1696" spans="1:2">
      <c r="A1696" s="3">
        <v>38966</v>
      </c>
      <c r="B1696" s="5">
        <v>956.9</v>
      </c>
    </row>
    <row r="1697" spans="1:2">
      <c r="A1697" s="3">
        <v>38967</v>
      </c>
      <c r="B1697" s="5">
        <v>956</v>
      </c>
    </row>
    <row r="1698" spans="1:2">
      <c r="A1698" s="3">
        <v>38968</v>
      </c>
      <c r="B1698" s="5">
        <v>956</v>
      </c>
    </row>
    <row r="1699" spans="1:2">
      <c r="A1699" s="3">
        <v>38971</v>
      </c>
      <c r="B1699" s="5">
        <v>957.2</v>
      </c>
    </row>
    <row r="1700" spans="1:2">
      <c r="A1700" s="3">
        <v>38972</v>
      </c>
      <c r="B1700" s="5">
        <v>959</v>
      </c>
    </row>
    <row r="1701" spans="1:2">
      <c r="A1701" s="3">
        <v>38973</v>
      </c>
      <c r="B1701" s="5">
        <v>958.6</v>
      </c>
    </row>
    <row r="1702" spans="1:2">
      <c r="A1702" s="3">
        <v>38974</v>
      </c>
      <c r="B1702" s="5">
        <v>957.3</v>
      </c>
    </row>
    <row r="1703" spans="1:2">
      <c r="A1703" s="3">
        <v>38975</v>
      </c>
      <c r="B1703" s="5">
        <v>956</v>
      </c>
    </row>
    <row r="1704" spans="1:2">
      <c r="A1704" s="3">
        <v>38978</v>
      </c>
      <c r="B1704" s="5">
        <v>956.1</v>
      </c>
    </row>
    <row r="1705" spans="1:2">
      <c r="A1705" s="3">
        <v>38979</v>
      </c>
      <c r="B1705" s="5">
        <v>951.6</v>
      </c>
    </row>
    <row r="1706" spans="1:2">
      <c r="A1706" s="3">
        <v>38980</v>
      </c>
      <c r="B1706" s="5">
        <v>950.6</v>
      </c>
    </row>
    <row r="1707" spans="1:2">
      <c r="A1707" s="3">
        <v>38981</v>
      </c>
      <c r="B1707" s="5">
        <v>943.9</v>
      </c>
    </row>
    <row r="1708" spans="1:2">
      <c r="A1708" s="3">
        <v>38982</v>
      </c>
      <c r="B1708" s="5">
        <v>946.25</v>
      </c>
    </row>
    <row r="1709" spans="1:2">
      <c r="A1709" s="3">
        <v>38985</v>
      </c>
      <c r="B1709" s="5">
        <v>943.7</v>
      </c>
    </row>
    <row r="1710" spans="1:2">
      <c r="A1710" s="3">
        <v>38986</v>
      </c>
      <c r="B1710" s="5">
        <v>943.8</v>
      </c>
    </row>
    <row r="1711" spans="1:2">
      <c r="A1711" s="3">
        <v>38987</v>
      </c>
      <c r="B1711" s="5">
        <v>943.3</v>
      </c>
    </row>
    <row r="1712" spans="1:2">
      <c r="A1712" s="3">
        <v>38988</v>
      </c>
      <c r="B1712" s="5">
        <v>944.4</v>
      </c>
    </row>
    <row r="1713" spans="1:2">
      <c r="A1713" s="3">
        <v>38989</v>
      </c>
      <c r="B1713" s="5">
        <v>945.8</v>
      </c>
    </row>
    <row r="1714" spans="1:2">
      <c r="A1714" s="3">
        <v>38992</v>
      </c>
      <c r="B1714" s="5">
        <v>947.7</v>
      </c>
    </row>
    <row r="1715" spans="1:2">
      <c r="A1715" s="3">
        <v>38993</v>
      </c>
      <c r="B1715" s="5">
        <v>947.7</v>
      </c>
    </row>
    <row r="1716" spans="1:2">
      <c r="A1716" s="3">
        <v>38994</v>
      </c>
      <c r="B1716" s="5">
        <v>948.8</v>
      </c>
    </row>
    <row r="1717" spans="1:2">
      <c r="A1717" s="3">
        <v>38995</v>
      </c>
      <c r="B1717" s="5">
        <v>948.8</v>
      </c>
    </row>
    <row r="1718" spans="1:2">
      <c r="A1718" s="3">
        <v>38996</v>
      </c>
      <c r="B1718" s="5">
        <v>948.8</v>
      </c>
    </row>
    <row r="1719" spans="1:2">
      <c r="A1719" s="3">
        <v>38999</v>
      </c>
      <c r="B1719" s="5">
        <v>963.4</v>
      </c>
    </row>
    <row r="1720" spans="1:2">
      <c r="A1720" s="3">
        <v>39000</v>
      </c>
      <c r="B1720" s="5">
        <v>959.1</v>
      </c>
    </row>
    <row r="1721" spans="1:2">
      <c r="A1721" s="3">
        <v>39001</v>
      </c>
      <c r="B1721" s="5">
        <v>957.9</v>
      </c>
    </row>
    <row r="1722" spans="1:2">
      <c r="A1722" s="3">
        <v>39002</v>
      </c>
      <c r="B1722" s="5">
        <v>957.6</v>
      </c>
    </row>
    <row r="1723" spans="1:2">
      <c r="A1723" s="3">
        <v>39003</v>
      </c>
      <c r="B1723" s="5">
        <v>954.7</v>
      </c>
    </row>
    <row r="1724" spans="1:2">
      <c r="A1724" s="3">
        <v>39006</v>
      </c>
      <c r="B1724" s="5">
        <v>955.1</v>
      </c>
    </row>
    <row r="1725" spans="1:2">
      <c r="A1725" s="3">
        <v>39007</v>
      </c>
      <c r="B1725" s="5">
        <v>954</v>
      </c>
    </row>
    <row r="1726" spans="1:2">
      <c r="A1726" s="3">
        <v>39008</v>
      </c>
      <c r="B1726" s="5">
        <v>954.9</v>
      </c>
    </row>
    <row r="1727" spans="1:2">
      <c r="A1727" s="3">
        <v>39009</v>
      </c>
      <c r="B1727" s="5">
        <v>956.9</v>
      </c>
    </row>
    <row r="1728" spans="1:2">
      <c r="A1728" s="3">
        <v>39010</v>
      </c>
      <c r="B1728" s="5">
        <v>957.1</v>
      </c>
    </row>
    <row r="1729" spans="1:2">
      <c r="A1729" s="3">
        <v>39013</v>
      </c>
      <c r="B1729" s="5">
        <v>959.1</v>
      </c>
    </row>
    <row r="1730" spans="1:2">
      <c r="A1730" s="3">
        <v>39014</v>
      </c>
      <c r="B1730" s="5">
        <v>958.1</v>
      </c>
    </row>
    <row r="1731" spans="1:2">
      <c r="A1731" s="3">
        <v>39015</v>
      </c>
      <c r="B1731" s="5">
        <v>955.5</v>
      </c>
    </row>
    <row r="1732" spans="1:2">
      <c r="A1732" s="3">
        <v>39016</v>
      </c>
      <c r="B1732" s="5">
        <v>949.4</v>
      </c>
    </row>
    <row r="1733" spans="1:2">
      <c r="A1733" s="3">
        <v>39017</v>
      </c>
      <c r="B1733" s="5">
        <v>947</v>
      </c>
    </row>
    <row r="1734" spans="1:2">
      <c r="A1734" s="3">
        <v>39020</v>
      </c>
      <c r="B1734" s="5">
        <v>944.3</v>
      </c>
    </row>
    <row r="1735" spans="1:2">
      <c r="A1735" s="3">
        <v>39021</v>
      </c>
      <c r="B1735" s="5">
        <v>941.9</v>
      </c>
    </row>
    <row r="1736" spans="1:2">
      <c r="A1736" s="3">
        <v>39022</v>
      </c>
      <c r="B1736" s="5">
        <v>939</v>
      </c>
    </row>
    <row r="1737" spans="1:2">
      <c r="A1737" s="3">
        <v>39023</v>
      </c>
      <c r="B1737" s="5">
        <v>938.6</v>
      </c>
    </row>
    <row r="1738" spans="1:2">
      <c r="A1738" s="3">
        <v>39024</v>
      </c>
      <c r="B1738" s="5">
        <v>936.8</v>
      </c>
    </row>
    <row r="1739" spans="1:2">
      <c r="A1739" s="3">
        <v>39027</v>
      </c>
      <c r="B1739" s="5">
        <v>941.9</v>
      </c>
    </row>
    <row r="1740" spans="1:2">
      <c r="A1740" s="3">
        <v>39028</v>
      </c>
      <c r="B1740" s="5">
        <v>938</v>
      </c>
    </row>
    <row r="1741" spans="1:2">
      <c r="A1741" s="3">
        <v>39029</v>
      </c>
      <c r="B1741" s="5">
        <v>934.8</v>
      </c>
    </row>
    <row r="1742" spans="1:2">
      <c r="A1742" s="3">
        <v>39030</v>
      </c>
      <c r="B1742" s="5">
        <v>936.2</v>
      </c>
    </row>
    <row r="1743" spans="1:2">
      <c r="A1743" s="3">
        <v>39031</v>
      </c>
      <c r="B1743" s="5">
        <v>933.7</v>
      </c>
    </row>
    <row r="1744" spans="1:2">
      <c r="A1744" s="3">
        <v>39034</v>
      </c>
      <c r="B1744" s="5">
        <v>934.8</v>
      </c>
    </row>
    <row r="1745" spans="1:2">
      <c r="A1745" s="3">
        <v>39035</v>
      </c>
      <c r="B1745" s="5">
        <v>936.7</v>
      </c>
    </row>
    <row r="1746" spans="1:2">
      <c r="A1746" s="3">
        <v>39036</v>
      </c>
      <c r="B1746" s="5">
        <v>941.1</v>
      </c>
    </row>
    <row r="1747" spans="1:2">
      <c r="A1747" s="3">
        <v>39037</v>
      </c>
      <c r="B1747" s="5">
        <v>937.3</v>
      </c>
    </row>
    <row r="1748" spans="1:2">
      <c r="A1748" s="3">
        <v>39038</v>
      </c>
      <c r="B1748" s="5">
        <v>938.6</v>
      </c>
    </row>
    <row r="1749" spans="1:2">
      <c r="A1749" s="3">
        <v>39041</v>
      </c>
      <c r="B1749" s="5">
        <v>935.2</v>
      </c>
    </row>
    <row r="1750" spans="1:2">
      <c r="A1750" s="3">
        <v>39042</v>
      </c>
      <c r="B1750" s="5">
        <v>935.1</v>
      </c>
    </row>
    <row r="1751" spans="1:2">
      <c r="A1751" s="3">
        <v>39043</v>
      </c>
      <c r="B1751" s="5">
        <v>933.6</v>
      </c>
    </row>
    <row r="1752" spans="1:2">
      <c r="A1752" s="3">
        <v>39044</v>
      </c>
      <c r="B1752" s="5">
        <v>930.2</v>
      </c>
    </row>
    <row r="1753" spans="1:2">
      <c r="A1753" s="3">
        <v>39045</v>
      </c>
      <c r="B1753" s="5">
        <v>931.8</v>
      </c>
    </row>
    <row r="1754" spans="1:2">
      <c r="A1754" s="3">
        <v>39048</v>
      </c>
      <c r="B1754" s="5">
        <v>930.4</v>
      </c>
    </row>
    <row r="1755" spans="1:2">
      <c r="A1755" s="3">
        <v>39049</v>
      </c>
      <c r="B1755" s="5">
        <v>930.5</v>
      </c>
    </row>
    <row r="1756" spans="1:2">
      <c r="A1756" s="3">
        <v>39050</v>
      </c>
      <c r="B1756" s="5">
        <v>930.4</v>
      </c>
    </row>
    <row r="1757" spans="1:2">
      <c r="A1757" s="3">
        <v>39051</v>
      </c>
      <c r="B1757" s="5">
        <v>929</v>
      </c>
    </row>
    <row r="1758" spans="1:2">
      <c r="A1758" s="3">
        <v>39052</v>
      </c>
      <c r="B1758" s="5">
        <v>928.3</v>
      </c>
    </row>
    <row r="1759" spans="1:2">
      <c r="A1759" s="3">
        <v>39055</v>
      </c>
      <c r="B1759" s="5">
        <v>927.3</v>
      </c>
    </row>
    <row r="1760" spans="1:2">
      <c r="A1760" s="3">
        <v>39056</v>
      </c>
      <c r="B1760" s="5">
        <v>924</v>
      </c>
    </row>
    <row r="1761" spans="1:2">
      <c r="A1761" s="3">
        <v>39057</v>
      </c>
      <c r="B1761" s="5">
        <v>915.7</v>
      </c>
    </row>
    <row r="1762" spans="1:2">
      <c r="A1762" s="3">
        <v>39058</v>
      </c>
      <c r="B1762" s="5">
        <v>913.6</v>
      </c>
    </row>
    <row r="1763" spans="1:2">
      <c r="A1763" s="3">
        <v>39059</v>
      </c>
      <c r="B1763" s="5">
        <v>919.9</v>
      </c>
    </row>
    <row r="1764" spans="1:2">
      <c r="A1764" s="3">
        <v>39062</v>
      </c>
      <c r="B1764" s="5">
        <v>925.4</v>
      </c>
    </row>
    <row r="1765" spans="1:2">
      <c r="A1765" s="3">
        <v>39063</v>
      </c>
      <c r="B1765" s="5">
        <v>922.2</v>
      </c>
    </row>
    <row r="1766" spans="1:2">
      <c r="A1766" s="3">
        <v>39064</v>
      </c>
      <c r="B1766" s="5">
        <v>922.2</v>
      </c>
    </row>
    <row r="1767" spans="1:2">
      <c r="A1767" s="3">
        <v>39065</v>
      </c>
      <c r="B1767" s="5">
        <v>920.75</v>
      </c>
    </row>
    <row r="1768" spans="1:2">
      <c r="A1768" s="3">
        <v>39066</v>
      </c>
      <c r="B1768" s="5">
        <v>922.7</v>
      </c>
    </row>
    <row r="1769" spans="1:2">
      <c r="A1769" s="3">
        <v>39069</v>
      </c>
      <c r="B1769" s="5">
        <v>926.9</v>
      </c>
    </row>
    <row r="1770" spans="1:2">
      <c r="A1770" s="3">
        <v>39070</v>
      </c>
      <c r="B1770" s="5">
        <v>931.7</v>
      </c>
    </row>
    <row r="1771" spans="1:2">
      <c r="A1771" s="3">
        <v>39071</v>
      </c>
      <c r="B1771" s="5">
        <v>925.5</v>
      </c>
    </row>
    <row r="1772" spans="1:2">
      <c r="A1772" s="3">
        <v>39072</v>
      </c>
      <c r="B1772" s="5">
        <v>927</v>
      </c>
    </row>
    <row r="1773" spans="1:2">
      <c r="A1773" s="3">
        <v>39073</v>
      </c>
      <c r="B1773" s="5">
        <v>928.2</v>
      </c>
    </row>
    <row r="1774" spans="1:2">
      <c r="A1774" s="3">
        <v>39076</v>
      </c>
      <c r="B1774" s="5">
        <v>928.2</v>
      </c>
    </row>
    <row r="1775" spans="1:2">
      <c r="A1775" s="3">
        <v>39077</v>
      </c>
      <c r="B1775" s="5">
        <v>929.7</v>
      </c>
    </row>
    <row r="1776" spans="1:2">
      <c r="A1776" s="3">
        <v>39078</v>
      </c>
      <c r="B1776" s="5">
        <v>930.3</v>
      </c>
    </row>
    <row r="1777" spans="1:2">
      <c r="A1777" s="3">
        <v>39079</v>
      </c>
      <c r="B1777" s="5">
        <v>929.4</v>
      </c>
    </row>
    <row r="1778" spans="1:2">
      <c r="A1778" s="3">
        <v>39080</v>
      </c>
      <c r="B1778" s="5">
        <v>929.5</v>
      </c>
    </row>
    <row r="1779" spans="1:2">
      <c r="A1779" s="3">
        <v>39083</v>
      </c>
      <c r="B1779" s="5">
        <v>929.5</v>
      </c>
    </row>
    <row r="1780" spans="1:2">
      <c r="A1780" s="3">
        <v>39084</v>
      </c>
      <c r="B1780" s="5">
        <v>925.3</v>
      </c>
    </row>
    <row r="1781" spans="1:2">
      <c r="A1781" s="3">
        <v>39085</v>
      </c>
      <c r="B1781" s="5">
        <v>925.9</v>
      </c>
    </row>
    <row r="1782" spans="1:2">
      <c r="A1782" s="3">
        <v>39086</v>
      </c>
      <c r="B1782" s="5">
        <v>931</v>
      </c>
    </row>
    <row r="1783" spans="1:2">
      <c r="A1783" s="3">
        <v>39087</v>
      </c>
      <c r="B1783" s="5">
        <v>934</v>
      </c>
    </row>
    <row r="1784" spans="1:2">
      <c r="A1784" s="3">
        <v>39090</v>
      </c>
      <c r="B1784" s="5">
        <v>937.7</v>
      </c>
    </row>
    <row r="1785" spans="1:2">
      <c r="A1785" s="3">
        <v>39091</v>
      </c>
      <c r="B1785" s="5">
        <v>938.4</v>
      </c>
    </row>
    <row r="1786" spans="1:2">
      <c r="A1786" s="3">
        <v>39092</v>
      </c>
      <c r="B1786" s="5">
        <v>937.6</v>
      </c>
    </row>
    <row r="1787" spans="1:2">
      <c r="A1787" s="3">
        <v>39093</v>
      </c>
      <c r="B1787" s="5">
        <v>938.6</v>
      </c>
    </row>
    <row r="1788" spans="1:2">
      <c r="A1788" s="3">
        <v>39094</v>
      </c>
      <c r="B1788" s="5">
        <v>939.7</v>
      </c>
    </row>
    <row r="1789" spans="1:2">
      <c r="A1789" s="3">
        <v>39097</v>
      </c>
      <c r="B1789" s="5">
        <v>938.3</v>
      </c>
    </row>
    <row r="1790" spans="1:2">
      <c r="A1790" s="3">
        <v>39098</v>
      </c>
      <c r="B1790" s="5">
        <v>935.4</v>
      </c>
    </row>
    <row r="1791" spans="1:2">
      <c r="A1791" s="3">
        <v>39099</v>
      </c>
      <c r="B1791" s="5">
        <v>936.6</v>
      </c>
    </row>
    <row r="1792" spans="1:2">
      <c r="A1792" s="3">
        <v>39100</v>
      </c>
      <c r="B1792" s="5">
        <v>936.4</v>
      </c>
    </row>
    <row r="1793" spans="1:2">
      <c r="A1793" s="3">
        <v>39101</v>
      </c>
      <c r="B1793" s="5">
        <v>936.1</v>
      </c>
    </row>
    <row r="1794" spans="1:2">
      <c r="A1794" s="3">
        <v>39104</v>
      </c>
      <c r="B1794" s="5">
        <v>939.9</v>
      </c>
    </row>
    <row r="1795" spans="1:2">
      <c r="A1795" s="3">
        <v>39105</v>
      </c>
      <c r="B1795" s="5">
        <v>939.9</v>
      </c>
    </row>
    <row r="1796" spans="1:2">
      <c r="A1796" s="3">
        <v>39106</v>
      </c>
      <c r="B1796" s="5">
        <v>935.8</v>
      </c>
    </row>
    <row r="1797" spans="1:2">
      <c r="A1797" s="3">
        <v>39107</v>
      </c>
      <c r="B1797" s="5">
        <v>935.6</v>
      </c>
    </row>
    <row r="1798" spans="1:2">
      <c r="A1798" s="3">
        <v>39108</v>
      </c>
      <c r="B1798" s="5">
        <v>940.4</v>
      </c>
    </row>
    <row r="1799" spans="1:2">
      <c r="A1799" s="3">
        <v>39111</v>
      </c>
      <c r="B1799" s="5">
        <v>940.1</v>
      </c>
    </row>
    <row r="1800" spans="1:2">
      <c r="A1800" s="3">
        <v>39112</v>
      </c>
      <c r="B1800" s="5">
        <v>942.2</v>
      </c>
    </row>
    <row r="1801" spans="1:2">
      <c r="A1801" s="3">
        <v>39113</v>
      </c>
      <c r="B1801" s="5">
        <v>941</v>
      </c>
    </row>
    <row r="1802" spans="1:2">
      <c r="A1802" s="3">
        <v>39114</v>
      </c>
      <c r="B1802" s="5">
        <v>936.7</v>
      </c>
    </row>
    <row r="1803" spans="1:2">
      <c r="A1803" s="3">
        <v>39115</v>
      </c>
      <c r="B1803" s="5">
        <v>937</v>
      </c>
    </row>
    <row r="1804" spans="1:2">
      <c r="A1804" s="3">
        <v>39118</v>
      </c>
      <c r="B1804" s="5">
        <v>935.5</v>
      </c>
    </row>
    <row r="1805" spans="1:2">
      <c r="A1805" s="3">
        <v>39119</v>
      </c>
      <c r="B1805" s="5">
        <v>932.7</v>
      </c>
    </row>
    <row r="1806" spans="1:2">
      <c r="A1806" s="3">
        <v>39120</v>
      </c>
      <c r="B1806" s="5">
        <v>933.3</v>
      </c>
    </row>
    <row r="1807" spans="1:2">
      <c r="A1807" s="3">
        <v>39121</v>
      </c>
      <c r="B1807" s="5">
        <v>934.8</v>
      </c>
    </row>
    <row r="1808" spans="1:2">
      <c r="A1808" s="3">
        <v>39122</v>
      </c>
      <c r="B1808" s="5">
        <v>934.3</v>
      </c>
    </row>
    <row r="1809" spans="1:2">
      <c r="A1809" s="3">
        <v>39125</v>
      </c>
      <c r="B1809" s="5">
        <v>937.4</v>
      </c>
    </row>
    <row r="1810" spans="1:2">
      <c r="A1810" s="3">
        <v>39126</v>
      </c>
      <c r="B1810" s="5">
        <v>939.3</v>
      </c>
    </row>
    <row r="1811" spans="1:2">
      <c r="A1811" s="3">
        <v>39127</v>
      </c>
      <c r="B1811" s="5">
        <v>938.1</v>
      </c>
    </row>
    <row r="1812" spans="1:2">
      <c r="A1812" s="3">
        <v>39128</v>
      </c>
      <c r="B1812" s="5">
        <v>934.5</v>
      </c>
    </row>
    <row r="1813" spans="1:2">
      <c r="A1813" s="3">
        <v>39129</v>
      </c>
      <c r="B1813" s="5">
        <v>936</v>
      </c>
    </row>
    <row r="1814" spans="1:2">
      <c r="A1814" s="3">
        <v>39132</v>
      </c>
      <c r="B1814" s="5">
        <v>936</v>
      </c>
    </row>
    <row r="1815" spans="1:2">
      <c r="A1815" s="3">
        <v>39133</v>
      </c>
      <c r="B1815" s="5">
        <v>938.1</v>
      </c>
    </row>
    <row r="1816" spans="1:2">
      <c r="A1816" s="3">
        <v>39134</v>
      </c>
      <c r="B1816" s="5">
        <v>938.2</v>
      </c>
    </row>
    <row r="1817" spans="1:2">
      <c r="A1817" s="3">
        <v>39135</v>
      </c>
      <c r="B1817" s="5">
        <v>938.6</v>
      </c>
    </row>
    <row r="1818" spans="1:2">
      <c r="A1818" s="3">
        <v>39136</v>
      </c>
      <c r="B1818" s="5">
        <v>937.8</v>
      </c>
    </row>
    <row r="1819" spans="1:2">
      <c r="A1819" s="3">
        <v>39139</v>
      </c>
      <c r="B1819" s="5">
        <v>938.5</v>
      </c>
    </row>
    <row r="1820" spans="1:2">
      <c r="A1820" s="3">
        <v>39140</v>
      </c>
      <c r="B1820" s="5">
        <v>938.5</v>
      </c>
    </row>
    <row r="1821" spans="1:2">
      <c r="A1821" s="3">
        <v>39141</v>
      </c>
      <c r="B1821" s="5">
        <v>941.4</v>
      </c>
    </row>
    <row r="1822" spans="1:2">
      <c r="A1822" s="3">
        <v>39142</v>
      </c>
      <c r="B1822" s="5">
        <v>941.5</v>
      </c>
    </row>
    <row r="1823" spans="1:2">
      <c r="A1823" s="3">
        <v>39143</v>
      </c>
      <c r="B1823" s="5">
        <v>942.7</v>
      </c>
    </row>
    <row r="1824" spans="1:2">
      <c r="A1824" s="3">
        <v>39146</v>
      </c>
      <c r="B1824" s="5">
        <v>951</v>
      </c>
    </row>
    <row r="1825" spans="1:2">
      <c r="A1825" s="3">
        <v>39147</v>
      </c>
      <c r="B1825" s="5">
        <v>947.3</v>
      </c>
    </row>
    <row r="1826" spans="1:2">
      <c r="A1826" s="3">
        <v>39148</v>
      </c>
      <c r="B1826" s="5">
        <v>948.3</v>
      </c>
    </row>
    <row r="1827" spans="1:2">
      <c r="A1827" s="3">
        <v>39149</v>
      </c>
      <c r="B1827" s="5">
        <v>947.6</v>
      </c>
    </row>
    <row r="1828" spans="1:2">
      <c r="A1828" s="3">
        <v>39150</v>
      </c>
      <c r="B1828" s="5">
        <v>945.5</v>
      </c>
    </row>
    <row r="1829" spans="1:2">
      <c r="A1829" s="3">
        <v>39153</v>
      </c>
      <c r="B1829" s="5">
        <v>943.6</v>
      </c>
    </row>
    <row r="1830" spans="1:2">
      <c r="A1830" s="3">
        <v>39154</v>
      </c>
      <c r="B1830" s="5">
        <v>944.2</v>
      </c>
    </row>
    <row r="1831" spans="1:2">
      <c r="A1831" s="3">
        <v>39155</v>
      </c>
      <c r="B1831" s="5">
        <v>945.9</v>
      </c>
    </row>
    <row r="1832" spans="1:2">
      <c r="A1832" s="3">
        <v>39156</v>
      </c>
      <c r="B1832" s="5">
        <v>944.2</v>
      </c>
    </row>
    <row r="1833" spans="1:2">
      <c r="A1833" s="3">
        <v>39157</v>
      </c>
      <c r="B1833" s="5">
        <v>944.5</v>
      </c>
    </row>
    <row r="1834" spans="1:2">
      <c r="A1834" s="3">
        <v>39160</v>
      </c>
      <c r="B1834" s="5">
        <v>943.3</v>
      </c>
    </row>
    <row r="1835" spans="1:2">
      <c r="A1835" s="3">
        <v>39161</v>
      </c>
      <c r="B1835" s="5">
        <v>941.4</v>
      </c>
    </row>
    <row r="1836" spans="1:2">
      <c r="A1836" s="3">
        <v>39162</v>
      </c>
      <c r="B1836" s="5">
        <v>937.6</v>
      </c>
    </row>
    <row r="1837" spans="1:2">
      <c r="A1837" s="3">
        <v>39163</v>
      </c>
      <c r="B1837" s="5">
        <v>937.7</v>
      </c>
    </row>
    <row r="1838" spans="1:2">
      <c r="A1838" s="3">
        <v>39164</v>
      </c>
      <c r="B1838" s="5">
        <v>937.1</v>
      </c>
    </row>
    <row r="1839" spans="1:2">
      <c r="A1839" s="3">
        <v>39167</v>
      </c>
      <c r="B1839" s="5">
        <v>938</v>
      </c>
    </row>
    <row r="1840" spans="1:2">
      <c r="A1840" s="3">
        <v>39168</v>
      </c>
      <c r="B1840" s="5">
        <v>940.6</v>
      </c>
    </row>
    <row r="1841" spans="1:2">
      <c r="A1841" s="3">
        <v>39169</v>
      </c>
      <c r="B1841" s="5">
        <v>940</v>
      </c>
    </row>
    <row r="1842" spans="1:2">
      <c r="A1842" s="3">
        <v>39170</v>
      </c>
      <c r="B1842" s="5">
        <v>940.2</v>
      </c>
    </row>
    <row r="1843" spans="1:2">
      <c r="A1843" s="3">
        <v>39171</v>
      </c>
      <c r="B1843" s="5">
        <v>940.6</v>
      </c>
    </row>
    <row r="1844" spans="1:2">
      <c r="A1844" s="3">
        <v>39174</v>
      </c>
      <c r="B1844" s="5">
        <v>936.9</v>
      </c>
    </row>
    <row r="1845" spans="1:2">
      <c r="A1845" s="3">
        <v>39175</v>
      </c>
      <c r="B1845" s="5">
        <v>936.4</v>
      </c>
    </row>
    <row r="1846" spans="1:2">
      <c r="A1846" s="3">
        <v>39176</v>
      </c>
      <c r="B1846" s="5">
        <v>935.9</v>
      </c>
    </row>
    <row r="1847" spans="1:2">
      <c r="A1847" s="3">
        <v>39177</v>
      </c>
      <c r="B1847" s="5">
        <v>932.8</v>
      </c>
    </row>
    <row r="1848" spans="1:2">
      <c r="A1848" s="3">
        <v>39178</v>
      </c>
      <c r="B1848" s="5">
        <v>931.5</v>
      </c>
    </row>
    <row r="1849" spans="1:2">
      <c r="A1849" s="3">
        <v>39181</v>
      </c>
      <c r="B1849" s="5">
        <v>932.7</v>
      </c>
    </row>
    <row r="1850" spans="1:2">
      <c r="A1850" s="3">
        <v>39182</v>
      </c>
      <c r="B1850" s="5">
        <v>933.6</v>
      </c>
    </row>
    <row r="1851" spans="1:2">
      <c r="A1851" s="3">
        <v>39183</v>
      </c>
      <c r="B1851" s="5">
        <v>932</v>
      </c>
    </row>
    <row r="1852" spans="1:2">
      <c r="A1852" s="3">
        <v>39184</v>
      </c>
      <c r="B1852" s="5">
        <v>931.4</v>
      </c>
    </row>
    <row r="1853" spans="1:2">
      <c r="A1853" s="3">
        <v>39185</v>
      </c>
      <c r="B1853" s="5">
        <v>928.9</v>
      </c>
    </row>
    <row r="1854" spans="1:2">
      <c r="A1854" s="3">
        <v>39188</v>
      </c>
      <c r="B1854" s="5">
        <v>931.2</v>
      </c>
    </row>
    <row r="1855" spans="1:2">
      <c r="A1855" s="3">
        <v>39189</v>
      </c>
      <c r="B1855" s="5">
        <v>928.4</v>
      </c>
    </row>
    <row r="1856" spans="1:2">
      <c r="A1856" s="3">
        <v>39190</v>
      </c>
      <c r="B1856" s="5">
        <v>927.9</v>
      </c>
    </row>
    <row r="1857" spans="1:2">
      <c r="A1857" s="3">
        <v>39191</v>
      </c>
      <c r="B1857" s="5">
        <v>928.4</v>
      </c>
    </row>
    <row r="1858" spans="1:2">
      <c r="A1858" s="3">
        <v>39192</v>
      </c>
      <c r="B1858" s="5">
        <v>927.3</v>
      </c>
    </row>
    <row r="1859" spans="1:2">
      <c r="A1859" s="3">
        <v>39195</v>
      </c>
      <c r="B1859" s="5">
        <v>926.1</v>
      </c>
    </row>
    <row r="1860" spans="1:2">
      <c r="A1860" s="3">
        <v>39196</v>
      </c>
      <c r="B1860" s="5">
        <v>927</v>
      </c>
    </row>
    <row r="1861" spans="1:2">
      <c r="A1861" s="3">
        <v>39197</v>
      </c>
      <c r="B1861" s="5">
        <v>926.5</v>
      </c>
    </row>
    <row r="1862" spans="1:2">
      <c r="A1862" s="3">
        <v>39198</v>
      </c>
      <c r="B1862" s="5">
        <v>928.6</v>
      </c>
    </row>
    <row r="1863" spans="1:2">
      <c r="A1863" s="3">
        <v>39199</v>
      </c>
      <c r="B1863" s="5">
        <v>928.8</v>
      </c>
    </row>
    <row r="1864" spans="1:2">
      <c r="A1864" s="3">
        <v>39202</v>
      </c>
      <c r="B1864" s="5">
        <v>930.6</v>
      </c>
    </row>
    <row r="1865" spans="1:2">
      <c r="A1865" s="3">
        <v>39203</v>
      </c>
      <c r="B1865" s="5">
        <v>930.5</v>
      </c>
    </row>
    <row r="1866" spans="1:2">
      <c r="A1866" s="3">
        <v>39204</v>
      </c>
      <c r="B1866" s="5">
        <v>929.8</v>
      </c>
    </row>
    <row r="1867" spans="1:2">
      <c r="A1867" s="3">
        <v>39205</v>
      </c>
      <c r="B1867" s="5">
        <v>926.7</v>
      </c>
    </row>
    <row r="1868" spans="1:2">
      <c r="A1868" s="3">
        <v>39206</v>
      </c>
      <c r="B1868" s="5">
        <v>927.3</v>
      </c>
    </row>
    <row r="1869" spans="1:2">
      <c r="A1869" s="3">
        <v>39209</v>
      </c>
      <c r="B1869" s="5">
        <v>922.1</v>
      </c>
    </row>
    <row r="1870" spans="1:2">
      <c r="A1870" s="3">
        <v>39210</v>
      </c>
      <c r="B1870" s="5">
        <v>922.6</v>
      </c>
    </row>
    <row r="1871" spans="1:2">
      <c r="A1871" s="3">
        <v>39211</v>
      </c>
      <c r="B1871" s="5">
        <v>923.3</v>
      </c>
    </row>
    <row r="1872" spans="1:2">
      <c r="A1872" s="3">
        <v>39212</v>
      </c>
      <c r="B1872" s="5">
        <v>924.8</v>
      </c>
    </row>
    <row r="1873" spans="1:2">
      <c r="A1873" s="3">
        <v>39213</v>
      </c>
      <c r="B1873" s="5">
        <v>926.4</v>
      </c>
    </row>
    <row r="1874" spans="1:2">
      <c r="A1874" s="3">
        <v>39216</v>
      </c>
      <c r="B1874" s="5">
        <v>923.8</v>
      </c>
    </row>
    <row r="1875" spans="1:2">
      <c r="A1875" s="3">
        <v>39217</v>
      </c>
      <c r="B1875" s="5">
        <v>924.1</v>
      </c>
    </row>
    <row r="1876" spans="1:2">
      <c r="A1876" s="3">
        <v>39218</v>
      </c>
      <c r="B1876" s="5">
        <v>923.5</v>
      </c>
    </row>
    <row r="1877" spans="1:2">
      <c r="A1877" s="3">
        <v>39219</v>
      </c>
      <c r="B1877" s="5">
        <v>927.9</v>
      </c>
    </row>
    <row r="1878" spans="1:2">
      <c r="A1878" s="3">
        <v>39220</v>
      </c>
      <c r="B1878" s="5">
        <v>933.7</v>
      </c>
    </row>
    <row r="1879" spans="1:2">
      <c r="A1879" s="3">
        <v>39223</v>
      </c>
      <c r="B1879" s="5">
        <v>929.8</v>
      </c>
    </row>
    <row r="1880" spans="1:2">
      <c r="A1880" s="3">
        <v>39224</v>
      </c>
      <c r="B1880" s="5">
        <v>930</v>
      </c>
    </row>
    <row r="1881" spans="1:2">
      <c r="A1881" s="3">
        <v>39225</v>
      </c>
      <c r="B1881" s="5">
        <v>931.1</v>
      </c>
    </row>
    <row r="1882" spans="1:2">
      <c r="A1882" s="3">
        <v>39226</v>
      </c>
      <c r="B1882" s="5">
        <v>931.1</v>
      </c>
    </row>
    <row r="1883" spans="1:2">
      <c r="A1883" s="3">
        <v>39227</v>
      </c>
      <c r="B1883" s="5">
        <v>928</v>
      </c>
    </row>
    <row r="1884" spans="1:2">
      <c r="A1884" s="3">
        <v>39230</v>
      </c>
      <c r="B1884" s="5">
        <v>928.5</v>
      </c>
    </row>
    <row r="1885" spans="1:2">
      <c r="A1885" s="3">
        <v>39231</v>
      </c>
      <c r="B1885" s="5">
        <v>927.3</v>
      </c>
    </row>
    <row r="1886" spans="1:2">
      <c r="A1886" s="3">
        <v>39232</v>
      </c>
      <c r="B1886" s="5">
        <v>930.7</v>
      </c>
    </row>
    <row r="1887" spans="1:2">
      <c r="A1887" s="3">
        <v>39233</v>
      </c>
      <c r="B1887" s="5">
        <v>927.5</v>
      </c>
    </row>
    <row r="1888" spans="1:2">
      <c r="A1888" s="3">
        <v>39234</v>
      </c>
      <c r="B1888" s="5">
        <v>928.1</v>
      </c>
    </row>
    <row r="1889" spans="1:2">
      <c r="A1889" s="3">
        <v>39237</v>
      </c>
      <c r="B1889" s="5">
        <v>927.6</v>
      </c>
    </row>
    <row r="1890" spans="1:2">
      <c r="A1890" s="3">
        <v>39238</v>
      </c>
      <c r="B1890" s="5">
        <v>926.7</v>
      </c>
    </row>
    <row r="1891" spans="1:2">
      <c r="A1891" s="3">
        <v>39239</v>
      </c>
      <c r="B1891" s="5">
        <v>926.8</v>
      </c>
    </row>
    <row r="1892" spans="1:2">
      <c r="A1892" s="3">
        <v>39240</v>
      </c>
      <c r="B1892" s="5">
        <v>926.5</v>
      </c>
    </row>
    <row r="1893" spans="1:2">
      <c r="A1893" s="3">
        <v>39241</v>
      </c>
      <c r="B1893" s="5">
        <v>930.7</v>
      </c>
    </row>
    <row r="1894" spans="1:2">
      <c r="A1894" s="3">
        <v>39244</v>
      </c>
      <c r="B1894" s="5">
        <v>932.3</v>
      </c>
    </row>
    <row r="1895" spans="1:2">
      <c r="A1895" s="3">
        <v>39245</v>
      </c>
      <c r="B1895" s="5">
        <v>929.2</v>
      </c>
    </row>
    <row r="1896" spans="1:2">
      <c r="A1896" s="3">
        <v>39246</v>
      </c>
      <c r="B1896" s="5">
        <v>931.1</v>
      </c>
    </row>
    <row r="1897" spans="1:2">
      <c r="A1897" s="3">
        <v>39247</v>
      </c>
      <c r="B1897" s="5">
        <v>929.6</v>
      </c>
    </row>
    <row r="1898" spans="1:2">
      <c r="A1898" s="3">
        <v>39248</v>
      </c>
      <c r="B1898" s="5">
        <v>927.8</v>
      </c>
    </row>
    <row r="1899" spans="1:2">
      <c r="A1899" s="3">
        <v>39251</v>
      </c>
      <c r="B1899" s="5">
        <v>928</v>
      </c>
    </row>
    <row r="1900" spans="1:2">
      <c r="A1900" s="3">
        <v>39252</v>
      </c>
      <c r="B1900" s="5">
        <v>927.4</v>
      </c>
    </row>
    <row r="1901" spans="1:2">
      <c r="A1901" s="3">
        <v>39253</v>
      </c>
      <c r="B1901" s="5">
        <v>927.5</v>
      </c>
    </row>
    <row r="1902" spans="1:2">
      <c r="A1902" s="3">
        <v>39254</v>
      </c>
      <c r="B1902" s="5">
        <v>926.5</v>
      </c>
    </row>
    <row r="1903" spans="1:2">
      <c r="A1903" s="3">
        <v>39255</v>
      </c>
      <c r="B1903" s="5">
        <v>927.8</v>
      </c>
    </row>
    <row r="1904" spans="1:2">
      <c r="A1904" s="3">
        <v>39258</v>
      </c>
      <c r="B1904" s="5">
        <v>926.2</v>
      </c>
    </row>
    <row r="1905" spans="1:2">
      <c r="A1905" s="3">
        <v>39259</v>
      </c>
      <c r="B1905" s="5">
        <v>926</v>
      </c>
    </row>
    <row r="1906" spans="1:2">
      <c r="A1906" s="3">
        <v>39260</v>
      </c>
      <c r="B1906" s="5">
        <v>927.4</v>
      </c>
    </row>
    <row r="1907" spans="1:2">
      <c r="A1907" s="3">
        <v>39261</v>
      </c>
      <c r="B1907" s="5">
        <v>926.5</v>
      </c>
    </row>
    <row r="1908" spans="1:2">
      <c r="A1908" s="3">
        <v>39262</v>
      </c>
      <c r="B1908" s="5">
        <v>923.5</v>
      </c>
    </row>
    <row r="1909" spans="1:2">
      <c r="A1909" s="3">
        <v>39265</v>
      </c>
      <c r="B1909" s="5">
        <v>921.3</v>
      </c>
    </row>
    <row r="1910" spans="1:2">
      <c r="A1910" s="3">
        <v>39266</v>
      </c>
      <c r="B1910" s="5">
        <v>917.7</v>
      </c>
    </row>
    <row r="1911" spans="1:2">
      <c r="A1911" s="3">
        <v>39267</v>
      </c>
      <c r="B1911" s="5">
        <v>919.6</v>
      </c>
    </row>
    <row r="1912" spans="1:2">
      <c r="A1912" s="3">
        <v>39268</v>
      </c>
      <c r="B1912" s="5">
        <v>921.8</v>
      </c>
    </row>
    <row r="1913" spans="1:2">
      <c r="A1913" s="3">
        <v>39269</v>
      </c>
      <c r="B1913" s="5">
        <v>919.3</v>
      </c>
    </row>
    <row r="1914" spans="1:2">
      <c r="A1914" s="3">
        <v>39272</v>
      </c>
      <c r="B1914" s="5">
        <v>920.6</v>
      </c>
    </row>
    <row r="1915" spans="1:2">
      <c r="A1915" s="3">
        <v>39273</v>
      </c>
      <c r="B1915" s="5">
        <v>919.6</v>
      </c>
    </row>
    <row r="1916" spans="1:2">
      <c r="A1916" s="3">
        <v>39274</v>
      </c>
      <c r="B1916" s="5">
        <v>918.9</v>
      </c>
    </row>
    <row r="1917" spans="1:2">
      <c r="A1917" s="3">
        <v>39275</v>
      </c>
      <c r="B1917" s="5">
        <v>917.9</v>
      </c>
    </row>
    <row r="1918" spans="1:2">
      <c r="A1918" s="3">
        <v>39276</v>
      </c>
      <c r="B1918" s="5">
        <v>916.7</v>
      </c>
    </row>
    <row r="1919" spans="1:2">
      <c r="A1919" s="3">
        <v>39279</v>
      </c>
      <c r="B1919" s="5">
        <v>917.8</v>
      </c>
    </row>
    <row r="1920" spans="1:2">
      <c r="A1920" s="3">
        <v>39280</v>
      </c>
      <c r="B1920" s="5">
        <v>917.8</v>
      </c>
    </row>
    <row r="1921" spans="1:2">
      <c r="A1921" s="3">
        <v>39281</v>
      </c>
      <c r="B1921" s="5">
        <v>915.9</v>
      </c>
    </row>
    <row r="1922" spans="1:2">
      <c r="A1922" s="3">
        <v>39282</v>
      </c>
      <c r="B1922" s="5">
        <v>915.6</v>
      </c>
    </row>
    <row r="1923" spans="1:2">
      <c r="A1923" s="3">
        <v>39283</v>
      </c>
      <c r="B1923" s="5">
        <v>914.8</v>
      </c>
    </row>
    <row r="1924" spans="1:2">
      <c r="A1924" s="3">
        <v>39286</v>
      </c>
      <c r="B1924" s="5">
        <v>914.9</v>
      </c>
    </row>
    <row r="1925" spans="1:2">
      <c r="A1925" s="3">
        <v>39287</v>
      </c>
      <c r="B1925" s="5">
        <v>913.8</v>
      </c>
    </row>
    <row r="1926" spans="1:2">
      <c r="A1926" s="3">
        <v>39288</v>
      </c>
      <c r="B1926" s="5">
        <v>913.6</v>
      </c>
    </row>
    <row r="1927" spans="1:2">
      <c r="A1927" s="3">
        <v>39289</v>
      </c>
      <c r="B1927" s="5">
        <v>918</v>
      </c>
    </row>
    <row r="1928" spans="1:2">
      <c r="A1928" s="3">
        <v>39290</v>
      </c>
      <c r="B1928" s="5">
        <v>921.5</v>
      </c>
    </row>
    <row r="1929" spans="1:2">
      <c r="A1929" s="3">
        <v>39293</v>
      </c>
      <c r="B1929" s="5">
        <v>923</v>
      </c>
    </row>
    <row r="1930" spans="1:2">
      <c r="A1930" s="3">
        <v>39294</v>
      </c>
      <c r="B1930" s="5">
        <v>919.1</v>
      </c>
    </row>
    <row r="1931" spans="1:2">
      <c r="A1931" s="3">
        <v>39295</v>
      </c>
      <c r="B1931" s="5">
        <v>924.9</v>
      </c>
    </row>
    <row r="1932" spans="1:2">
      <c r="A1932" s="3">
        <v>39296</v>
      </c>
      <c r="B1932" s="5">
        <v>922.6</v>
      </c>
    </row>
    <row r="1933" spans="1:2">
      <c r="A1933" s="3">
        <v>39297</v>
      </c>
      <c r="B1933" s="5">
        <v>922.6</v>
      </c>
    </row>
    <row r="1934" spans="1:2">
      <c r="A1934" s="3">
        <v>39300</v>
      </c>
      <c r="B1934" s="5">
        <v>923.2</v>
      </c>
    </row>
    <row r="1935" spans="1:2">
      <c r="A1935" s="3">
        <v>39301</v>
      </c>
      <c r="B1935" s="5">
        <v>922.6</v>
      </c>
    </row>
    <row r="1936" spans="1:2">
      <c r="A1936" s="3">
        <v>39302</v>
      </c>
      <c r="B1936" s="5">
        <v>923.7</v>
      </c>
    </row>
    <row r="1937" spans="1:2">
      <c r="A1937" s="3">
        <v>39303</v>
      </c>
      <c r="B1937" s="5">
        <v>922.7</v>
      </c>
    </row>
    <row r="1938" spans="1:2">
      <c r="A1938" s="3">
        <v>39304</v>
      </c>
      <c r="B1938" s="5">
        <v>931.5</v>
      </c>
    </row>
    <row r="1939" spans="1:2">
      <c r="A1939" s="3">
        <v>39307</v>
      </c>
      <c r="B1939" s="5">
        <v>929</v>
      </c>
    </row>
    <row r="1940" spans="1:2">
      <c r="A1940" s="3">
        <v>39308</v>
      </c>
      <c r="B1940" s="5">
        <v>932</v>
      </c>
    </row>
    <row r="1941" spans="1:2">
      <c r="A1941" s="3">
        <v>39309</v>
      </c>
      <c r="B1941" s="5">
        <v>932</v>
      </c>
    </row>
    <row r="1942" spans="1:2">
      <c r="A1942" s="3">
        <v>39310</v>
      </c>
      <c r="B1942" s="5">
        <v>945.9</v>
      </c>
    </row>
    <row r="1943" spans="1:2">
      <c r="A1943" s="3">
        <v>39311</v>
      </c>
      <c r="B1943" s="5">
        <v>950.2</v>
      </c>
    </row>
    <row r="1944" spans="1:2">
      <c r="A1944" s="3">
        <v>39314</v>
      </c>
      <c r="B1944" s="5">
        <v>942.7</v>
      </c>
    </row>
    <row r="1945" spans="1:2">
      <c r="A1945" s="3">
        <v>39315</v>
      </c>
      <c r="B1945" s="5">
        <v>943.2</v>
      </c>
    </row>
    <row r="1946" spans="1:2">
      <c r="A1946" s="3">
        <v>39316</v>
      </c>
      <c r="B1946" s="5">
        <v>943.8</v>
      </c>
    </row>
    <row r="1947" spans="1:2">
      <c r="A1947" s="3">
        <v>39317</v>
      </c>
      <c r="B1947" s="5">
        <v>941.4</v>
      </c>
    </row>
    <row r="1948" spans="1:2">
      <c r="A1948" s="3">
        <v>39318</v>
      </c>
      <c r="B1948" s="5">
        <v>941.4</v>
      </c>
    </row>
    <row r="1949" spans="1:2">
      <c r="A1949" s="3">
        <v>39321</v>
      </c>
      <c r="B1949" s="5">
        <v>938.3</v>
      </c>
    </row>
    <row r="1950" spans="1:2">
      <c r="A1950" s="3">
        <v>39322</v>
      </c>
      <c r="B1950" s="5">
        <v>939.4</v>
      </c>
    </row>
    <row r="1951" spans="1:2">
      <c r="A1951" s="3">
        <v>39323</v>
      </c>
      <c r="B1951" s="5">
        <v>941.6</v>
      </c>
    </row>
    <row r="1952" spans="1:2">
      <c r="A1952" s="3">
        <v>39324</v>
      </c>
      <c r="B1952" s="5">
        <v>940</v>
      </c>
    </row>
    <row r="1953" spans="1:2">
      <c r="A1953" s="3">
        <v>39325</v>
      </c>
      <c r="B1953" s="5">
        <v>938</v>
      </c>
    </row>
    <row r="1954" spans="1:2">
      <c r="A1954" s="3">
        <v>39328</v>
      </c>
      <c r="B1954" s="5">
        <v>937.1</v>
      </c>
    </row>
    <row r="1955" spans="1:2">
      <c r="A1955" s="3">
        <v>39329</v>
      </c>
      <c r="B1955" s="5">
        <v>938.8</v>
      </c>
    </row>
    <row r="1956" spans="1:2">
      <c r="A1956" s="3">
        <v>39330</v>
      </c>
      <c r="B1956" s="5">
        <v>937.8</v>
      </c>
    </row>
    <row r="1957" spans="1:2">
      <c r="A1957" s="3">
        <v>39331</v>
      </c>
      <c r="B1957" s="5">
        <v>938.8</v>
      </c>
    </row>
    <row r="1958" spans="1:2">
      <c r="A1958" s="3">
        <v>39332</v>
      </c>
      <c r="B1958" s="5">
        <v>937.8</v>
      </c>
    </row>
    <row r="1959" spans="1:2">
      <c r="A1959" s="3">
        <v>39335</v>
      </c>
      <c r="B1959" s="5">
        <v>939</v>
      </c>
    </row>
    <row r="1960" spans="1:2">
      <c r="A1960" s="3">
        <v>39336</v>
      </c>
      <c r="B1960" s="5">
        <v>935.8</v>
      </c>
    </row>
    <row r="1961" spans="1:2">
      <c r="A1961" s="3">
        <v>39337</v>
      </c>
      <c r="B1961" s="5">
        <v>932</v>
      </c>
    </row>
    <row r="1962" spans="1:2">
      <c r="A1962" s="3">
        <v>39338</v>
      </c>
      <c r="B1962" s="5">
        <v>931.1</v>
      </c>
    </row>
    <row r="1963" spans="1:2">
      <c r="A1963" s="3">
        <v>39339</v>
      </c>
      <c r="B1963" s="5">
        <v>928.1</v>
      </c>
    </row>
    <row r="1964" spans="1:2">
      <c r="A1964" s="3">
        <v>39342</v>
      </c>
      <c r="B1964" s="5">
        <v>928</v>
      </c>
    </row>
    <row r="1965" spans="1:2">
      <c r="A1965" s="3">
        <v>39343</v>
      </c>
      <c r="B1965" s="5">
        <v>930.4</v>
      </c>
    </row>
    <row r="1966" spans="1:2">
      <c r="A1966" s="3">
        <v>39344</v>
      </c>
      <c r="B1966" s="5">
        <v>926.3</v>
      </c>
    </row>
    <row r="1967" spans="1:2">
      <c r="A1967" s="3">
        <v>39345</v>
      </c>
      <c r="B1967" s="5">
        <v>922.7</v>
      </c>
    </row>
    <row r="1968" spans="1:2">
      <c r="A1968" s="3">
        <v>39346</v>
      </c>
      <c r="B1968" s="5">
        <v>920.8</v>
      </c>
    </row>
    <row r="1969" spans="1:2">
      <c r="A1969" s="3">
        <v>39349</v>
      </c>
      <c r="B1969" s="5">
        <v>920.8</v>
      </c>
    </row>
    <row r="1970" spans="1:2">
      <c r="A1970" s="3">
        <v>39350</v>
      </c>
      <c r="B1970" s="5">
        <v>920.8</v>
      </c>
    </row>
    <row r="1971" spans="1:2">
      <c r="A1971" s="3">
        <v>39351</v>
      </c>
      <c r="B1971" s="5">
        <v>920.5</v>
      </c>
    </row>
    <row r="1972" spans="1:2">
      <c r="A1972" s="3">
        <v>39352</v>
      </c>
      <c r="B1972" s="5">
        <v>919.8</v>
      </c>
    </row>
    <row r="1973" spans="1:2">
      <c r="A1973" s="3">
        <v>39353</v>
      </c>
      <c r="B1973" s="5">
        <v>914.9</v>
      </c>
    </row>
    <row r="1974" spans="1:2">
      <c r="A1974" s="3">
        <v>39356</v>
      </c>
      <c r="B1974" s="5">
        <v>913.2</v>
      </c>
    </row>
    <row r="1975" spans="1:2">
      <c r="A1975" s="3">
        <v>39357</v>
      </c>
      <c r="B1975" s="5">
        <v>913.4</v>
      </c>
    </row>
    <row r="1976" spans="1:2">
      <c r="A1976" s="3">
        <v>39358</v>
      </c>
      <c r="B1976" s="5">
        <v>913.4</v>
      </c>
    </row>
    <row r="1977" spans="1:2">
      <c r="A1977" s="3">
        <v>39359</v>
      </c>
      <c r="B1977" s="5">
        <v>916.1</v>
      </c>
    </row>
    <row r="1978" spans="1:2">
      <c r="A1978" s="3">
        <v>39360</v>
      </c>
      <c r="B1978" s="5">
        <v>915.8</v>
      </c>
    </row>
    <row r="1979" spans="1:2">
      <c r="A1979" s="3">
        <v>39363</v>
      </c>
      <c r="B1979" s="5">
        <v>914.2</v>
      </c>
    </row>
    <row r="1980" spans="1:2">
      <c r="A1980" s="3">
        <v>39364</v>
      </c>
      <c r="B1980" s="5">
        <v>918.1</v>
      </c>
    </row>
    <row r="1981" spans="1:2">
      <c r="A1981" s="3">
        <v>39365</v>
      </c>
      <c r="B1981" s="5">
        <v>916.1</v>
      </c>
    </row>
    <row r="1982" spans="1:2">
      <c r="A1982" s="3">
        <v>39366</v>
      </c>
      <c r="B1982" s="5">
        <v>916.9</v>
      </c>
    </row>
    <row r="1983" spans="1:2">
      <c r="A1983" s="3">
        <v>39367</v>
      </c>
      <c r="B1983" s="5">
        <v>918</v>
      </c>
    </row>
    <row r="1984" spans="1:2">
      <c r="A1984" s="3">
        <v>39370</v>
      </c>
      <c r="B1984" s="5">
        <v>916.7</v>
      </c>
    </row>
    <row r="1985" spans="1:2">
      <c r="A1985" s="3">
        <v>39371</v>
      </c>
      <c r="B1985" s="5">
        <v>917.1</v>
      </c>
    </row>
    <row r="1986" spans="1:2">
      <c r="A1986" s="3">
        <v>39372</v>
      </c>
      <c r="B1986" s="5">
        <v>918</v>
      </c>
    </row>
    <row r="1987" spans="1:2">
      <c r="A1987" s="3">
        <v>39373</v>
      </c>
      <c r="B1987" s="5">
        <v>917.2</v>
      </c>
    </row>
    <row r="1988" spans="1:2">
      <c r="A1988" s="3">
        <v>39374</v>
      </c>
      <c r="B1988" s="5">
        <v>915.4</v>
      </c>
    </row>
    <row r="1989" spans="1:2">
      <c r="A1989" s="3">
        <v>39377</v>
      </c>
      <c r="B1989" s="5">
        <v>916.8</v>
      </c>
    </row>
    <row r="1990" spans="1:2">
      <c r="A1990" s="3">
        <v>39378</v>
      </c>
      <c r="B1990" s="5">
        <v>917.7</v>
      </c>
    </row>
    <row r="1991" spans="1:2">
      <c r="A1991" s="3">
        <v>39379</v>
      </c>
      <c r="B1991" s="5">
        <v>917.6</v>
      </c>
    </row>
    <row r="1992" spans="1:2">
      <c r="A1992" s="3">
        <v>39380</v>
      </c>
      <c r="B1992" s="5">
        <v>916.2</v>
      </c>
    </row>
    <row r="1993" spans="1:2">
      <c r="A1993" s="3">
        <v>39381</v>
      </c>
      <c r="B1993" s="5">
        <v>908.9</v>
      </c>
    </row>
    <row r="1994" spans="1:2">
      <c r="A1994" s="3">
        <v>39384</v>
      </c>
      <c r="B1994" s="5">
        <v>906.4</v>
      </c>
    </row>
    <row r="1995" spans="1:2">
      <c r="A1995" s="3">
        <v>39385</v>
      </c>
      <c r="B1995" s="5">
        <v>906.6</v>
      </c>
    </row>
    <row r="1996" spans="1:2">
      <c r="A1996" s="3">
        <v>39386</v>
      </c>
      <c r="B1996" s="5">
        <v>900.3</v>
      </c>
    </row>
    <row r="1997" spans="1:2">
      <c r="A1997" s="3">
        <v>39387</v>
      </c>
      <c r="B1997" s="5">
        <v>903.1</v>
      </c>
    </row>
    <row r="1998" spans="1:2">
      <c r="A1998" s="3">
        <v>39388</v>
      </c>
      <c r="B1998" s="5">
        <v>906.5</v>
      </c>
    </row>
    <row r="1999" spans="1:2">
      <c r="A1999" s="3">
        <v>39391</v>
      </c>
      <c r="B1999" s="5">
        <v>907.5</v>
      </c>
    </row>
    <row r="2000" spans="1:2">
      <c r="A2000" s="3">
        <v>39392</v>
      </c>
      <c r="B2000" s="5">
        <v>907.4</v>
      </c>
    </row>
    <row r="2001" spans="1:2">
      <c r="A2001" s="3">
        <v>39393</v>
      </c>
      <c r="B2001" s="5">
        <v>905.8</v>
      </c>
    </row>
    <row r="2002" spans="1:2">
      <c r="A2002" s="3">
        <v>39394</v>
      </c>
      <c r="B2002" s="5">
        <v>907</v>
      </c>
    </row>
    <row r="2003" spans="1:2">
      <c r="A2003" s="3">
        <v>39395</v>
      </c>
      <c r="B2003" s="5">
        <v>906.4</v>
      </c>
    </row>
    <row r="2004" spans="1:2">
      <c r="A2004" s="3">
        <v>39398</v>
      </c>
      <c r="B2004" s="5">
        <v>911</v>
      </c>
    </row>
    <row r="2005" spans="1:2">
      <c r="A2005" s="3">
        <v>39399</v>
      </c>
      <c r="B2005" s="5">
        <v>918.4</v>
      </c>
    </row>
    <row r="2006" spans="1:2">
      <c r="A2006" s="3">
        <v>39400</v>
      </c>
      <c r="B2006" s="5">
        <v>913.2</v>
      </c>
    </row>
    <row r="2007" spans="1:2">
      <c r="A2007" s="3">
        <v>39401</v>
      </c>
      <c r="B2007" s="5">
        <v>915</v>
      </c>
    </row>
    <row r="2008" spans="1:2">
      <c r="A2008" s="3">
        <v>39402</v>
      </c>
      <c r="B2008" s="5">
        <v>917.1</v>
      </c>
    </row>
    <row r="2009" spans="1:2">
      <c r="A2009" s="3">
        <v>39405</v>
      </c>
      <c r="B2009" s="5">
        <v>918.7</v>
      </c>
    </row>
    <row r="2010" spans="1:2">
      <c r="A2010" s="3">
        <v>39406</v>
      </c>
      <c r="B2010" s="5">
        <v>921.9</v>
      </c>
    </row>
    <row r="2011" spans="1:2">
      <c r="A2011" s="3">
        <v>39407</v>
      </c>
      <c r="B2011" s="5">
        <v>928.5</v>
      </c>
    </row>
    <row r="2012" spans="1:2">
      <c r="A2012" s="3">
        <v>39408</v>
      </c>
      <c r="B2012" s="5">
        <v>933</v>
      </c>
    </row>
    <row r="2013" spans="1:2">
      <c r="A2013" s="3">
        <v>39409</v>
      </c>
      <c r="B2013" s="5">
        <v>930.3</v>
      </c>
    </row>
    <row r="2014" spans="1:2">
      <c r="A2014" s="3">
        <v>39412</v>
      </c>
      <c r="B2014" s="5">
        <v>929</v>
      </c>
    </row>
    <row r="2015" spans="1:2">
      <c r="A2015" s="3">
        <v>39413</v>
      </c>
      <c r="B2015" s="5">
        <v>928.9</v>
      </c>
    </row>
    <row r="2016" spans="1:2">
      <c r="A2016" s="3">
        <v>39414</v>
      </c>
      <c r="B2016" s="5">
        <v>931.2</v>
      </c>
    </row>
    <row r="2017" spans="1:2">
      <c r="A2017" s="3">
        <v>39415</v>
      </c>
      <c r="B2017" s="5">
        <v>928.4</v>
      </c>
    </row>
    <row r="2018" spans="1:2">
      <c r="A2018" s="3">
        <v>39416</v>
      </c>
      <c r="B2018" s="5">
        <v>920.8</v>
      </c>
    </row>
    <row r="2019" spans="1:2">
      <c r="A2019" s="3">
        <v>39419</v>
      </c>
      <c r="B2019" s="5">
        <v>924.7</v>
      </c>
    </row>
    <row r="2020" spans="1:2">
      <c r="A2020" s="3">
        <v>39420</v>
      </c>
      <c r="B2020" s="5">
        <v>922.3</v>
      </c>
    </row>
    <row r="2021" spans="1:2">
      <c r="A2021" s="3">
        <v>39421</v>
      </c>
      <c r="B2021" s="5">
        <v>922.8</v>
      </c>
    </row>
    <row r="2022" spans="1:2">
      <c r="A2022" s="3">
        <v>39422</v>
      </c>
      <c r="B2022" s="5">
        <v>921.7</v>
      </c>
    </row>
    <row r="2023" spans="1:2">
      <c r="A2023" s="3">
        <v>39423</v>
      </c>
      <c r="B2023" s="5">
        <v>918.9</v>
      </c>
    </row>
    <row r="2024" spans="1:2">
      <c r="A2024" s="3">
        <v>39426</v>
      </c>
      <c r="B2024" s="5">
        <v>923.4</v>
      </c>
    </row>
    <row r="2025" spans="1:2">
      <c r="A2025" s="3">
        <v>39427</v>
      </c>
      <c r="B2025" s="5">
        <v>923.6</v>
      </c>
    </row>
    <row r="2026" spans="1:2">
      <c r="A2026" s="3">
        <v>39428</v>
      </c>
      <c r="B2026" s="5">
        <v>926.2</v>
      </c>
    </row>
    <row r="2027" spans="1:2">
      <c r="A2027" s="3">
        <v>39429</v>
      </c>
      <c r="B2027" s="5">
        <v>924.5</v>
      </c>
    </row>
    <row r="2028" spans="1:2">
      <c r="A2028" s="3">
        <v>39430</v>
      </c>
      <c r="B2028" s="5">
        <v>929.7</v>
      </c>
    </row>
    <row r="2029" spans="1:2">
      <c r="A2029" s="3">
        <v>39433</v>
      </c>
      <c r="B2029" s="5">
        <v>933.4</v>
      </c>
    </row>
    <row r="2030" spans="1:2">
      <c r="A2030" s="3">
        <v>39434</v>
      </c>
      <c r="B2030" s="5">
        <v>939.1</v>
      </c>
    </row>
    <row r="2031" spans="1:2">
      <c r="A2031" s="3">
        <v>39435</v>
      </c>
      <c r="B2031" s="5">
        <v>939.2</v>
      </c>
    </row>
    <row r="2032" spans="1:2">
      <c r="A2032" s="3">
        <v>39436</v>
      </c>
      <c r="B2032" s="5">
        <v>943.3</v>
      </c>
    </row>
    <row r="2033" spans="1:2">
      <c r="A2033" s="3">
        <v>39437</v>
      </c>
      <c r="B2033" s="5">
        <v>940.3</v>
      </c>
    </row>
    <row r="2034" spans="1:2">
      <c r="A2034" s="3">
        <v>39440</v>
      </c>
      <c r="B2034" s="5">
        <v>939.2</v>
      </c>
    </row>
    <row r="2035" spans="1:2">
      <c r="A2035" s="3">
        <v>39441</v>
      </c>
      <c r="B2035" s="5">
        <v>939.2</v>
      </c>
    </row>
    <row r="2036" spans="1:2">
      <c r="A2036" s="3">
        <v>39442</v>
      </c>
      <c r="B2036" s="5">
        <v>938.6</v>
      </c>
    </row>
    <row r="2037" spans="1:2">
      <c r="A2037" s="3">
        <v>39443</v>
      </c>
      <c r="B2037" s="5">
        <v>940</v>
      </c>
    </row>
    <row r="2038" spans="1:2">
      <c r="A2038" s="3">
        <v>39444</v>
      </c>
      <c r="B2038" s="5">
        <v>935.7</v>
      </c>
    </row>
    <row r="2039" spans="1:2">
      <c r="A2039" s="3">
        <v>39447</v>
      </c>
      <c r="B2039" s="5">
        <v>935.7</v>
      </c>
    </row>
    <row r="2040" spans="1:2">
      <c r="A2040" s="3">
        <v>39448</v>
      </c>
      <c r="B2040" s="5">
        <v>935.8</v>
      </c>
    </row>
    <row r="2041" spans="1:2">
      <c r="A2041" s="3">
        <v>39449</v>
      </c>
      <c r="B2041" s="5">
        <v>936.7</v>
      </c>
    </row>
    <row r="2042" spans="1:2">
      <c r="A2042" s="3">
        <v>39450</v>
      </c>
      <c r="B2042" s="5">
        <v>936.2</v>
      </c>
    </row>
    <row r="2043" spans="1:2">
      <c r="A2043" s="3">
        <v>39451</v>
      </c>
      <c r="B2043" s="5">
        <v>938.2</v>
      </c>
    </row>
    <row r="2044" spans="1:2">
      <c r="A2044" s="3">
        <v>39454</v>
      </c>
      <c r="B2044" s="5">
        <v>940.2</v>
      </c>
    </row>
    <row r="2045" spans="1:2">
      <c r="A2045" s="3">
        <v>39455</v>
      </c>
      <c r="B2045" s="5">
        <v>939.1</v>
      </c>
    </row>
    <row r="2046" spans="1:2">
      <c r="A2046" s="3">
        <v>39456</v>
      </c>
      <c r="B2046" s="5">
        <v>937</v>
      </c>
    </row>
    <row r="2047" spans="1:2">
      <c r="A2047" s="3">
        <v>39457</v>
      </c>
      <c r="B2047" s="5">
        <v>937.3</v>
      </c>
    </row>
    <row r="2048" spans="1:2">
      <c r="A2048" s="3">
        <v>39458</v>
      </c>
      <c r="B2048" s="5">
        <v>937.3</v>
      </c>
    </row>
    <row r="2049" spans="1:2">
      <c r="A2049" s="3">
        <v>39461</v>
      </c>
      <c r="B2049" s="5">
        <v>937.1</v>
      </c>
    </row>
    <row r="2050" spans="1:2">
      <c r="A2050" s="3">
        <v>39462</v>
      </c>
      <c r="B2050" s="5">
        <v>935.2</v>
      </c>
    </row>
    <row r="2051" spans="1:2">
      <c r="A2051" s="3">
        <v>39463</v>
      </c>
      <c r="B2051" s="5">
        <v>939.7</v>
      </c>
    </row>
    <row r="2052" spans="1:2">
      <c r="A2052" s="3">
        <v>39464</v>
      </c>
      <c r="B2052" s="5">
        <v>945.1</v>
      </c>
    </row>
    <row r="2053" spans="1:2">
      <c r="A2053" s="3">
        <v>39465</v>
      </c>
      <c r="B2053" s="5">
        <v>942.6</v>
      </c>
    </row>
    <row r="2054" spans="1:2">
      <c r="A2054" s="3">
        <v>39468</v>
      </c>
      <c r="B2054" s="5">
        <v>948.2</v>
      </c>
    </row>
    <row r="2055" spans="1:2">
      <c r="A2055" s="3">
        <v>39469</v>
      </c>
      <c r="B2055" s="5">
        <v>953.6</v>
      </c>
    </row>
    <row r="2056" spans="1:2">
      <c r="A2056" s="3">
        <v>39470</v>
      </c>
      <c r="B2056" s="5">
        <v>952.5</v>
      </c>
    </row>
    <row r="2057" spans="1:2">
      <c r="A2057" s="3">
        <v>39471</v>
      </c>
      <c r="B2057" s="5">
        <v>948.9</v>
      </c>
    </row>
    <row r="2058" spans="1:2">
      <c r="A2058" s="3">
        <v>39472</v>
      </c>
      <c r="B2058" s="5">
        <v>946.3</v>
      </c>
    </row>
    <row r="2059" spans="1:2">
      <c r="A2059" s="3">
        <v>39475</v>
      </c>
      <c r="B2059" s="5">
        <v>949.4</v>
      </c>
    </row>
    <row r="2060" spans="1:2">
      <c r="A2060" s="3">
        <v>39476</v>
      </c>
      <c r="B2060" s="5">
        <v>944.1</v>
      </c>
    </row>
    <row r="2061" spans="1:2">
      <c r="A2061" s="3">
        <v>39477</v>
      </c>
      <c r="B2061" s="5">
        <v>944.2</v>
      </c>
    </row>
    <row r="2062" spans="1:2">
      <c r="A2062" s="3">
        <v>39478</v>
      </c>
      <c r="B2062" s="5">
        <v>943.5</v>
      </c>
    </row>
    <row r="2063" spans="1:2">
      <c r="A2063" s="3">
        <v>39479</v>
      </c>
      <c r="B2063" s="5">
        <v>943.9</v>
      </c>
    </row>
    <row r="2064" spans="1:2">
      <c r="A2064" s="3">
        <v>39482</v>
      </c>
      <c r="B2064" s="5">
        <v>942.3</v>
      </c>
    </row>
    <row r="2065" spans="1:2">
      <c r="A2065" s="3">
        <v>39483</v>
      </c>
      <c r="B2065" s="5">
        <v>943.1</v>
      </c>
    </row>
    <row r="2066" spans="1:2">
      <c r="A2066" s="3">
        <v>39484</v>
      </c>
      <c r="B2066" s="5">
        <v>941.4</v>
      </c>
    </row>
    <row r="2067" spans="1:2">
      <c r="A2067" s="3">
        <v>39485</v>
      </c>
      <c r="B2067" s="5">
        <v>941.3</v>
      </c>
    </row>
    <row r="2068" spans="1:2">
      <c r="A2068" s="3">
        <v>39486</v>
      </c>
      <c r="B2068" s="5">
        <v>941.1</v>
      </c>
    </row>
    <row r="2069" spans="1:2">
      <c r="A2069" s="3">
        <v>39489</v>
      </c>
      <c r="B2069" s="5">
        <v>945</v>
      </c>
    </row>
    <row r="2070" spans="1:2">
      <c r="A2070" s="3">
        <v>39490</v>
      </c>
      <c r="B2070" s="5">
        <v>945.1</v>
      </c>
    </row>
    <row r="2071" spans="1:2">
      <c r="A2071" s="3">
        <v>39491</v>
      </c>
      <c r="B2071" s="5">
        <v>945.5</v>
      </c>
    </row>
    <row r="2072" spans="1:2">
      <c r="A2072" s="3">
        <v>39492</v>
      </c>
      <c r="B2072" s="5">
        <v>945</v>
      </c>
    </row>
    <row r="2073" spans="1:2">
      <c r="A2073" s="3">
        <v>39493</v>
      </c>
      <c r="B2073" s="5">
        <v>944.7</v>
      </c>
    </row>
    <row r="2074" spans="1:2">
      <c r="A2074" s="3">
        <v>39496</v>
      </c>
      <c r="B2074" s="5">
        <v>945.1</v>
      </c>
    </row>
    <row r="2075" spans="1:2">
      <c r="A2075" s="3">
        <v>39497</v>
      </c>
      <c r="B2075" s="5">
        <v>943.6</v>
      </c>
    </row>
    <row r="2076" spans="1:2">
      <c r="A2076" s="3">
        <v>39498</v>
      </c>
      <c r="B2076" s="5">
        <v>945.8</v>
      </c>
    </row>
    <row r="2077" spans="1:2">
      <c r="A2077" s="3">
        <v>39499</v>
      </c>
      <c r="B2077" s="5">
        <v>948.2</v>
      </c>
    </row>
    <row r="2078" spans="1:2">
      <c r="A2078" s="3">
        <v>39500</v>
      </c>
      <c r="B2078" s="5">
        <v>948.3</v>
      </c>
    </row>
    <row r="2079" spans="1:2">
      <c r="A2079" s="3">
        <v>39503</v>
      </c>
      <c r="B2079" s="5">
        <v>946.6</v>
      </c>
    </row>
    <row r="2080" spans="1:2">
      <c r="A2080" s="3">
        <v>39504</v>
      </c>
      <c r="B2080" s="5">
        <v>946.9</v>
      </c>
    </row>
    <row r="2081" spans="1:2">
      <c r="A2081" s="3">
        <v>39505</v>
      </c>
      <c r="B2081" s="5">
        <v>940.8</v>
      </c>
    </row>
    <row r="2082" spans="1:2">
      <c r="A2082" s="3">
        <v>39506</v>
      </c>
      <c r="B2082" s="5">
        <v>936.4</v>
      </c>
    </row>
    <row r="2083" spans="1:2">
      <c r="A2083" s="3">
        <v>39507</v>
      </c>
      <c r="B2083" s="5">
        <v>938.7</v>
      </c>
    </row>
    <row r="2084" spans="1:2">
      <c r="A2084" s="3">
        <v>39510</v>
      </c>
      <c r="B2084" s="5">
        <v>946.6</v>
      </c>
    </row>
    <row r="2085" spans="1:2">
      <c r="A2085" s="3">
        <v>39511</v>
      </c>
      <c r="B2085" s="5">
        <v>946.7</v>
      </c>
    </row>
    <row r="2086" spans="1:2">
      <c r="A2086" s="3">
        <v>39512</v>
      </c>
      <c r="B2086" s="5">
        <v>947.9</v>
      </c>
    </row>
    <row r="2087" spans="1:2">
      <c r="A2087" s="3">
        <v>39513</v>
      </c>
      <c r="B2087" s="5">
        <v>949.4</v>
      </c>
    </row>
    <row r="2088" spans="1:2">
      <c r="A2088" s="3">
        <v>39514</v>
      </c>
      <c r="B2088" s="5">
        <v>957.3</v>
      </c>
    </row>
    <row r="2089" spans="1:2">
      <c r="A2089" s="3">
        <v>39517</v>
      </c>
      <c r="B2089" s="5">
        <v>965</v>
      </c>
    </row>
    <row r="2090" spans="1:2">
      <c r="A2090" s="3">
        <v>39518</v>
      </c>
      <c r="B2090" s="5">
        <v>969.7</v>
      </c>
    </row>
    <row r="2091" spans="1:2">
      <c r="A2091" s="3">
        <v>39519</v>
      </c>
      <c r="B2091" s="5">
        <v>971.1</v>
      </c>
    </row>
    <row r="2092" spans="1:2">
      <c r="A2092" s="3">
        <v>39520</v>
      </c>
      <c r="B2092" s="5">
        <v>982</v>
      </c>
    </row>
    <row r="2093" spans="1:2">
      <c r="A2093" s="3">
        <v>39521</v>
      </c>
      <c r="B2093" s="5">
        <v>997</v>
      </c>
    </row>
    <row r="2094" spans="1:2">
      <c r="A2094" s="3">
        <v>39524</v>
      </c>
      <c r="B2094" s="4">
        <v>1023.9</v>
      </c>
    </row>
    <row r="2095" spans="1:2">
      <c r="A2095" s="3">
        <v>39525</v>
      </c>
      <c r="B2095" s="4">
        <v>1009.2</v>
      </c>
    </row>
    <row r="2096" spans="1:2">
      <c r="A2096" s="3">
        <v>39526</v>
      </c>
      <c r="B2096" s="4">
        <v>1009.1</v>
      </c>
    </row>
    <row r="2097" spans="1:2">
      <c r="A2097" s="3">
        <v>39527</v>
      </c>
      <c r="B2097" s="4">
        <v>1009.1</v>
      </c>
    </row>
    <row r="2098" spans="1:2">
      <c r="A2098" s="3">
        <v>39528</v>
      </c>
      <c r="B2098" s="4">
        <v>1002.9</v>
      </c>
    </row>
    <row r="2099" spans="1:2">
      <c r="A2099" s="3">
        <v>39531</v>
      </c>
      <c r="B2099" s="5">
        <v>996.9</v>
      </c>
    </row>
    <row r="2100" spans="1:2">
      <c r="A2100" s="3">
        <v>39532</v>
      </c>
      <c r="B2100" s="5">
        <v>975.8</v>
      </c>
    </row>
    <row r="2101" spans="1:2">
      <c r="A2101" s="3">
        <v>39533</v>
      </c>
      <c r="B2101" s="5">
        <v>986.2</v>
      </c>
    </row>
    <row r="2102" spans="1:2">
      <c r="A2102" s="3">
        <v>39534</v>
      </c>
      <c r="B2102" s="5">
        <v>987.2</v>
      </c>
    </row>
    <row r="2103" spans="1:2">
      <c r="A2103" s="3">
        <v>39535</v>
      </c>
      <c r="B2103" s="5">
        <v>992.7</v>
      </c>
    </row>
    <row r="2104" spans="1:2">
      <c r="A2104" s="3">
        <v>39538</v>
      </c>
      <c r="B2104" s="5">
        <v>990</v>
      </c>
    </row>
    <row r="2105" spans="1:2">
      <c r="A2105" s="3">
        <v>39539</v>
      </c>
      <c r="B2105" s="5">
        <v>983.5</v>
      </c>
    </row>
    <row r="2106" spans="1:2">
      <c r="A2106" s="3">
        <v>39540</v>
      </c>
      <c r="B2106" s="5">
        <v>974.3</v>
      </c>
    </row>
    <row r="2107" spans="1:2">
      <c r="A2107" s="3">
        <v>39541</v>
      </c>
      <c r="B2107" s="5">
        <v>975.2</v>
      </c>
    </row>
    <row r="2108" spans="1:2">
      <c r="A2108" s="3">
        <v>39542</v>
      </c>
      <c r="B2108" s="5">
        <v>973.5</v>
      </c>
    </row>
    <row r="2109" spans="1:2">
      <c r="A2109" s="3">
        <v>39545</v>
      </c>
      <c r="B2109" s="5">
        <v>974.6</v>
      </c>
    </row>
    <row r="2110" spans="1:2">
      <c r="A2110" s="3">
        <v>39546</v>
      </c>
      <c r="B2110" s="5">
        <v>975.7</v>
      </c>
    </row>
    <row r="2111" spans="1:2">
      <c r="A2111" s="3">
        <v>39547</v>
      </c>
      <c r="B2111" s="5">
        <v>975.8</v>
      </c>
    </row>
    <row r="2112" spans="1:2">
      <c r="A2112" s="3">
        <v>39548</v>
      </c>
      <c r="B2112" s="5">
        <v>976.1</v>
      </c>
    </row>
    <row r="2113" spans="1:2">
      <c r="A2113" s="3">
        <v>39549</v>
      </c>
      <c r="B2113" s="5">
        <v>975.4</v>
      </c>
    </row>
    <row r="2114" spans="1:2">
      <c r="A2114" s="3">
        <v>39552</v>
      </c>
      <c r="B2114" s="5">
        <v>979.3</v>
      </c>
    </row>
    <row r="2115" spans="1:2">
      <c r="A2115" s="3">
        <v>39553</v>
      </c>
      <c r="B2115" s="5">
        <v>986.5</v>
      </c>
    </row>
    <row r="2116" spans="1:2">
      <c r="A2116" s="3">
        <v>39554</v>
      </c>
      <c r="B2116" s="5">
        <v>989.25</v>
      </c>
    </row>
    <row r="2117" spans="1:2">
      <c r="A2117" s="3">
        <v>39555</v>
      </c>
      <c r="B2117" s="5">
        <v>991.5</v>
      </c>
    </row>
    <row r="2118" spans="1:2">
      <c r="A2118" s="3">
        <v>39556</v>
      </c>
      <c r="B2118" s="5">
        <v>997.55</v>
      </c>
    </row>
    <row r="2119" spans="1:2">
      <c r="A2119" s="3">
        <v>39559</v>
      </c>
      <c r="B2119" s="5">
        <v>991.2</v>
      </c>
    </row>
    <row r="2120" spans="1:2">
      <c r="A2120" s="3">
        <v>39560</v>
      </c>
      <c r="B2120" s="5">
        <v>996.8</v>
      </c>
    </row>
    <row r="2121" spans="1:2">
      <c r="A2121" s="3">
        <v>39561</v>
      </c>
      <c r="B2121" s="5">
        <v>990.7</v>
      </c>
    </row>
    <row r="2122" spans="1:2">
      <c r="A2122" s="3">
        <v>39562</v>
      </c>
      <c r="B2122" s="5">
        <v>996</v>
      </c>
    </row>
    <row r="2123" spans="1:2">
      <c r="A2123" s="3">
        <v>39563</v>
      </c>
      <c r="B2123" s="5">
        <v>995.5</v>
      </c>
    </row>
    <row r="2124" spans="1:2">
      <c r="A2124" s="3">
        <v>39566</v>
      </c>
      <c r="B2124" s="5">
        <v>996.2</v>
      </c>
    </row>
    <row r="2125" spans="1:2">
      <c r="A2125" s="3">
        <v>39567</v>
      </c>
      <c r="B2125" s="4">
        <v>1003.75</v>
      </c>
    </row>
    <row r="2126" spans="1:2">
      <c r="A2126" s="3">
        <v>39568</v>
      </c>
      <c r="B2126" s="4">
        <v>1002.75</v>
      </c>
    </row>
    <row r="2127" spans="1:2">
      <c r="A2127" s="3">
        <v>39569</v>
      </c>
      <c r="B2127" s="4">
        <v>1009</v>
      </c>
    </row>
    <row r="2128" spans="1:2">
      <c r="A2128" s="3">
        <v>39570</v>
      </c>
      <c r="B2128" s="4">
        <v>1009.75</v>
      </c>
    </row>
    <row r="2129" spans="1:2">
      <c r="A2129" s="3">
        <v>39573</v>
      </c>
      <c r="B2129" s="4">
        <v>1006.25</v>
      </c>
    </row>
    <row r="2130" spans="1:2">
      <c r="A2130" s="3">
        <v>39574</v>
      </c>
      <c r="B2130" s="4">
        <v>1007</v>
      </c>
    </row>
    <row r="2131" spans="1:2">
      <c r="A2131" s="3">
        <v>39575</v>
      </c>
      <c r="B2131" s="4">
        <v>1032.5</v>
      </c>
    </row>
    <row r="2132" spans="1:2">
      <c r="A2132" s="3">
        <v>39576</v>
      </c>
      <c r="B2132" s="4">
        <v>1040.25</v>
      </c>
    </row>
    <row r="2133" spans="1:2">
      <c r="A2133" s="3">
        <v>39577</v>
      </c>
      <c r="B2133" s="4">
        <v>1043.9000000000001</v>
      </c>
    </row>
    <row r="2134" spans="1:2">
      <c r="A2134" s="3">
        <v>39580</v>
      </c>
      <c r="B2134" s="4">
        <v>1041.5</v>
      </c>
    </row>
    <row r="2135" spans="1:2">
      <c r="A2135" s="3">
        <v>39581</v>
      </c>
      <c r="B2135" s="4">
        <v>1045.25</v>
      </c>
    </row>
    <row r="2136" spans="1:2">
      <c r="A2136" s="3">
        <v>39582</v>
      </c>
      <c r="B2136" s="4">
        <v>1047.25</v>
      </c>
    </row>
    <row r="2137" spans="1:2">
      <c r="A2137" s="3">
        <v>39583</v>
      </c>
      <c r="B2137" s="4">
        <v>1041</v>
      </c>
    </row>
    <row r="2138" spans="1:2">
      <c r="A2138" s="3">
        <v>39584</v>
      </c>
      <c r="B2138" s="4">
        <v>1037</v>
      </c>
    </row>
    <row r="2139" spans="1:2">
      <c r="A2139" s="3">
        <v>39587</v>
      </c>
      <c r="B2139" s="4">
        <v>1037.75</v>
      </c>
    </row>
    <row r="2140" spans="1:2">
      <c r="A2140" s="3">
        <v>39588</v>
      </c>
      <c r="B2140" s="4">
        <v>1050.25</v>
      </c>
    </row>
    <row r="2141" spans="1:2">
      <c r="A2141" s="3">
        <v>39589</v>
      </c>
      <c r="B2141" s="4">
        <v>1036.25</v>
      </c>
    </row>
    <row r="2142" spans="1:2">
      <c r="A2142" s="3">
        <v>39590</v>
      </c>
      <c r="B2142" s="4">
        <v>1039.25</v>
      </c>
    </row>
    <row r="2143" spans="1:2">
      <c r="A2143" s="3">
        <v>39591</v>
      </c>
      <c r="B2143" s="4">
        <v>1045.5</v>
      </c>
    </row>
    <row r="2144" spans="1:2">
      <c r="A2144" s="3">
        <v>39594</v>
      </c>
      <c r="B2144" s="4">
        <v>1048.4000000000001</v>
      </c>
    </row>
    <row r="2145" spans="1:2">
      <c r="A2145" s="3">
        <v>39595</v>
      </c>
      <c r="B2145" s="4">
        <v>1045.75</v>
      </c>
    </row>
    <row r="2146" spans="1:2">
      <c r="A2146" s="3">
        <v>39596</v>
      </c>
      <c r="B2146" s="4">
        <v>1031.75</v>
      </c>
    </row>
    <row r="2147" spans="1:2">
      <c r="A2147" s="3">
        <v>39597</v>
      </c>
      <c r="B2147" s="4">
        <v>1035.25</v>
      </c>
    </row>
    <row r="2148" spans="1:2">
      <c r="A2148" s="3">
        <v>39598</v>
      </c>
      <c r="B2148" s="4">
        <v>1028</v>
      </c>
    </row>
    <row r="2149" spans="1:2">
      <c r="A2149" s="3">
        <v>39601</v>
      </c>
      <c r="B2149" s="4">
        <v>1033.5</v>
      </c>
    </row>
    <row r="2150" spans="1:2">
      <c r="A2150" s="3">
        <v>39602</v>
      </c>
      <c r="B2150" s="4">
        <v>1011.75</v>
      </c>
    </row>
    <row r="2151" spans="1:2">
      <c r="A2151" s="3">
        <v>39603</v>
      </c>
      <c r="B2151" s="4">
        <v>1023</v>
      </c>
    </row>
    <row r="2152" spans="1:2">
      <c r="A2152" s="3">
        <v>39604</v>
      </c>
      <c r="B2152" s="4">
        <v>1023.5</v>
      </c>
    </row>
    <row r="2153" spans="1:2">
      <c r="A2153" s="3">
        <v>39605</v>
      </c>
      <c r="B2153" s="4">
        <v>1031</v>
      </c>
    </row>
    <row r="2154" spans="1:2">
      <c r="A2154" s="3">
        <v>39608</v>
      </c>
      <c r="B2154" s="4">
        <v>1033.25</v>
      </c>
    </row>
    <row r="2155" spans="1:2">
      <c r="A2155" s="3">
        <v>39609</v>
      </c>
      <c r="B2155" s="4">
        <v>1026.75</v>
      </c>
    </row>
    <row r="2156" spans="1:2">
      <c r="A2156" s="3">
        <v>39610</v>
      </c>
      <c r="B2156" s="4">
        <v>1030</v>
      </c>
    </row>
    <row r="2157" spans="1:2">
      <c r="A2157" s="3">
        <v>39611</v>
      </c>
      <c r="B2157" s="4">
        <v>1033.5</v>
      </c>
    </row>
    <row r="2158" spans="1:2">
      <c r="A2158" s="3">
        <v>39612</v>
      </c>
      <c r="B2158" s="4">
        <v>1044</v>
      </c>
    </row>
    <row r="2159" spans="1:2">
      <c r="A2159" s="3">
        <v>39615</v>
      </c>
      <c r="B2159" s="4">
        <v>1043.25</v>
      </c>
    </row>
    <row r="2160" spans="1:2">
      <c r="A2160" s="3">
        <v>39616</v>
      </c>
      <c r="B2160" s="4">
        <v>1018.5</v>
      </c>
    </row>
    <row r="2161" spans="1:2">
      <c r="A2161" s="3">
        <v>39617</v>
      </c>
      <c r="B2161" s="4">
        <v>1024.5</v>
      </c>
    </row>
    <row r="2162" spans="1:2">
      <c r="A2162" s="3">
        <v>39618</v>
      </c>
      <c r="B2162" s="4">
        <v>1032.25</v>
      </c>
    </row>
    <row r="2163" spans="1:2">
      <c r="A2163" s="3">
        <v>39619</v>
      </c>
      <c r="B2163" s="4">
        <v>1030.5</v>
      </c>
    </row>
    <row r="2164" spans="1:2">
      <c r="A2164" s="3">
        <v>39622</v>
      </c>
      <c r="B2164" s="4">
        <v>1023.75</v>
      </c>
    </row>
    <row r="2165" spans="1:2">
      <c r="A2165" s="3">
        <v>39623</v>
      </c>
      <c r="B2165" s="4">
        <v>1028.75</v>
      </c>
    </row>
    <row r="2166" spans="1:2">
      <c r="A2166" s="3">
        <v>39624</v>
      </c>
      <c r="B2166" s="4">
        <v>1034.5</v>
      </c>
    </row>
    <row r="2167" spans="1:2">
      <c r="A2167" s="3">
        <v>39625</v>
      </c>
      <c r="B2167" s="4">
        <v>1042.5</v>
      </c>
    </row>
    <row r="2168" spans="1:2">
      <c r="A2168" s="3">
        <v>39626</v>
      </c>
      <c r="B2168" s="4">
        <v>1043</v>
      </c>
    </row>
    <row r="2169" spans="1:2">
      <c r="A2169" s="3">
        <v>39629</v>
      </c>
      <c r="B2169" s="4">
        <v>1050.75</v>
      </c>
    </row>
    <row r="2170" spans="1:2">
      <c r="A2170" s="3">
        <v>39630</v>
      </c>
      <c r="B2170" s="4">
        <v>1048.75</v>
      </c>
    </row>
    <row r="2171" spans="1:2">
      <c r="A2171" s="3">
        <v>39631</v>
      </c>
      <c r="B2171" s="4">
        <v>1036.75</v>
      </c>
    </row>
    <row r="2172" spans="1:2">
      <c r="A2172" s="3">
        <v>39632</v>
      </c>
      <c r="B2172" s="4">
        <v>1044.5</v>
      </c>
    </row>
    <row r="2173" spans="1:2">
      <c r="A2173" s="3">
        <v>39633</v>
      </c>
      <c r="B2173" s="4">
        <v>1048.5999999999999</v>
      </c>
    </row>
    <row r="2174" spans="1:2">
      <c r="A2174" s="3">
        <v>39636</v>
      </c>
      <c r="B2174" s="4">
        <v>1039.25</v>
      </c>
    </row>
    <row r="2175" spans="1:2">
      <c r="A2175" s="3">
        <v>39637</v>
      </c>
      <c r="B2175" s="4">
        <v>1026</v>
      </c>
    </row>
    <row r="2176" spans="1:2">
      <c r="A2176" s="3">
        <v>39638</v>
      </c>
      <c r="B2176" s="4">
        <v>1004.7</v>
      </c>
    </row>
    <row r="2177" spans="1:2">
      <c r="A2177" s="3">
        <v>39639</v>
      </c>
      <c r="B2177" s="4">
        <v>1002.8</v>
      </c>
    </row>
    <row r="2178" spans="1:2">
      <c r="A2178" s="3">
        <v>39640</v>
      </c>
      <c r="B2178" s="4">
        <v>1002.25</v>
      </c>
    </row>
    <row r="2179" spans="1:2">
      <c r="A2179" s="3">
        <v>39643</v>
      </c>
      <c r="B2179" s="4">
        <v>1004.45</v>
      </c>
    </row>
    <row r="2180" spans="1:2">
      <c r="A2180" s="3">
        <v>39644</v>
      </c>
      <c r="B2180" s="4">
        <v>1007.9</v>
      </c>
    </row>
    <row r="2181" spans="1:2">
      <c r="A2181" s="3">
        <v>39645</v>
      </c>
      <c r="B2181" s="4">
        <v>1006.5</v>
      </c>
    </row>
    <row r="2182" spans="1:2">
      <c r="A2182" s="3">
        <v>39646</v>
      </c>
      <c r="B2182" s="4">
        <v>1008.25</v>
      </c>
    </row>
    <row r="2183" spans="1:2">
      <c r="A2183" s="3">
        <v>39647</v>
      </c>
      <c r="B2183" s="4">
        <v>1013</v>
      </c>
    </row>
    <row r="2184" spans="1:2">
      <c r="A2184" s="3">
        <v>39650</v>
      </c>
      <c r="B2184" s="4">
        <v>1018.75</v>
      </c>
    </row>
    <row r="2185" spans="1:2">
      <c r="A2185" s="3">
        <v>39651</v>
      </c>
      <c r="B2185" s="4">
        <v>1017</v>
      </c>
    </row>
    <row r="2186" spans="1:2">
      <c r="A2186" s="3">
        <v>39652</v>
      </c>
      <c r="B2186" s="4">
        <v>1009</v>
      </c>
    </row>
    <row r="2187" spans="1:2">
      <c r="A2187" s="3">
        <v>39653</v>
      </c>
      <c r="B2187" s="4">
        <v>1009.75</v>
      </c>
    </row>
    <row r="2188" spans="1:2">
      <c r="A2188" s="3">
        <v>39654</v>
      </c>
      <c r="B2188" s="4">
        <v>1007.25</v>
      </c>
    </row>
    <row r="2189" spans="1:2">
      <c r="A2189" s="3">
        <v>39657</v>
      </c>
      <c r="B2189" s="4">
        <v>1005.75</v>
      </c>
    </row>
    <row r="2190" spans="1:2">
      <c r="A2190" s="3">
        <v>39658</v>
      </c>
      <c r="B2190" s="4">
        <v>1004</v>
      </c>
    </row>
    <row r="2191" spans="1:2">
      <c r="A2191" s="3">
        <v>39659</v>
      </c>
      <c r="B2191" s="4">
        <v>1014.25</v>
      </c>
    </row>
    <row r="2192" spans="1:2">
      <c r="A2192" s="3">
        <v>39660</v>
      </c>
      <c r="B2192" s="4">
        <v>1012</v>
      </c>
    </row>
    <row r="2193" spans="1:2">
      <c r="A2193" s="3">
        <v>39661</v>
      </c>
      <c r="B2193" s="4">
        <v>1015.75</v>
      </c>
    </row>
    <row r="2194" spans="1:2">
      <c r="A2194" s="3">
        <v>39664</v>
      </c>
      <c r="B2194" s="4">
        <v>1017.25</v>
      </c>
    </row>
    <row r="2195" spans="1:2">
      <c r="A2195" s="3">
        <v>39665</v>
      </c>
      <c r="B2195" s="4">
        <v>1013.75</v>
      </c>
    </row>
    <row r="2196" spans="1:2">
      <c r="A2196" s="3">
        <v>39666</v>
      </c>
      <c r="B2196" s="4">
        <v>1015.5</v>
      </c>
    </row>
    <row r="2197" spans="1:2">
      <c r="A2197" s="3">
        <v>39667</v>
      </c>
      <c r="B2197" s="4">
        <v>1016</v>
      </c>
    </row>
    <row r="2198" spans="1:2">
      <c r="A2198" s="3">
        <v>39668</v>
      </c>
      <c r="B2198" s="4">
        <v>1029</v>
      </c>
    </row>
    <row r="2199" spans="1:2">
      <c r="A2199" s="3">
        <v>39671</v>
      </c>
      <c r="B2199" s="4">
        <v>1029</v>
      </c>
    </row>
    <row r="2200" spans="1:2">
      <c r="A2200" s="3">
        <v>39672</v>
      </c>
      <c r="B2200" s="4">
        <v>1033.5</v>
      </c>
    </row>
    <row r="2201" spans="1:2">
      <c r="A2201" s="3">
        <v>39673</v>
      </c>
      <c r="B2201" s="4">
        <v>1039.5</v>
      </c>
    </row>
    <row r="2202" spans="1:2">
      <c r="A2202" s="3">
        <v>39674</v>
      </c>
      <c r="B2202" s="4">
        <v>1039.5</v>
      </c>
    </row>
    <row r="2203" spans="1:2">
      <c r="A2203" s="3">
        <v>39675</v>
      </c>
      <c r="B2203" s="4">
        <v>1039.25</v>
      </c>
    </row>
    <row r="2204" spans="1:2">
      <c r="A2204" s="3">
        <v>39678</v>
      </c>
      <c r="B2204" s="4">
        <v>1038.25</v>
      </c>
    </row>
    <row r="2205" spans="1:2">
      <c r="A2205" s="3">
        <v>39679</v>
      </c>
      <c r="B2205" s="4">
        <v>1053</v>
      </c>
    </row>
    <row r="2206" spans="1:2">
      <c r="A2206" s="3">
        <v>39680</v>
      </c>
      <c r="B2206" s="4">
        <v>1043.5</v>
      </c>
    </row>
    <row r="2207" spans="1:2">
      <c r="A2207" s="3">
        <v>39681</v>
      </c>
      <c r="B2207" s="4">
        <v>1049.5</v>
      </c>
    </row>
    <row r="2208" spans="1:2">
      <c r="A2208" s="3">
        <v>39682</v>
      </c>
      <c r="B2208" s="4">
        <v>1063.25</v>
      </c>
    </row>
    <row r="2209" spans="1:2">
      <c r="A2209" s="3">
        <v>39685</v>
      </c>
      <c r="B2209" s="4">
        <v>1075.5</v>
      </c>
    </row>
    <row r="2210" spans="1:2">
      <c r="A2210" s="3">
        <v>39686</v>
      </c>
      <c r="B2210" s="4">
        <v>1086.25</v>
      </c>
    </row>
    <row r="2211" spans="1:2">
      <c r="A2211" s="3">
        <v>39687</v>
      </c>
      <c r="B2211" s="4">
        <v>1084</v>
      </c>
    </row>
    <row r="2212" spans="1:2">
      <c r="A2212" s="3">
        <v>39688</v>
      </c>
      <c r="B2212" s="4">
        <v>1084.75</v>
      </c>
    </row>
    <row r="2213" spans="1:2">
      <c r="A2213" s="3">
        <v>39689</v>
      </c>
      <c r="B2213" s="4">
        <v>1089</v>
      </c>
    </row>
    <row r="2214" spans="1:2">
      <c r="A2214" s="3">
        <v>39692</v>
      </c>
      <c r="B2214" s="4">
        <v>1115.75</v>
      </c>
    </row>
    <row r="2215" spans="1:2">
      <c r="A2215" s="3">
        <v>39693</v>
      </c>
      <c r="B2215" s="4">
        <v>1131.25</v>
      </c>
    </row>
    <row r="2216" spans="1:2">
      <c r="A2216" s="3">
        <v>39694</v>
      </c>
      <c r="B2216" s="4">
        <v>1147.9000000000001</v>
      </c>
    </row>
    <row r="2217" spans="1:2">
      <c r="A2217" s="3">
        <v>39695</v>
      </c>
      <c r="B2217" s="4">
        <v>1130.5</v>
      </c>
    </row>
    <row r="2218" spans="1:2">
      <c r="A2218" s="3">
        <v>39696</v>
      </c>
      <c r="B2218" s="4">
        <v>1117.3</v>
      </c>
    </row>
    <row r="2219" spans="1:2">
      <c r="A2219" s="3">
        <v>39699</v>
      </c>
      <c r="B2219" s="4">
        <v>1080.3</v>
      </c>
    </row>
    <row r="2220" spans="1:2">
      <c r="A2220" s="3">
        <v>39700</v>
      </c>
      <c r="B2220" s="4">
        <v>1094.75</v>
      </c>
    </row>
    <row r="2221" spans="1:2">
      <c r="A2221" s="3">
        <v>39701</v>
      </c>
      <c r="B2221" s="4">
        <v>1091.25</v>
      </c>
    </row>
    <row r="2222" spans="1:2">
      <c r="A2222" s="3">
        <v>39702</v>
      </c>
      <c r="B2222" s="4">
        <v>1106</v>
      </c>
    </row>
    <row r="2223" spans="1:2">
      <c r="A2223" s="3">
        <v>39703</v>
      </c>
      <c r="B2223" s="4">
        <v>1106.5</v>
      </c>
    </row>
    <row r="2224" spans="1:2">
      <c r="A2224" s="3">
        <v>39706</v>
      </c>
      <c r="B2224" s="4">
        <v>1111</v>
      </c>
    </row>
    <row r="2225" spans="1:2">
      <c r="A2225" s="3">
        <v>39707</v>
      </c>
      <c r="B2225" s="4">
        <v>1158.3</v>
      </c>
    </row>
    <row r="2226" spans="1:2">
      <c r="A2226" s="3">
        <v>39708</v>
      </c>
      <c r="B2226" s="4">
        <v>1115.4000000000001</v>
      </c>
    </row>
    <row r="2227" spans="1:2">
      <c r="A2227" s="3">
        <v>39709</v>
      </c>
      <c r="B2227" s="4">
        <v>1152.4000000000001</v>
      </c>
    </row>
    <row r="2228" spans="1:2">
      <c r="A2228" s="3">
        <v>39710</v>
      </c>
      <c r="B2228" s="4">
        <v>1139.4000000000001</v>
      </c>
    </row>
    <row r="2229" spans="1:2">
      <c r="A2229" s="3">
        <v>39713</v>
      </c>
      <c r="B2229" s="4">
        <v>1134.4000000000001</v>
      </c>
    </row>
    <row r="2230" spans="1:2">
      <c r="A2230" s="3">
        <v>39714</v>
      </c>
      <c r="B2230" s="4">
        <v>1146.5</v>
      </c>
    </row>
    <row r="2231" spans="1:2">
      <c r="A2231" s="3">
        <v>39715</v>
      </c>
      <c r="B2231" s="4">
        <v>1153.5</v>
      </c>
    </row>
    <row r="2232" spans="1:2">
      <c r="A2232" s="3">
        <v>39716</v>
      </c>
      <c r="B2232" s="4">
        <v>1157.4000000000001</v>
      </c>
    </row>
    <row r="2233" spans="1:2">
      <c r="A2233" s="3">
        <v>39717</v>
      </c>
      <c r="B2233" s="4">
        <v>1160.0999999999999</v>
      </c>
    </row>
    <row r="2234" spans="1:2">
      <c r="A2234" s="3">
        <v>39720</v>
      </c>
      <c r="B2234" s="4">
        <v>1185</v>
      </c>
    </row>
    <row r="2235" spans="1:2">
      <c r="A2235" s="3">
        <v>39721</v>
      </c>
      <c r="B2235" s="4">
        <v>1206.3</v>
      </c>
    </row>
    <row r="2236" spans="1:2">
      <c r="A2236" s="3">
        <v>39722</v>
      </c>
      <c r="B2236" s="4">
        <v>1187.2</v>
      </c>
    </row>
    <row r="2237" spans="1:2">
      <c r="A2237" s="3">
        <v>39723</v>
      </c>
      <c r="B2237" s="4">
        <v>1222.9000000000001</v>
      </c>
    </row>
    <row r="2238" spans="1:2">
      <c r="A2238" s="3">
        <v>39724</v>
      </c>
      <c r="B2238" s="4">
        <v>1220.9000000000001</v>
      </c>
    </row>
    <row r="2239" spans="1:2">
      <c r="A2239" s="3">
        <v>39727</v>
      </c>
      <c r="B2239" s="4">
        <v>1267.4000000000001</v>
      </c>
    </row>
    <row r="2240" spans="1:2">
      <c r="A2240" s="3">
        <v>39728</v>
      </c>
      <c r="B2240" s="4">
        <v>1328.4</v>
      </c>
    </row>
    <row r="2241" spans="1:2">
      <c r="A2241" s="3">
        <v>39729</v>
      </c>
      <c r="B2241" s="4">
        <v>1394</v>
      </c>
    </row>
    <row r="2242" spans="1:2">
      <c r="A2242" s="3">
        <v>39730</v>
      </c>
      <c r="B2242" s="4">
        <v>1381.4</v>
      </c>
    </row>
    <row r="2243" spans="1:2">
      <c r="A2243" s="3">
        <v>39731</v>
      </c>
      <c r="B2243" s="4">
        <v>1306.4000000000001</v>
      </c>
    </row>
    <row r="2244" spans="1:2">
      <c r="A2244" s="3">
        <v>39734</v>
      </c>
      <c r="B2244" s="4">
        <v>1238.4000000000001</v>
      </c>
    </row>
    <row r="2245" spans="1:2">
      <c r="A2245" s="3">
        <v>39735</v>
      </c>
      <c r="B2245" s="4">
        <v>1205.5999999999999</v>
      </c>
    </row>
    <row r="2246" spans="1:2">
      <c r="A2246" s="3">
        <v>39736</v>
      </c>
      <c r="B2246" s="4">
        <v>1237.5</v>
      </c>
    </row>
    <row r="2247" spans="1:2">
      <c r="A2247" s="3">
        <v>39737</v>
      </c>
      <c r="B2247" s="4">
        <v>1369.5</v>
      </c>
    </row>
    <row r="2248" spans="1:2">
      <c r="A2248" s="3">
        <v>39738</v>
      </c>
      <c r="B2248" s="4">
        <v>1333.3</v>
      </c>
    </row>
    <row r="2249" spans="1:2">
      <c r="A2249" s="3">
        <v>39741</v>
      </c>
      <c r="B2249" s="4">
        <v>1308</v>
      </c>
    </row>
    <row r="2250" spans="1:2">
      <c r="A2250" s="3">
        <v>39742</v>
      </c>
      <c r="B2250" s="4">
        <v>1319.5</v>
      </c>
    </row>
    <row r="2251" spans="1:2">
      <c r="A2251" s="3">
        <v>39743</v>
      </c>
      <c r="B2251" s="4">
        <v>1361.5</v>
      </c>
    </row>
    <row r="2252" spans="1:2">
      <c r="A2252" s="3">
        <v>39744</v>
      </c>
      <c r="B2252" s="4">
        <v>1401.5</v>
      </c>
    </row>
    <row r="2253" spans="1:2">
      <c r="A2253" s="3">
        <v>39745</v>
      </c>
      <c r="B2253" s="4">
        <v>1424.5</v>
      </c>
    </row>
    <row r="2254" spans="1:2">
      <c r="A2254" s="3">
        <v>39748</v>
      </c>
      <c r="B2254" s="4">
        <v>1457.75</v>
      </c>
    </row>
    <row r="2255" spans="1:2">
      <c r="A2255" s="3">
        <v>39749</v>
      </c>
      <c r="B2255" s="4">
        <v>1455.1</v>
      </c>
    </row>
    <row r="2256" spans="1:2">
      <c r="A2256" s="3">
        <v>39750</v>
      </c>
      <c r="B2256" s="4">
        <v>1387.5</v>
      </c>
    </row>
    <row r="2257" spans="1:2">
      <c r="A2257" s="3">
        <v>39751</v>
      </c>
      <c r="B2257" s="4">
        <v>1237</v>
      </c>
    </row>
    <row r="2258" spans="1:2">
      <c r="A2258" s="3">
        <v>39752</v>
      </c>
      <c r="B2258" s="4">
        <v>1274.5</v>
      </c>
    </row>
    <row r="2259" spans="1:2">
      <c r="A2259" s="3">
        <v>39755</v>
      </c>
      <c r="B2259" s="4">
        <v>1262</v>
      </c>
    </row>
    <row r="2260" spans="1:2">
      <c r="A2260" s="3">
        <v>39756</v>
      </c>
      <c r="B2260" s="4">
        <v>1267.5</v>
      </c>
    </row>
    <row r="2261" spans="1:2">
      <c r="A2261" s="3">
        <v>39757</v>
      </c>
      <c r="B2261" s="4">
        <v>1266.3</v>
      </c>
    </row>
    <row r="2262" spans="1:2">
      <c r="A2262" s="3">
        <v>39758</v>
      </c>
      <c r="B2262" s="4">
        <v>1330.8</v>
      </c>
    </row>
    <row r="2263" spans="1:2">
      <c r="A2263" s="3">
        <v>39759</v>
      </c>
      <c r="B2263" s="4">
        <v>1322.5</v>
      </c>
    </row>
    <row r="2264" spans="1:2">
      <c r="A2264" s="3">
        <v>39762</v>
      </c>
      <c r="B2264" s="4">
        <v>1327.5</v>
      </c>
    </row>
    <row r="2265" spans="1:2">
      <c r="A2265" s="3">
        <v>39763</v>
      </c>
      <c r="B2265" s="4">
        <v>1326.5</v>
      </c>
    </row>
    <row r="2266" spans="1:2">
      <c r="A2266" s="3">
        <v>39764</v>
      </c>
      <c r="B2266" s="4">
        <v>1354.5</v>
      </c>
    </row>
    <row r="2267" spans="1:2">
      <c r="A2267" s="3">
        <v>39765</v>
      </c>
      <c r="B2267" s="4">
        <v>1390</v>
      </c>
    </row>
    <row r="2268" spans="1:2">
      <c r="A2268" s="3">
        <v>39766</v>
      </c>
      <c r="B2268" s="4">
        <v>1399.3</v>
      </c>
    </row>
    <row r="2269" spans="1:2">
      <c r="A2269" s="3">
        <v>39769</v>
      </c>
      <c r="B2269" s="4">
        <v>1406.9</v>
      </c>
    </row>
    <row r="2270" spans="1:2">
      <c r="A2270" s="3">
        <v>39770</v>
      </c>
      <c r="B2270" s="4">
        <v>1447.4</v>
      </c>
    </row>
    <row r="2271" spans="1:2">
      <c r="A2271" s="3">
        <v>39771</v>
      </c>
      <c r="B2271" s="4">
        <v>1445.9</v>
      </c>
    </row>
    <row r="2272" spans="1:2">
      <c r="A2272" s="3">
        <v>39772</v>
      </c>
      <c r="B2272" s="4">
        <v>1496</v>
      </c>
    </row>
    <row r="2273" spans="1:2">
      <c r="A2273" s="3">
        <v>39773</v>
      </c>
      <c r="B2273" s="4">
        <v>1493.3</v>
      </c>
    </row>
    <row r="2274" spans="1:2">
      <c r="A2274" s="3">
        <v>39776</v>
      </c>
      <c r="B2274" s="4">
        <v>1507.9</v>
      </c>
    </row>
    <row r="2275" spans="1:2">
      <c r="A2275" s="3">
        <v>39777</v>
      </c>
      <c r="B2275" s="4">
        <v>1501.4</v>
      </c>
    </row>
    <row r="2276" spans="1:2">
      <c r="A2276" s="3">
        <v>39778</v>
      </c>
      <c r="B2276" s="4">
        <v>1477.3</v>
      </c>
    </row>
    <row r="2277" spans="1:2">
      <c r="A2277" s="3">
        <v>39779</v>
      </c>
      <c r="B2277" s="4">
        <v>1475.4</v>
      </c>
    </row>
    <row r="2278" spans="1:2">
      <c r="A2278" s="3">
        <v>39780</v>
      </c>
      <c r="B2278" s="4">
        <v>1468</v>
      </c>
    </row>
    <row r="2279" spans="1:2">
      <c r="A2279" s="3">
        <v>39783</v>
      </c>
      <c r="B2279" s="4">
        <v>1439.4</v>
      </c>
    </row>
    <row r="2280" spans="1:2">
      <c r="A2280" s="3">
        <v>39784</v>
      </c>
      <c r="B2280" s="4">
        <v>1463</v>
      </c>
    </row>
    <row r="2281" spans="1:2">
      <c r="A2281" s="3">
        <v>39785</v>
      </c>
      <c r="B2281" s="4">
        <v>1467.8</v>
      </c>
    </row>
    <row r="2282" spans="1:2">
      <c r="A2282" s="3">
        <v>39786</v>
      </c>
      <c r="B2282" s="4">
        <v>1481</v>
      </c>
    </row>
    <row r="2283" spans="1:2">
      <c r="A2283" s="3">
        <v>39787</v>
      </c>
      <c r="B2283" s="4">
        <v>1474.5</v>
      </c>
    </row>
    <row r="2284" spans="1:2">
      <c r="A2284" s="3">
        <v>39790</v>
      </c>
      <c r="B2284" s="4">
        <v>1447</v>
      </c>
    </row>
    <row r="2285" spans="1:2">
      <c r="A2285" s="3">
        <v>39791</v>
      </c>
      <c r="B2285" s="4">
        <v>1430</v>
      </c>
    </row>
    <row r="2286" spans="1:2">
      <c r="A2286" s="3">
        <v>39792</v>
      </c>
      <c r="B2286" s="4">
        <v>1393</v>
      </c>
    </row>
    <row r="2287" spans="1:2">
      <c r="A2287" s="3">
        <v>39793</v>
      </c>
      <c r="B2287" s="4">
        <v>1354.5</v>
      </c>
    </row>
    <row r="2288" spans="1:2">
      <c r="A2288" s="3">
        <v>39794</v>
      </c>
      <c r="B2288" s="4">
        <v>1369</v>
      </c>
    </row>
    <row r="2289" spans="1:2">
      <c r="A2289" s="3">
        <v>39797</v>
      </c>
      <c r="B2289" s="4">
        <v>1360.9</v>
      </c>
    </row>
    <row r="2290" spans="1:2">
      <c r="A2290" s="3">
        <v>39798</v>
      </c>
      <c r="B2290" s="4">
        <v>1347.4</v>
      </c>
    </row>
    <row r="2291" spans="1:2">
      <c r="A2291" s="3">
        <v>39799</v>
      </c>
      <c r="B2291" s="4">
        <v>1324</v>
      </c>
    </row>
    <row r="2292" spans="1:2">
      <c r="A2292" s="3">
        <v>39800</v>
      </c>
      <c r="B2292" s="4">
        <v>1285</v>
      </c>
    </row>
    <row r="2293" spans="1:2">
      <c r="A2293" s="3">
        <v>39801</v>
      </c>
      <c r="B2293" s="4">
        <v>1282</v>
      </c>
    </row>
    <row r="2294" spans="1:2">
      <c r="A2294" s="3">
        <v>39804</v>
      </c>
      <c r="B2294" s="4">
        <v>1308</v>
      </c>
    </row>
    <row r="2295" spans="1:2">
      <c r="A2295" s="3">
        <v>39805</v>
      </c>
      <c r="B2295" s="4">
        <v>1331</v>
      </c>
    </row>
    <row r="2296" spans="1:2">
      <c r="A2296" s="3">
        <v>39806</v>
      </c>
      <c r="B2296" s="4">
        <v>1304.3</v>
      </c>
    </row>
    <row r="2297" spans="1:2">
      <c r="A2297" s="3">
        <v>39807</v>
      </c>
      <c r="B2297" s="4">
        <v>1304.3</v>
      </c>
    </row>
    <row r="2298" spans="1:2">
      <c r="A2298" s="3">
        <v>39808</v>
      </c>
      <c r="B2298" s="4">
        <v>1298.9000000000001</v>
      </c>
    </row>
    <row r="2299" spans="1:2">
      <c r="A2299" s="3">
        <v>39811</v>
      </c>
      <c r="B2299" s="4">
        <v>1262</v>
      </c>
    </row>
    <row r="2300" spans="1:2">
      <c r="A2300" s="3">
        <v>39812</v>
      </c>
      <c r="B2300" s="4">
        <v>1257.4000000000001</v>
      </c>
    </row>
    <row r="2301" spans="1:2">
      <c r="A2301" s="3">
        <v>39813</v>
      </c>
      <c r="B2301" s="4">
        <v>1262</v>
      </c>
    </row>
    <row r="2302" spans="1:2">
      <c r="A2302" s="3">
        <v>39814</v>
      </c>
      <c r="B2302" s="4">
        <v>1262</v>
      </c>
    </row>
    <row r="2303" spans="1:2">
      <c r="A2303" s="3">
        <v>39815</v>
      </c>
      <c r="B2303" s="4">
        <v>1316.5</v>
      </c>
    </row>
    <row r="2304" spans="1:2">
      <c r="A2304" s="3">
        <v>39818</v>
      </c>
      <c r="B2304" s="4">
        <v>1309</v>
      </c>
    </row>
    <row r="2305" spans="1:2">
      <c r="A2305" s="3">
        <v>39819</v>
      </c>
      <c r="B2305" s="4">
        <v>1307</v>
      </c>
    </row>
    <row r="2306" spans="1:2">
      <c r="A2306" s="3">
        <v>39820</v>
      </c>
      <c r="B2306" s="4">
        <v>1292.3</v>
      </c>
    </row>
    <row r="2307" spans="1:2">
      <c r="A2307" s="3">
        <v>39821</v>
      </c>
      <c r="B2307" s="4">
        <v>1328.25</v>
      </c>
    </row>
    <row r="2308" spans="1:2">
      <c r="A2308" s="3">
        <v>39822</v>
      </c>
      <c r="B2308" s="4">
        <v>1345.5</v>
      </c>
    </row>
    <row r="2309" spans="1:2">
      <c r="A2309" s="3">
        <v>39825</v>
      </c>
      <c r="B2309" s="4">
        <v>1349</v>
      </c>
    </row>
    <row r="2310" spans="1:2">
      <c r="A2310" s="3">
        <v>39826</v>
      </c>
      <c r="B2310" s="4">
        <v>1353</v>
      </c>
    </row>
    <row r="2311" spans="1:2">
      <c r="A2311" s="3">
        <v>39827</v>
      </c>
      <c r="B2311" s="4">
        <v>1353</v>
      </c>
    </row>
    <row r="2312" spans="1:2">
      <c r="A2312" s="3">
        <v>39828</v>
      </c>
      <c r="B2312" s="4">
        <v>1391.5</v>
      </c>
    </row>
    <row r="2313" spans="1:2">
      <c r="A2313" s="3">
        <v>39829</v>
      </c>
      <c r="B2313" s="4">
        <v>1351.5</v>
      </c>
    </row>
    <row r="2314" spans="1:2">
      <c r="A2314" s="3">
        <v>39832</v>
      </c>
      <c r="B2314" s="4">
        <v>1357</v>
      </c>
    </row>
    <row r="2315" spans="1:2">
      <c r="A2315" s="3">
        <v>39833</v>
      </c>
      <c r="B2315" s="4">
        <v>1364</v>
      </c>
    </row>
    <row r="2316" spans="1:2">
      <c r="A2316" s="3">
        <v>39834</v>
      </c>
      <c r="B2316" s="4">
        <v>1368</v>
      </c>
    </row>
    <row r="2317" spans="1:2">
      <c r="A2317" s="3">
        <v>39835</v>
      </c>
      <c r="B2317" s="4">
        <v>1374</v>
      </c>
    </row>
    <row r="2318" spans="1:2">
      <c r="A2318" s="3">
        <v>39836</v>
      </c>
      <c r="B2318" s="4">
        <v>1390.8</v>
      </c>
    </row>
    <row r="2319" spans="1:2">
      <c r="A2319" s="3">
        <v>39839</v>
      </c>
      <c r="B2319" s="4">
        <v>1390.8</v>
      </c>
    </row>
    <row r="2320" spans="1:2">
      <c r="A2320" s="3">
        <v>39840</v>
      </c>
      <c r="B2320" s="4">
        <v>1390</v>
      </c>
    </row>
    <row r="2321" spans="1:2">
      <c r="A2321" s="3">
        <v>39841</v>
      </c>
      <c r="B2321" s="4">
        <v>1369</v>
      </c>
    </row>
    <row r="2322" spans="1:2">
      <c r="A2322" s="3">
        <v>39842</v>
      </c>
      <c r="B2322" s="4">
        <v>1369</v>
      </c>
    </row>
    <row r="2323" spans="1:2">
      <c r="A2323" s="3">
        <v>39843</v>
      </c>
      <c r="B2323" s="4">
        <v>1380</v>
      </c>
    </row>
    <row r="2324" spans="1:2">
      <c r="A2324" s="3">
        <v>39846</v>
      </c>
      <c r="B2324" s="4">
        <v>1390</v>
      </c>
    </row>
    <row r="2325" spans="1:2">
      <c r="A2325" s="3">
        <v>39847</v>
      </c>
      <c r="B2325" s="4">
        <v>1394.5</v>
      </c>
    </row>
    <row r="2326" spans="1:2">
      <c r="A2326" s="3">
        <v>39848</v>
      </c>
      <c r="B2326" s="4">
        <v>1378.4</v>
      </c>
    </row>
    <row r="2327" spans="1:2">
      <c r="A2327" s="3">
        <v>39849</v>
      </c>
      <c r="B2327" s="4">
        <v>1371</v>
      </c>
    </row>
    <row r="2328" spans="1:2">
      <c r="A2328" s="3">
        <v>39850</v>
      </c>
      <c r="B2328" s="4">
        <v>1365.7</v>
      </c>
    </row>
    <row r="2329" spans="1:2">
      <c r="A2329" s="3">
        <v>39853</v>
      </c>
      <c r="B2329" s="4">
        <v>1374</v>
      </c>
    </row>
    <row r="2330" spans="1:2">
      <c r="A2330" s="3">
        <v>39854</v>
      </c>
      <c r="B2330" s="4">
        <v>1388</v>
      </c>
    </row>
    <row r="2331" spans="1:2">
      <c r="A2331" s="3">
        <v>39855</v>
      </c>
      <c r="B2331" s="4">
        <v>1390</v>
      </c>
    </row>
    <row r="2332" spans="1:2">
      <c r="A2332" s="3">
        <v>39856</v>
      </c>
      <c r="B2332" s="4">
        <v>1394</v>
      </c>
    </row>
    <row r="2333" spans="1:2">
      <c r="A2333" s="3">
        <v>39857</v>
      </c>
      <c r="B2333" s="4">
        <v>1403.5</v>
      </c>
    </row>
    <row r="2334" spans="1:2">
      <c r="A2334" s="3">
        <v>39860</v>
      </c>
      <c r="B2334" s="4">
        <v>1427.2</v>
      </c>
    </row>
    <row r="2335" spans="1:2">
      <c r="A2335" s="3">
        <v>39861</v>
      </c>
      <c r="B2335" s="4">
        <v>1454.8</v>
      </c>
    </row>
    <row r="2336" spans="1:2">
      <c r="A2336" s="3">
        <v>39862</v>
      </c>
      <c r="B2336" s="4">
        <v>1459</v>
      </c>
    </row>
    <row r="2337" spans="1:2">
      <c r="A2337" s="3">
        <v>39863</v>
      </c>
      <c r="B2337" s="4">
        <v>1480.7</v>
      </c>
    </row>
    <row r="2338" spans="1:2">
      <c r="A2338" s="3">
        <v>39864</v>
      </c>
      <c r="B2338" s="4">
        <v>1519.5</v>
      </c>
    </row>
    <row r="2339" spans="1:2">
      <c r="A2339" s="3">
        <v>39867</v>
      </c>
      <c r="B2339" s="4">
        <v>1495.5</v>
      </c>
    </row>
    <row r="2340" spans="1:2">
      <c r="A2340" s="3">
        <v>39868</v>
      </c>
      <c r="B2340" s="4">
        <v>1516</v>
      </c>
    </row>
    <row r="2341" spans="1:2">
      <c r="A2341" s="3">
        <v>39869</v>
      </c>
      <c r="B2341" s="4">
        <v>1515.7</v>
      </c>
    </row>
    <row r="2342" spans="1:2">
      <c r="A2342" s="3">
        <v>39870</v>
      </c>
      <c r="B2342" s="4">
        <v>1516.9</v>
      </c>
    </row>
    <row r="2343" spans="1:2">
      <c r="A2343" s="3">
        <v>39871</v>
      </c>
      <c r="B2343" s="4">
        <v>1532.7</v>
      </c>
    </row>
    <row r="2344" spans="1:2">
      <c r="A2344" s="3">
        <v>39874</v>
      </c>
      <c r="B2344" s="4">
        <v>1570.1</v>
      </c>
    </row>
    <row r="2345" spans="1:2">
      <c r="A2345" s="3">
        <v>39875</v>
      </c>
      <c r="B2345" s="4">
        <v>1551.2</v>
      </c>
    </row>
    <row r="2346" spans="1:2">
      <c r="A2346" s="3">
        <v>39876</v>
      </c>
      <c r="B2346" s="4">
        <v>1550.8</v>
      </c>
    </row>
    <row r="2347" spans="1:2">
      <c r="A2347" s="3">
        <v>39877</v>
      </c>
      <c r="B2347" s="4">
        <v>1567.2</v>
      </c>
    </row>
    <row r="2348" spans="1:2">
      <c r="A2348" s="3">
        <v>39878</v>
      </c>
      <c r="B2348" s="4">
        <v>1544</v>
      </c>
    </row>
    <row r="2349" spans="1:2">
      <c r="A2349" s="3">
        <v>39881</v>
      </c>
      <c r="B2349" s="4">
        <v>1541</v>
      </c>
    </row>
    <row r="2350" spans="1:2">
      <c r="A2350" s="3">
        <v>39882</v>
      </c>
      <c r="B2350" s="4">
        <v>1501</v>
      </c>
    </row>
    <row r="2351" spans="1:2">
      <c r="A2351" s="3">
        <v>39883</v>
      </c>
      <c r="B2351" s="4">
        <v>1466</v>
      </c>
    </row>
    <row r="2352" spans="1:2">
      <c r="A2352" s="3">
        <v>39884</v>
      </c>
      <c r="B2352" s="4">
        <v>1492</v>
      </c>
    </row>
    <row r="2353" spans="1:2">
      <c r="A2353" s="3">
        <v>39885</v>
      </c>
      <c r="B2353" s="4">
        <v>1481.2</v>
      </c>
    </row>
    <row r="2354" spans="1:2">
      <c r="A2354" s="3">
        <v>39888</v>
      </c>
      <c r="B2354" s="4">
        <v>1435</v>
      </c>
    </row>
    <row r="2355" spans="1:2">
      <c r="A2355" s="3">
        <v>39889</v>
      </c>
      <c r="B2355" s="4">
        <v>1415.75</v>
      </c>
    </row>
    <row r="2356" spans="1:2">
      <c r="A2356" s="3">
        <v>39890</v>
      </c>
      <c r="B2356" s="4">
        <v>1409</v>
      </c>
    </row>
    <row r="2357" spans="1:2">
      <c r="A2357" s="3">
        <v>39891</v>
      </c>
      <c r="B2357" s="4">
        <v>1392</v>
      </c>
    </row>
    <row r="2358" spans="1:2">
      <c r="A2358" s="3">
        <v>39892</v>
      </c>
      <c r="B2358" s="4">
        <v>1396.5</v>
      </c>
    </row>
    <row r="2359" spans="1:2">
      <c r="A2359" s="3">
        <v>39895</v>
      </c>
      <c r="B2359" s="4">
        <v>1382.9</v>
      </c>
    </row>
    <row r="2360" spans="1:2">
      <c r="A2360" s="3">
        <v>39896</v>
      </c>
      <c r="B2360" s="4">
        <v>1381.9</v>
      </c>
    </row>
    <row r="2361" spans="1:2">
      <c r="A2361" s="3">
        <v>39897</v>
      </c>
      <c r="B2361" s="4">
        <v>1355.6</v>
      </c>
    </row>
    <row r="2362" spans="1:2">
      <c r="A2362" s="3">
        <v>39898</v>
      </c>
      <c r="B2362" s="4">
        <v>1326.8</v>
      </c>
    </row>
    <row r="2363" spans="1:2">
      <c r="A2363" s="3">
        <v>39899</v>
      </c>
      <c r="B2363" s="4">
        <v>1344</v>
      </c>
    </row>
    <row r="2364" spans="1:2">
      <c r="A2364" s="3">
        <v>39902</v>
      </c>
      <c r="B2364" s="4">
        <v>1391.9</v>
      </c>
    </row>
    <row r="2365" spans="1:2">
      <c r="A2365" s="3">
        <v>39903</v>
      </c>
      <c r="B2365" s="4">
        <v>1372.3</v>
      </c>
    </row>
    <row r="2366" spans="1:2">
      <c r="A2366" s="3">
        <v>39904</v>
      </c>
      <c r="B2366" s="4">
        <v>1366</v>
      </c>
    </row>
    <row r="2367" spans="1:2">
      <c r="A2367" s="3">
        <v>39905</v>
      </c>
      <c r="B2367" s="4">
        <v>1329.5</v>
      </c>
    </row>
    <row r="2368" spans="1:2">
      <c r="A2368" s="3">
        <v>39906</v>
      </c>
      <c r="B2368" s="4">
        <v>1335.5</v>
      </c>
    </row>
    <row r="2369" spans="1:2">
      <c r="A2369" s="3">
        <v>39909</v>
      </c>
      <c r="B2369" s="4">
        <v>1304.5</v>
      </c>
    </row>
    <row r="2370" spans="1:2">
      <c r="A2370" s="3">
        <v>39910</v>
      </c>
      <c r="B2370" s="4">
        <v>1317.5</v>
      </c>
    </row>
    <row r="2371" spans="1:2">
      <c r="A2371" s="3">
        <v>39911</v>
      </c>
      <c r="B2371" s="4">
        <v>1349.5</v>
      </c>
    </row>
    <row r="2372" spans="1:2">
      <c r="A2372" s="3">
        <v>39912</v>
      </c>
      <c r="B2372" s="4">
        <v>1316</v>
      </c>
    </row>
    <row r="2373" spans="1:2">
      <c r="A2373" s="3">
        <v>39913</v>
      </c>
      <c r="B2373" s="4">
        <v>1328</v>
      </c>
    </row>
    <row r="2374" spans="1:2">
      <c r="A2374" s="3">
        <v>39916</v>
      </c>
      <c r="B2374" s="4">
        <v>1324</v>
      </c>
    </row>
    <row r="2375" spans="1:2">
      <c r="A2375" s="3">
        <v>39917</v>
      </c>
      <c r="B2375" s="4">
        <v>1319.5</v>
      </c>
    </row>
    <row r="2376" spans="1:2">
      <c r="A2376" s="3">
        <v>39918</v>
      </c>
      <c r="B2376" s="4">
        <v>1333</v>
      </c>
    </row>
    <row r="2377" spans="1:2">
      <c r="A2377" s="3">
        <v>39919</v>
      </c>
      <c r="B2377" s="4">
        <v>1331</v>
      </c>
    </row>
    <row r="2378" spans="1:2">
      <c r="A2378" s="3">
        <v>39920</v>
      </c>
      <c r="B2378" s="4">
        <v>1327</v>
      </c>
    </row>
    <row r="2379" spans="1:2">
      <c r="A2379" s="3">
        <v>39923</v>
      </c>
      <c r="B2379" s="4">
        <v>1330</v>
      </c>
    </row>
    <row r="2380" spans="1:2">
      <c r="A2380" s="3">
        <v>39924</v>
      </c>
      <c r="B2380" s="4">
        <v>1349.25</v>
      </c>
    </row>
    <row r="2381" spans="1:2">
      <c r="A2381" s="3">
        <v>39925</v>
      </c>
      <c r="B2381" s="4">
        <v>1345.5</v>
      </c>
    </row>
    <row r="2382" spans="1:2">
      <c r="A2382" s="3">
        <v>39926</v>
      </c>
      <c r="B2382" s="4">
        <v>1343</v>
      </c>
    </row>
    <row r="2383" spans="1:2">
      <c r="A2383" s="3">
        <v>39927</v>
      </c>
      <c r="B2383" s="4">
        <v>1338.2</v>
      </c>
    </row>
    <row r="2384" spans="1:2">
      <c r="A2384" s="3">
        <v>39930</v>
      </c>
      <c r="B2384" s="4">
        <v>1338.4</v>
      </c>
    </row>
    <row r="2385" spans="1:2">
      <c r="A2385" s="3">
        <v>39931</v>
      </c>
      <c r="B2385" s="4">
        <v>1351.8</v>
      </c>
    </row>
    <row r="2386" spans="1:2">
      <c r="A2386" s="3">
        <v>39932</v>
      </c>
      <c r="B2386" s="4">
        <v>1335.7</v>
      </c>
    </row>
    <row r="2387" spans="1:2">
      <c r="A2387" s="3">
        <v>39933</v>
      </c>
      <c r="B2387" s="4">
        <v>1277</v>
      </c>
    </row>
    <row r="2388" spans="1:2">
      <c r="A2388" s="3">
        <v>39934</v>
      </c>
      <c r="B2388" s="4">
        <v>1277</v>
      </c>
    </row>
    <row r="2389" spans="1:2">
      <c r="A2389" s="3">
        <v>39937</v>
      </c>
      <c r="B2389" s="4">
        <v>1267.5</v>
      </c>
    </row>
    <row r="2390" spans="1:2">
      <c r="A2390" s="3">
        <v>39938</v>
      </c>
      <c r="B2390" s="4">
        <v>1267.5</v>
      </c>
    </row>
    <row r="2391" spans="1:2">
      <c r="A2391" s="3">
        <v>39939</v>
      </c>
      <c r="B2391" s="4">
        <v>1272</v>
      </c>
    </row>
    <row r="2392" spans="1:2">
      <c r="A2392" s="3">
        <v>39940</v>
      </c>
      <c r="B2392" s="4">
        <v>1257.3</v>
      </c>
    </row>
    <row r="2393" spans="1:2">
      <c r="A2393" s="3">
        <v>39941</v>
      </c>
      <c r="B2393" s="4">
        <v>1242.25</v>
      </c>
    </row>
    <row r="2394" spans="1:2">
      <c r="A2394" s="3">
        <v>39944</v>
      </c>
      <c r="B2394" s="4">
        <v>1232.9000000000001</v>
      </c>
    </row>
    <row r="2395" spans="1:2">
      <c r="A2395" s="3">
        <v>39945</v>
      </c>
      <c r="B2395" s="4">
        <v>1238</v>
      </c>
    </row>
    <row r="2396" spans="1:2">
      <c r="A2396" s="3">
        <v>39946</v>
      </c>
      <c r="B2396" s="4">
        <v>1239</v>
      </c>
    </row>
    <row r="2397" spans="1:2">
      <c r="A2397" s="3">
        <v>39947</v>
      </c>
      <c r="B2397" s="4">
        <v>1260.5</v>
      </c>
    </row>
    <row r="2398" spans="1:2">
      <c r="A2398" s="3">
        <v>39948</v>
      </c>
      <c r="B2398" s="4">
        <v>1252</v>
      </c>
    </row>
    <row r="2399" spans="1:2">
      <c r="A2399" s="3">
        <v>39951</v>
      </c>
      <c r="B2399" s="4">
        <v>1260.25</v>
      </c>
    </row>
    <row r="2400" spans="1:2">
      <c r="A2400" s="3">
        <v>39952</v>
      </c>
      <c r="B2400" s="4">
        <v>1244.5</v>
      </c>
    </row>
    <row r="2401" spans="1:2">
      <c r="A2401" s="3">
        <v>39953</v>
      </c>
      <c r="B2401" s="4">
        <v>1246</v>
      </c>
    </row>
    <row r="2402" spans="1:2">
      <c r="A2402" s="3">
        <v>39954</v>
      </c>
      <c r="B2402" s="4">
        <v>1241</v>
      </c>
    </row>
    <row r="2403" spans="1:2">
      <c r="A2403" s="3">
        <v>39955</v>
      </c>
      <c r="B2403" s="4">
        <v>1242</v>
      </c>
    </row>
    <row r="2404" spans="1:2">
      <c r="A2404" s="3">
        <v>39958</v>
      </c>
      <c r="B2404" s="4">
        <v>1242.4000000000001</v>
      </c>
    </row>
    <row r="2405" spans="1:2">
      <c r="A2405" s="3">
        <v>39959</v>
      </c>
      <c r="B2405" s="4">
        <v>1264.25</v>
      </c>
    </row>
    <row r="2406" spans="1:2">
      <c r="A2406" s="3">
        <v>39960</v>
      </c>
      <c r="B2406" s="4">
        <v>1264.4000000000001</v>
      </c>
    </row>
    <row r="2407" spans="1:2">
      <c r="A2407" s="3">
        <v>39961</v>
      </c>
      <c r="B2407" s="4">
        <v>1256.8</v>
      </c>
    </row>
    <row r="2408" spans="1:2">
      <c r="A2408" s="3">
        <v>39962</v>
      </c>
      <c r="B2408" s="4">
        <v>1257</v>
      </c>
    </row>
    <row r="2409" spans="1:2">
      <c r="A2409" s="3">
        <v>39965</v>
      </c>
      <c r="B2409" s="4">
        <v>1232.2</v>
      </c>
    </row>
    <row r="2410" spans="1:2">
      <c r="A2410" s="3">
        <v>39966</v>
      </c>
      <c r="B2410" s="4">
        <v>1233</v>
      </c>
    </row>
    <row r="2411" spans="1:2">
      <c r="A2411" s="3">
        <v>39967</v>
      </c>
      <c r="B2411" s="4">
        <v>1242.0999999999999</v>
      </c>
    </row>
    <row r="2412" spans="1:2">
      <c r="A2412" s="3">
        <v>39968</v>
      </c>
      <c r="B2412" s="4">
        <v>1246.25</v>
      </c>
    </row>
    <row r="2413" spans="1:2">
      <c r="A2413" s="3">
        <v>39969</v>
      </c>
      <c r="B2413" s="4">
        <v>1247.5</v>
      </c>
    </row>
    <row r="2414" spans="1:2">
      <c r="A2414" s="3">
        <v>39972</v>
      </c>
      <c r="B2414" s="4">
        <v>1247.25</v>
      </c>
    </row>
    <row r="2415" spans="1:2">
      <c r="A2415" s="3">
        <v>39973</v>
      </c>
      <c r="B2415" s="4">
        <v>1258.5</v>
      </c>
    </row>
    <row r="2416" spans="1:2">
      <c r="A2416" s="3">
        <v>39974</v>
      </c>
      <c r="B2416" s="4">
        <v>1257</v>
      </c>
    </row>
    <row r="2417" spans="1:2">
      <c r="A2417" s="3">
        <v>39975</v>
      </c>
      <c r="B2417" s="4">
        <v>1248.7</v>
      </c>
    </row>
    <row r="2418" spans="1:2">
      <c r="A2418" s="3">
        <v>39976</v>
      </c>
      <c r="B2418" s="4">
        <v>1250</v>
      </c>
    </row>
    <row r="2419" spans="1:2">
      <c r="A2419" s="3">
        <v>39979</v>
      </c>
      <c r="B2419" s="4">
        <v>1257</v>
      </c>
    </row>
    <row r="2420" spans="1:2">
      <c r="A2420" s="3">
        <v>39980</v>
      </c>
      <c r="B2420" s="4">
        <v>1255.5</v>
      </c>
    </row>
    <row r="2421" spans="1:2">
      <c r="A2421" s="3">
        <v>39981</v>
      </c>
      <c r="B2421" s="4">
        <v>1261</v>
      </c>
    </row>
    <row r="2422" spans="1:2">
      <c r="A2422" s="3">
        <v>39982</v>
      </c>
      <c r="B2422" s="4">
        <v>1263.5</v>
      </c>
    </row>
    <row r="2423" spans="1:2">
      <c r="A2423" s="3">
        <v>39983</v>
      </c>
      <c r="B2423" s="4">
        <v>1264.2</v>
      </c>
    </row>
    <row r="2424" spans="1:2">
      <c r="A2424" s="3">
        <v>39986</v>
      </c>
      <c r="B2424" s="4">
        <v>1278.5999999999999</v>
      </c>
    </row>
    <row r="2425" spans="1:2">
      <c r="A2425" s="3">
        <v>39987</v>
      </c>
      <c r="B2425" s="4">
        <v>1281.7</v>
      </c>
    </row>
    <row r="2426" spans="1:2">
      <c r="A2426" s="3">
        <v>39988</v>
      </c>
      <c r="B2426" s="4">
        <v>1276</v>
      </c>
    </row>
    <row r="2427" spans="1:2">
      <c r="A2427" s="3">
        <v>39989</v>
      </c>
      <c r="B2427" s="4">
        <v>1281.0999999999999</v>
      </c>
    </row>
    <row r="2428" spans="1:2">
      <c r="A2428" s="3">
        <v>39990</v>
      </c>
      <c r="B2428" s="4">
        <v>1278.3</v>
      </c>
    </row>
    <row r="2429" spans="1:2">
      <c r="A2429" s="3">
        <v>39993</v>
      </c>
      <c r="B2429" s="4">
        <v>1278</v>
      </c>
    </row>
    <row r="2430" spans="1:2">
      <c r="A2430" s="3">
        <v>39994</v>
      </c>
      <c r="B2430" s="4">
        <v>1272.5</v>
      </c>
    </row>
    <row r="2431" spans="1:2">
      <c r="A2431" s="3">
        <v>39995</v>
      </c>
      <c r="B2431" s="4">
        <v>1256.9000000000001</v>
      </c>
    </row>
    <row r="2432" spans="1:2">
      <c r="A2432" s="3">
        <v>39996</v>
      </c>
      <c r="B2432" s="4">
        <v>1270.7</v>
      </c>
    </row>
    <row r="2433" spans="1:2">
      <c r="A2433" s="3">
        <v>39997</v>
      </c>
      <c r="B2433" s="4">
        <v>1265.7</v>
      </c>
    </row>
    <row r="2434" spans="1:2">
      <c r="A2434" s="3">
        <v>40000</v>
      </c>
      <c r="B2434" s="4">
        <v>1267</v>
      </c>
    </row>
    <row r="2435" spans="1:2">
      <c r="A2435" s="3">
        <v>40001</v>
      </c>
      <c r="B2435" s="4">
        <v>1268.7</v>
      </c>
    </row>
    <row r="2436" spans="1:2">
      <c r="A2436" s="3">
        <v>40002</v>
      </c>
      <c r="B2436" s="4">
        <v>1275.5</v>
      </c>
    </row>
    <row r="2437" spans="1:2">
      <c r="A2437" s="3">
        <v>40003</v>
      </c>
      <c r="B2437" s="4">
        <v>1277.7</v>
      </c>
    </row>
    <row r="2438" spans="1:2">
      <c r="A2438" s="3">
        <v>40004</v>
      </c>
      <c r="B2438" s="4">
        <v>1288.4000000000001</v>
      </c>
    </row>
    <row r="2439" spans="1:2">
      <c r="A2439" s="3">
        <v>40007</v>
      </c>
      <c r="B2439" s="4">
        <v>1309</v>
      </c>
    </row>
    <row r="2440" spans="1:2">
      <c r="A2440" s="3">
        <v>40008</v>
      </c>
      <c r="B2440" s="4">
        <v>1295.2</v>
      </c>
    </row>
    <row r="2441" spans="1:2">
      <c r="A2441" s="3">
        <v>40009</v>
      </c>
      <c r="B2441" s="4">
        <v>1270.5999999999999</v>
      </c>
    </row>
    <row r="2442" spans="1:2">
      <c r="A2442" s="3">
        <v>40010</v>
      </c>
      <c r="B2442" s="4">
        <v>1266</v>
      </c>
    </row>
    <row r="2443" spans="1:2">
      <c r="A2443" s="3">
        <v>40011</v>
      </c>
      <c r="B2443" s="4">
        <v>1257</v>
      </c>
    </row>
    <row r="2444" spans="1:2">
      <c r="A2444" s="3">
        <v>40014</v>
      </c>
      <c r="B2444" s="4">
        <v>1244</v>
      </c>
    </row>
    <row r="2445" spans="1:2">
      <c r="A2445" s="3">
        <v>40015</v>
      </c>
      <c r="B2445" s="4">
        <v>1247.5</v>
      </c>
    </row>
    <row r="2446" spans="1:2">
      <c r="A2446" s="3">
        <v>40016</v>
      </c>
      <c r="B2446" s="4">
        <v>1251.0999999999999</v>
      </c>
    </row>
    <row r="2447" spans="1:2">
      <c r="A2447" s="3">
        <v>40017</v>
      </c>
      <c r="B2447" s="4">
        <v>1244.8</v>
      </c>
    </row>
    <row r="2448" spans="1:2">
      <c r="A2448" s="3">
        <v>40018</v>
      </c>
      <c r="B2448" s="4">
        <v>1245</v>
      </c>
    </row>
    <row r="2449" spans="1:2">
      <c r="A2449" s="3">
        <v>40021</v>
      </c>
      <c r="B2449" s="4">
        <v>1242.4000000000001</v>
      </c>
    </row>
    <row r="2450" spans="1:2">
      <c r="A2450" s="3">
        <v>40022</v>
      </c>
      <c r="B2450" s="4">
        <v>1240</v>
      </c>
    </row>
    <row r="2451" spans="1:2">
      <c r="A2451" s="3">
        <v>40023</v>
      </c>
      <c r="B2451" s="4">
        <v>1243.8</v>
      </c>
    </row>
    <row r="2452" spans="1:2">
      <c r="A2452" s="3">
        <v>40024</v>
      </c>
      <c r="B2452" s="4">
        <v>1230.5</v>
      </c>
    </row>
    <row r="2453" spans="1:2">
      <c r="A2453" s="3">
        <v>40025</v>
      </c>
      <c r="B2453" s="4">
        <v>1222.2</v>
      </c>
    </row>
    <row r="2454" spans="1:2">
      <c r="A2454" s="3">
        <v>40028</v>
      </c>
      <c r="B2454" s="4">
        <v>1214</v>
      </c>
    </row>
    <row r="2455" spans="1:2">
      <c r="A2455" s="3">
        <v>40029</v>
      </c>
      <c r="B2455" s="4">
        <v>1218.45</v>
      </c>
    </row>
    <row r="2456" spans="1:2">
      <c r="A2456" s="3">
        <v>40030</v>
      </c>
      <c r="B2456" s="4">
        <v>1225.5</v>
      </c>
    </row>
    <row r="2457" spans="1:2">
      <c r="A2457" s="3">
        <v>40031</v>
      </c>
      <c r="B2457" s="4">
        <v>1225</v>
      </c>
    </row>
    <row r="2458" spans="1:2">
      <c r="A2458" s="3">
        <v>40032</v>
      </c>
      <c r="B2458" s="4">
        <v>1224</v>
      </c>
    </row>
    <row r="2459" spans="1:2">
      <c r="A2459" s="3">
        <v>40035</v>
      </c>
      <c r="B2459" s="4">
        <v>1228.25</v>
      </c>
    </row>
    <row r="2460" spans="1:2">
      <c r="A2460" s="3">
        <v>40036</v>
      </c>
      <c r="B2460" s="4">
        <v>1242.7</v>
      </c>
    </row>
    <row r="2461" spans="1:2">
      <c r="A2461" s="3">
        <v>40037</v>
      </c>
      <c r="B2461" s="4">
        <v>1242</v>
      </c>
    </row>
    <row r="2462" spans="1:2">
      <c r="A2462" s="3">
        <v>40038</v>
      </c>
      <c r="B2462" s="4">
        <v>1235</v>
      </c>
    </row>
    <row r="2463" spans="1:2">
      <c r="A2463" s="3">
        <v>40039</v>
      </c>
      <c r="B2463" s="4">
        <v>1239.5</v>
      </c>
    </row>
    <row r="2464" spans="1:2">
      <c r="A2464" s="3">
        <v>40042</v>
      </c>
      <c r="B2464" s="4">
        <v>1258.5</v>
      </c>
    </row>
    <row r="2465" spans="1:2">
      <c r="A2465" s="3">
        <v>40043</v>
      </c>
      <c r="B2465" s="4">
        <v>1247.5</v>
      </c>
    </row>
    <row r="2466" spans="1:2">
      <c r="A2466" s="3">
        <v>40044</v>
      </c>
      <c r="B2466" s="4">
        <v>1250</v>
      </c>
    </row>
    <row r="2467" spans="1:2">
      <c r="A2467" s="3">
        <v>40045</v>
      </c>
      <c r="B2467" s="4">
        <v>1244.5</v>
      </c>
    </row>
    <row r="2468" spans="1:2">
      <c r="A2468" s="3">
        <v>40046</v>
      </c>
      <c r="B2468" s="4">
        <v>1244.7</v>
      </c>
    </row>
    <row r="2469" spans="1:2">
      <c r="A2469" s="3">
        <v>40049</v>
      </c>
      <c r="B2469" s="4">
        <v>1240</v>
      </c>
    </row>
    <row r="2470" spans="1:2">
      <c r="A2470" s="3">
        <v>40050</v>
      </c>
      <c r="B2470" s="4">
        <v>1247.5</v>
      </c>
    </row>
    <row r="2471" spans="1:2">
      <c r="A2471" s="3">
        <v>40051</v>
      </c>
      <c r="B2471" s="4">
        <v>1240</v>
      </c>
    </row>
    <row r="2472" spans="1:2">
      <c r="A2472" s="3">
        <v>40052</v>
      </c>
      <c r="B2472" s="4">
        <v>1247.3</v>
      </c>
    </row>
    <row r="2473" spans="1:2">
      <c r="A2473" s="3">
        <v>40053</v>
      </c>
      <c r="B2473" s="4">
        <v>1244.8</v>
      </c>
    </row>
    <row r="2474" spans="1:2">
      <c r="A2474" s="3">
        <v>40056</v>
      </c>
      <c r="B2474" s="4">
        <v>1248</v>
      </c>
    </row>
    <row r="2475" spans="1:2">
      <c r="A2475" s="3">
        <v>40057</v>
      </c>
      <c r="B2475" s="4">
        <v>1245.5</v>
      </c>
    </row>
    <row r="2476" spans="1:2">
      <c r="A2476" s="3">
        <v>40058</v>
      </c>
      <c r="B2476" s="4">
        <v>1243.8</v>
      </c>
    </row>
    <row r="2477" spans="1:2">
      <c r="A2477" s="3">
        <v>40059</v>
      </c>
      <c r="B2477" s="4">
        <v>1244</v>
      </c>
    </row>
    <row r="2478" spans="1:2">
      <c r="A2478" s="3">
        <v>40060</v>
      </c>
      <c r="B2478" s="4">
        <v>1235</v>
      </c>
    </row>
    <row r="2479" spans="1:2">
      <c r="A2479" s="3">
        <v>40063</v>
      </c>
      <c r="B2479" s="4">
        <v>1230.9000000000001</v>
      </c>
    </row>
    <row r="2480" spans="1:2">
      <c r="A2480" s="3">
        <v>40064</v>
      </c>
      <c r="B2480" s="4">
        <v>1223</v>
      </c>
    </row>
    <row r="2481" spans="1:2">
      <c r="A2481" s="3">
        <v>40065</v>
      </c>
      <c r="B2481" s="4">
        <v>1222</v>
      </c>
    </row>
    <row r="2482" spans="1:2">
      <c r="A2482" s="3">
        <v>40066</v>
      </c>
      <c r="B2482" s="4">
        <v>1223</v>
      </c>
    </row>
    <row r="2483" spans="1:2">
      <c r="A2483" s="3">
        <v>40067</v>
      </c>
      <c r="B2483" s="4">
        <v>1221</v>
      </c>
    </row>
    <row r="2484" spans="1:2">
      <c r="A2484" s="3">
        <v>40070</v>
      </c>
      <c r="B2484" s="4">
        <v>1224</v>
      </c>
    </row>
    <row r="2485" spans="1:2">
      <c r="A2485" s="3">
        <v>40071</v>
      </c>
      <c r="B2485" s="4">
        <v>1217.4000000000001</v>
      </c>
    </row>
    <row r="2486" spans="1:2">
      <c r="A2486" s="3">
        <v>40072</v>
      </c>
      <c r="B2486" s="4">
        <v>1205</v>
      </c>
    </row>
    <row r="2487" spans="1:2">
      <c r="A2487" s="3">
        <v>40073</v>
      </c>
      <c r="B2487" s="4">
        <v>1206</v>
      </c>
    </row>
    <row r="2488" spans="1:2">
      <c r="A2488" s="3">
        <v>40074</v>
      </c>
      <c r="B2488" s="4">
        <v>1206.5</v>
      </c>
    </row>
    <row r="2489" spans="1:2">
      <c r="A2489" s="3">
        <v>40077</v>
      </c>
      <c r="B2489" s="4">
        <v>1207</v>
      </c>
    </row>
    <row r="2490" spans="1:2">
      <c r="A2490" s="3">
        <v>40078</v>
      </c>
      <c r="B2490" s="4">
        <v>1196</v>
      </c>
    </row>
    <row r="2491" spans="1:2">
      <c r="A2491" s="3">
        <v>40079</v>
      </c>
      <c r="B2491" s="4">
        <v>1191</v>
      </c>
    </row>
    <row r="2492" spans="1:2">
      <c r="A2492" s="3">
        <v>40080</v>
      </c>
      <c r="B2492" s="4">
        <v>1190.7</v>
      </c>
    </row>
    <row r="2493" spans="1:2">
      <c r="A2493" s="3">
        <v>40081</v>
      </c>
      <c r="B2493" s="4">
        <v>1184.25</v>
      </c>
    </row>
    <row r="2494" spans="1:2">
      <c r="A2494" s="3">
        <v>40084</v>
      </c>
      <c r="B2494" s="4">
        <v>1192</v>
      </c>
    </row>
    <row r="2495" spans="1:2">
      <c r="A2495" s="3">
        <v>40085</v>
      </c>
      <c r="B2495" s="4">
        <v>1187.5</v>
      </c>
    </row>
    <row r="2496" spans="1:2">
      <c r="A2496" s="3">
        <v>40086</v>
      </c>
      <c r="B2496" s="4">
        <v>1175</v>
      </c>
    </row>
    <row r="2497" spans="1:2">
      <c r="A2497" s="3">
        <v>40087</v>
      </c>
      <c r="B2497" s="4">
        <v>1173.3</v>
      </c>
    </row>
    <row r="2498" spans="1:2">
      <c r="A2498" s="3">
        <v>40088</v>
      </c>
      <c r="B2498" s="4">
        <v>1182</v>
      </c>
    </row>
    <row r="2499" spans="1:2">
      <c r="A2499" s="3">
        <v>40091</v>
      </c>
      <c r="B2499" s="4">
        <v>1165.25</v>
      </c>
    </row>
    <row r="2500" spans="1:2">
      <c r="A2500" s="3">
        <v>40092</v>
      </c>
      <c r="B2500" s="4">
        <v>1165.3</v>
      </c>
    </row>
    <row r="2501" spans="1:2">
      <c r="A2501" s="3">
        <v>40093</v>
      </c>
      <c r="B2501" s="4">
        <v>1167</v>
      </c>
    </row>
    <row r="2502" spans="1:2">
      <c r="A2502" s="3">
        <v>40094</v>
      </c>
      <c r="B2502" s="4">
        <v>1163</v>
      </c>
    </row>
    <row r="2503" spans="1:2">
      <c r="A2503" s="3">
        <v>40095</v>
      </c>
      <c r="B2503" s="4">
        <v>1164.3</v>
      </c>
    </row>
    <row r="2504" spans="1:2">
      <c r="A2504" s="3">
        <v>40098</v>
      </c>
      <c r="B2504" s="4">
        <v>1167.4000000000001</v>
      </c>
    </row>
    <row r="2505" spans="1:2">
      <c r="A2505" s="3">
        <v>40099</v>
      </c>
      <c r="B2505" s="4">
        <v>1166</v>
      </c>
    </row>
    <row r="2506" spans="1:2">
      <c r="A2506" s="3">
        <v>40100</v>
      </c>
      <c r="B2506" s="4">
        <v>1157.5</v>
      </c>
    </row>
    <row r="2507" spans="1:2">
      <c r="A2507" s="3">
        <v>40101</v>
      </c>
      <c r="B2507" s="4">
        <v>1157</v>
      </c>
    </row>
    <row r="2508" spans="1:2">
      <c r="A2508" s="3">
        <v>40102</v>
      </c>
      <c r="B2508" s="4">
        <v>1162.0999999999999</v>
      </c>
    </row>
    <row r="2509" spans="1:2">
      <c r="A2509" s="3">
        <v>40105</v>
      </c>
      <c r="B2509" s="4">
        <v>1167.5999999999999</v>
      </c>
    </row>
    <row r="2510" spans="1:2">
      <c r="A2510" s="3">
        <v>40106</v>
      </c>
      <c r="B2510" s="4">
        <v>1159.72</v>
      </c>
    </row>
    <row r="2511" spans="1:2">
      <c r="A2511" s="3">
        <v>40107</v>
      </c>
      <c r="B2511" s="4">
        <v>1176.9000000000001</v>
      </c>
    </row>
    <row r="2512" spans="1:2">
      <c r="A2512" s="3">
        <v>40108</v>
      </c>
      <c r="B2512" s="4">
        <v>1188</v>
      </c>
    </row>
    <row r="2513" spans="1:2">
      <c r="A2513" s="3">
        <v>40109</v>
      </c>
      <c r="B2513" s="4">
        <v>1189</v>
      </c>
    </row>
    <row r="2514" spans="1:2">
      <c r="A2514" s="3">
        <v>40112</v>
      </c>
      <c r="B2514" s="4">
        <v>1180.4000000000001</v>
      </c>
    </row>
    <row r="2515" spans="1:2">
      <c r="A2515" s="3">
        <v>40113</v>
      </c>
      <c r="B2515" s="4">
        <v>1190</v>
      </c>
    </row>
    <row r="2516" spans="1:2">
      <c r="A2516" s="3">
        <v>40114</v>
      </c>
      <c r="B2516" s="4">
        <v>1185.4000000000001</v>
      </c>
    </row>
    <row r="2517" spans="1:2">
      <c r="A2517" s="3">
        <v>40115</v>
      </c>
      <c r="B2517" s="4">
        <v>1185.2</v>
      </c>
    </row>
    <row r="2518" spans="1:2">
      <c r="A2518" s="3">
        <v>40116</v>
      </c>
      <c r="B2518" s="4">
        <v>1186.0999999999999</v>
      </c>
    </row>
    <row r="2519" spans="1:2">
      <c r="A2519" s="3">
        <v>40119</v>
      </c>
      <c r="B2519" s="4">
        <v>1185.25</v>
      </c>
    </row>
    <row r="2520" spans="1:2">
      <c r="A2520" s="3">
        <v>40120</v>
      </c>
      <c r="B2520" s="4">
        <v>1191.0999999999999</v>
      </c>
    </row>
    <row r="2521" spans="1:2">
      <c r="A2521" s="3">
        <v>40121</v>
      </c>
      <c r="B2521" s="4">
        <v>1172.9000000000001</v>
      </c>
    </row>
    <row r="2522" spans="1:2">
      <c r="A2522" s="3">
        <v>40122</v>
      </c>
      <c r="B2522" s="4">
        <v>1174.8</v>
      </c>
    </row>
    <row r="2523" spans="1:2">
      <c r="A2523" s="3">
        <v>40123</v>
      </c>
      <c r="B2523" s="4">
        <v>1167.5999999999999</v>
      </c>
    </row>
    <row r="2524" spans="1:2">
      <c r="A2524" s="3">
        <v>40126</v>
      </c>
      <c r="B2524" s="4">
        <v>1154.5999999999999</v>
      </c>
    </row>
    <row r="2525" spans="1:2">
      <c r="A2525" s="3">
        <v>40127</v>
      </c>
      <c r="B2525" s="4">
        <v>1157.2</v>
      </c>
    </row>
    <row r="2526" spans="1:2">
      <c r="A2526" s="3">
        <v>40128</v>
      </c>
      <c r="B2526" s="4">
        <v>1156</v>
      </c>
    </row>
    <row r="2527" spans="1:2">
      <c r="A2527" s="3">
        <v>40129</v>
      </c>
      <c r="B2527" s="4">
        <v>1160.5</v>
      </c>
    </row>
    <row r="2528" spans="1:2">
      <c r="A2528" s="3">
        <v>40130</v>
      </c>
      <c r="B2528" s="4">
        <v>1156.3</v>
      </c>
    </row>
    <row r="2529" spans="1:2">
      <c r="A2529" s="3">
        <v>40133</v>
      </c>
      <c r="B2529" s="4">
        <v>1150</v>
      </c>
    </row>
    <row r="2530" spans="1:2">
      <c r="A2530" s="3">
        <v>40134</v>
      </c>
      <c r="B2530" s="4">
        <v>1154.5999999999999</v>
      </c>
    </row>
    <row r="2531" spans="1:2">
      <c r="A2531" s="3">
        <v>40135</v>
      </c>
      <c r="B2531" s="4">
        <v>1153.5</v>
      </c>
    </row>
    <row r="2532" spans="1:2">
      <c r="A2532" s="3">
        <v>40136</v>
      </c>
      <c r="B2532" s="4">
        <v>1161.5</v>
      </c>
    </row>
    <row r="2533" spans="1:2">
      <c r="A2533" s="3">
        <v>40137</v>
      </c>
      <c r="B2533" s="4">
        <v>1157.9000000000001</v>
      </c>
    </row>
    <row r="2534" spans="1:2">
      <c r="A2534" s="3">
        <v>40140</v>
      </c>
      <c r="B2534" s="4">
        <v>1151.5</v>
      </c>
    </row>
    <row r="2535" spans="1:2">
      <c r="A2535" s="3">
        <v>40141</v>
      </c>
      <c r="B2535" s="4">
        <v>1154.2</v>
      </c>
    </row>
    <row r="2536" spans="1:2">
      <c r="A2536" s="3">
        <v>40142</v>
      </c>
      <c r="B2536" s="4">
        <v>1153</v>
      </c>
    </row>
    <row r="2537" spans="1:2">
      <c r="A2537" s="3">
        <v>40143</v>
      </c>
      <c r="B2537" s="4">
        <v>1156.8499999999999</v>
      </c>
    </row>
    <row r="2538" spans="1:2">
      <c r="A2538" s="3">
        <v>40144</v>
      </c>
      <c r="B2538" s="4">
        <v>1173</v>
      </c>
    </row>
    <row r="2539" spans="1:2">
      <c r="A2539" s="3">
        <v>40147</v>
      </c>
      <c r="B2539" s="4">
        <v>1162.4000000000001</v>
      </c>
    </row>
    <row r="2540" spans="1:2">
      <c r="A2540" s="3">
        <v>40148</v>
      </c>
      <c r="B2540" s="4">
        <v>1155</v>
      </c>
    </row>
    <row r="2541" spans="1:2">
      <c r="A2541" s="3">
        <v>40149</v>
      </c>
      <c r="B2541" s="4">
        <v>1149</v>
      </c>
    </row>
    <row r="2542" spans="1:2">
      <c r="A2542" s="3">
        <v>40150</v>
      </c>
      <c r="B2542" s="4">
        <v>1150</v>
      </c>
    </row>
    <row r="2543" spans="1:2">
      <c r="A2543" s="3">
        <v>40151</v>
      </c>
      <c r="B2543" s="4">
        <v>1151</v>
      </c>
    </row>
    <row r="2544" spans="1:2">
      <c r="A2544" s="3">
        <v>40154</v>
      </c>
      <c r="B2544" s="4">
        <v>1156.5</v>
      </c>
    </row>
    <row r="2545" spans="1:2">
      <c r="A2545" s="3">
        <v>40155</v>
      </c>
      <c r="B2545" s="4">
        <v>1151.22</v>
      </c>
    </row>
    <row r="2546" spans="1:2">
      <c r="A2546" s="3">
        <v>40156</v>
      </c>
      <c r="B2546" s="4">
        <v>1160</v>
      </c>
    </row>
    <row r="2547" spans="1:2">
      <c r="A2547" s="3">
        <v>40157</v>
      </c>
      <c r="B2547" s="4">
        <v>1165</v>
      </c>
    </row>
    <row r="2548" spans="1:2">
      <c r="A2548" s="3">
        <v>40158</v>
      </c>
      <c r="B2548" s="4">
        <v>1162.5</v>
      </c>
    </row>
    <row r="2549" spans="1:2">
      <c r="A2549" s="3">
        <v>40161</v>
      </c>
      <c r="B2549" s="4">
        <v>1159</v>
      </c>
    </row>
    <row r="2550" spans="1:2">
      <c r="A2550" s="3">
        <v>40162</v>
      </c>
      <c r="B2550" s="4">
        <v>1156.5</v>
      </c>
    </row>
    <row r="2551" spans="1:2">
      <c r="A2551" s="3">
        <v>40163</v>
      </c>
      <c r="B2551" s="4">
        <v>1160.3</v>
      </c>
    </row>
    <row r="2552" spans="1:2">
      <c r="A2552" s="3">
        <v>40164</v>
      </c>
      <c r="B2552" s="4">
        <v>1172.9000000000001</v>
      </c>
    </row>
    <row r="2553" spans="1:2">
      <c r="A2553" s="3">
        <v>40165</v>
      </c>
      <c r="B2553" s="4">
        <v>1171.2</v>
      </c>
    </row>
    <row r="2554" spans="1:2">
      <c r="A2554" s="3">
        <v>40168</v>
      </c>
      <c r="B2554" s="4">
        <v>1185.4000000000001</v>
      </c>
    </row>
    <row r="2555" spans="1:2">
      <c r="A2555" s="3">
        <v>40169</v>
      </c>
      <c r="B2555" s="4">
        <v>1179</v>
      </c>
    </row>
    <row r="2556" spans="1:2">
      <c r="A2556" s="3">
        <v>40170</v>
      </c>
      <c r="B2556" s="4">
        <v>1177</v>
      </c>
    </row>
    <row r="2557" spans="1:2">
      <c r="A2557" s="3">
        <v>40171</v>
      </c>
      <c r="B2557" s="4">
        <v>1173.07</v>
      </c>
    </row>
    <row r="2558" spans="1:2">
      <c r="A2558" s="3">
        <v>40172</v>
      </c>
      <c r="B2558" s="4">
        <v>1172.07</v>
      </c>
    </row>
    <row r="2559" spans="1:2">
      <c r="A2559" s="3">
        <v>40175</v>
      </c>
      <c r="B2559" s="4">
        <v>1168</v>
      </c>
    </row>
    <row r="2560" spans="1:2">
      <c r="A2560" s="3">
        <v>40176</v>
      </c>
      <c r="B2560" s="4">
        <v>1166</v>
      </c>
    </row>
    <row r="2561" spans="1:2">
      <c r="A2561" s="3">
        <v>40177</v>
      </c>
      <c r="B2561" s="4">
        <v>1166</v>
      </c>
    </row>
    <row r="2562" spans="1:2">
      <c r="A2562" s="3">
        <v>40178</v>
      </c>
      <c r="B2562" s="4">
        <v>1163.6500000000001</v>
      </c>
    </row>
    <row r="2563" spans="1:2">
      <c r="A2563" s="3">
        <v>40179</v>
      </c>
      <c r="B2563" s="4">
        <v>1163.6500000000001</v>
      </c>
    </row>
    <row r="2564" spans="1:2">
      <c r="A2564" s="3">
        <v>40182</v>
      </c>
      <c r="B2564" s="4">
        <v>1149</v>
      </c>
    </row>
    <row r="2565" spans="1:2">
      <c r="A2565" s="3">
        <v>40183</v>
      </c>
      <c r="B2565" s="4">
        <v>1139.2</v>
      </c>
    </row>
    <row r="2566" spans="1:2">
      <c r="A2566" s="3">
        <v>40184</v>
      </c>
      <c r="B2566" s="4">
        <v>1128.2</v>
      </c>
    </row>
    <row r="2567" spans="1:2">
      <c r="A2567" s="3">
        <v>40185</v>
      </c>
      <c r="B2567" s="4">
        <v>1137.2</v>
      </c>
    </row>
    <row r="2568" spans="1:2">
      <c r="A2568" s="3">
        <v>40186</v>
      </c>
      <c r="B2568" s="4">
        <v>1127.75</v>
      </c>
    </row>
    <row r="2569" spans="1:2">
      <c r="A2569" s="3">
        <v>40189</v>
      </c>
      <c r="B2569" s="4">
        <v>1120</v>
      </c>
    </row>
    <row r="2570" spans="1:2">
      <c r="A2570" s="3">
        <v>40190</v>
      </c>
      <c r="B2570" s="4">
        <v>1120.25</v>
      </c>
    </row>
    <row r="2571" spans="1:2">
      <c r="A2571" s="3">
        <v>40191</v>
      </c>
      <c r="B2571" s="4">
        <v>1122</v>
      </c>
    </row>
    <row r="2572" spans="1:2">
      <c r="A2572" s="3">
        <v>40192</v>
      </c>
      <c r="B2572" s="4">
        <v>1122.5</v>
      </c>
    </row>
    <row r="2573" spans="1:2">
      <c r="A2573" s="3">
        <v>40193</v>
      </c>
      <c r="B2573" s="4">
        <v>1123</v>
      </c>
    </row>
    <row r="2574" spans="1:2">
      <c r="A2574" s="3">
        <v>40196</v>
      </c>
      <c r="B2574" s="4">
        <v>1124.4000000000001</v>
      </c>
    </row>
    <row r="2575" spans="1:2">
      <c r="A2575" s="3">
        <v>40197</v>
      </c>
      <c r="B2575" s="4">
        <v>1129.3</v>
      </c>
    </row>
    <row r="2576" spans="1:2">
      <c r="A2576" s="3">
        <v>40198</v>
      </c>
      <c r="B2576" s="4">
        <v>1143.3</v>
      </c>
    </row>
    <row r="2577" spans="1:2">
      <c r="A2577" s="3">
        <v>40199</v>
      </c>
      <c r="B2577" s="4">
        <v>1143</v>
      </c>
    </row>
    <row r="2578" spans="1:2">
      <c r="A2578" s="3">
        <v>40200</v>
      </c>
      <c r="B2578" s="4">
        <v>1153</v>
      </c>
    </row>
    <row r="2579" spans="1:2">
      <c r="A2579" s="3">
        <v>40203</v>
      </c>
      <c r="B2579" s="4">
        <v>1146</v>
      </c>
    </row>
    <row r="2580" spans="1:2">
      <c r="A2580" s="3">
        <v>40204</v>
      </c>
      <c r="B2580" s="4">
        <v>1156.5</v>
      </c>
    </row>
    <row r="2581" spans="1:2">
      <c r="A2581" s="3">
        <v>40205</v>
      </c>
      <c r="B2581" s="4">
        <v>1160.3</v>
      </c>
    </row>
    <row r="2582" spans="1:2">
      <c r="A2582" s="3">
        <v>40206</v>
      </c>
      <c r="B2582" s="4">
        <v>1149.3</v>
      </c>
    </row>
    <row r="2583" spans="1:2">
      <c r="A2583" s="3">
        <v>40207</v>
      </c>
      <c r="B2583" s="4">
        <v>1158.7</v>
      </c>
    </row>
    <row r="2584" spans="1:2">
      <c r="A2584" s="3">
        <v>40210</v>
      </c>
      <c r="B2584" s="4">
        <v>1165.75</v>
      </c>
    </row>
    <row r="2585" spans="1:2">
      <c r="A2585" s="3">
        <v>40211</v>
      </c>
      <c r="B2585" s="4">
        <v>1159</v>
      </c>
    </row>
    <row r="2586" spans="1:2">
      <c r="A2586" s="3">
        <v>40212</v>
      </c>
      <c r="B2586" s="4">
        <v>1148.0999999999999</v>
      </c>
    </row>
    <row r="2587" spans="1:2">
      <c r="A2587" s="3">
        <v>40213</v>
      </c>
      <c r="B2587" s="4">
        <v>1145.9000000000001</v>
      </c>
    </row>
    <row r="2588" spans="1:2">
      <c r="A2588" s="3">
        <v>40214</v>
      </c>
      <c r="B2588" s="4">
        <v>1168.95</v>
      </c>
    </row>
    <row r="2589" spans="1:2">
      <c r="A2589" s="3">
        <v>40217</v>
      </c>
      <c r="B2589" s="4">
        <v>1170.8</v>
      </c>
    </row>
    <row r="2590" spans="1:2">
      <c r="A2590" s="3">
        <v>40218</v>
      </c>
      <c r="B2590" s="4">
        <v>1155.3</v>
      </c>
    </row>
    <row r="2591" spans="1:2">
      <c r="A2591" s="3">
        <v>40219</v>
      </c>
      <c r="B2591" s="4">
        <v>1161</v>
      </c>
    </row>
    <row r="2592" spans="1:2">
      <c r="A2592" s="3">
        <v>40220</v>
      </c>
      <c r="B2592" s="4">
        <v>1152.2</v>
      </c>
    </row>
    <row r="2593" spans="1:2">
      <c r="A2593" s="3">
        <v>40221</v>
      </c>
      <c r="B2593" s="4">
        <v>1151</v>
      </c>
    </row>
    <row r="2594" spans="1:2">
      <c r="A2594" s="3">
        <v>40224</v>
      </c>
      <c r="B2594" s="4">
        <v>1146.3</v>
      </c>
    </row>
    <row r="2595" spans="1:2">
      <c r="A2595" s="3">
        <v>40225</v>
      </c>
      <c r="B2595" s="4">
        <v>1146</v>
      </c>
    </row>
    <row r="2596" spans="1:2">
      <c r="A2596" s="3">
        <v>40226</v>
      </c>
      <c r="B2596" s="4">
        <v>1143.5</v>
      </c>
    </row>
    <row r="2597" spans="1:2">
      <c r="A2597" s="3">
        <v>40227</v>
      </c>
      <c r="B2597" s="4">
        <v>1144.7</v>
      </c>
    </row>
    <row r="2598" spans="1:2">
      <c r="A2598" s="3">
        <v>40228</v>
      </c>
      <c r="B2598" s="4">
        <v>1151.7</v>
      </c>
    </row>
    <row r="2599" spans="1:2">
      <c r="A2599" s="3">
        <v>40231</v>
      </c>
      <c r="B2599" s="4">
        <v>1149</v>
      </c>
    </row>
    <row r="2600" spans="1:2">
      <c r="A2600" s="3">
        <v>40232</v>
      </c>
      <c r="B2600" s="4">
        <v>1157.2</v>
      </c>
    </row>
    <row r="2601" spans="1:2">
      <c r="A2601" s="3">
        <v>40233</v>
      </c>
      <c r="B2601" s="4">
        <v>1156</v>
      </c>
    </row>
    <row r="2602" spans="1:2">
      <c r="A2602" s="3">
        <v>40234</v>
      </c>
      <c r="B2602" s="4">
        <v>1163.2</v>
      </c>
    </row>
    <row r="2603" spans="1:2">
      <c r="A2603" s="3">
        <v>40235</v>
      </c>
      <c r="B2603" s="4">
        <v>1159</v>
      </c>
    </row>
    <row r="2604" spans="1:2">
      <c r="A2604" s="3">
        <v>40238</v>
      </c>
      <c r="B2604" s="4">
        <v>1153</v>
      </c>
    </row>
    <row r="2605" spans="1:2">
      <c r="A2605" s="3">
        <v>40239</v>
      </c>
      <c r="B2605" s="4">
        <v>1144</v>
      </c>
    </row>
    <row r="2606" spans="1:2">
      <c r="A2606" s="3">
        <v>40240</v>
      </c>
      <c r="B2606" s="4">
        <v>1141.5</v>
      </c>
    </row>
    <row r="2607" spans="1:2">
      <c r="A2607" s="3">
        <v>40241</v>
      </c>
      <c r="B2607" s="4">
        <v>1143</v>
      </c>
    </row>
    <row r="2608" spans="1:2">
      <c r="A2608" s="3">
        <v>40242</v>
      </c>
      <c r="B2608" s="4">
        <v>1139.5</v>
      </c>
    </row>
    <row r="2609" spans="1:2">
      <c r="A2609" s="3">
        <v>40245</v>
      </c>
      <c r="B2609" s="4">
        <v>1131.5</v>
      </c>
    </row>
    <row r="2610" spans="1:2">
      <c r="A2610" s="3">
        <v>40246</v>
      </c>
      <c r="B2610" s="4">
        <v>1135.1500000000001</v>
      </c>
    </row>
    <row r="2611" spans="1:2">
      <c r="A2611" s="3">
        <v>40247</v>
      </c>
      <c r="B2611" s="4">
        <v>1128.0999999999999</v>
      </c>
    </row>
    <row r="2612" spans="1:2">
      <c r="A2612" s="3">
        <v>40248</v>
      </c>
      <c r="B2612" s="4">
        <v>1131.5999999999999</v>
      </c>
    </row>
    <row r="2613" spans="1:2">
      <c r="A2613" s="3">
        <v>40249</v>
      </c>
      <c r="B2613" s="4">
        <v>1128.33</v>
      </c>
    </row>
    <row r="2614" spans="1:2">
      <c r="A2614" s="3">
        <v>40252</v>
      </c>
      <c r="B2614" s="4">
        <v>1133.7</v>
      </c>
    </row>
    <row r="2615" spans="1:2">
      <c r="A2615" s="3">
        <v>40253</v>
      </c>
      <c r="B2615" s="4">
        <v>1134</v>
      </c>
    </row>
    <row r="2616" spans="1:2">
      <c r="A2616" s="3">
        <v>40254</v>
      </c>
      <c r="B2616" s="4">
        <v>1127.8</v>
      </c>
    </row>
    <row r="2617" spans="1:2">
      <c r="A2617" s="3">
        <v>40255</v>
      </c>
      <c r="B2617" s="4">
        <v>1133.5999999999999</v>
      </c>
    </row>
    <row r="2618" spans="1:2">
      <c r="A2618" s="3">
        <v>40256</v>
      </c>
      <c r="B2618" s="4">
        <v>1133.58</v>
      </c>
    </row>
    <row r="2619" spans="1:2">
      <c r="A2619" s="3">
        <v>40259</v>
      </c>
      <c r="B2619" s="4">
        <v>1135.5</v>
      </c>
    </row>
    <row r="2620" spans="1:2">
      <c r="A2620" s="3">
        <v>40260</v>
      </c>
      <c r="B2620" s="4">
        <v>1136</v>
      </c>
    </row>
    <row r="2621" spans="1:2">
      <c r="A2621" s="3">
        <v>40261</v>
      </c>
      <c r="B2621" s="4">
        <v>1137</v>
      </c>
    </row>
    <row r="2622" spans="1:2">
      <c r="A2622" s="3">
        <v>40262</v>
      </c>
      <c r="B2622" s="4">
        <v>1142.3</v>
      </c>
    </row>
    <row r="2623" spans="1:2">
      <c r="A2623" s="3">
        <v>40263</v>
      </c>
      <c r="B2623" s="4">
        <v>1138</v>
      </c>
    </row>
    <row r="2624" spans="1:2">
      <c r="A2624" s="3">
        <v>40266</v>
      </c>
      <c r="B2624" s="4">
        <v>1135</v>
      </c>
    </row>
    <row r="2625" spans="1:2">
      <c r="A2625" s="3">
        <v>40267</v>
      </c>
      <c r="B2625" s="4">
        <v>1130.7</v>
      </c>
    </row>
    <row r="2626" spans="1:2">
      <c r="A2626" s="3">
        <v>40268</v>
      </c>
      <c r="B2626" s="4">
        <v>1131.8</v>
      </c>
    </row>
    <row r="2627" spans="1:2">
      <c r="A2627" s="3">
        <v>40269</v>
      </c>
      <c r="B2627" s="4">
        <v>1126.3</v>
      </c>
    </row>
    <row r="2628" spans="1:2">
      <c r="A2628" s="3">
        <v>40270</v>
      </c>
      <c r="B2628" s="4">
        <v>1125.9000000000001</v>
      </c>
    </row>
    <row r="2629" spans="1:2">
      <c r="A2629" s="3">
        <v>40273</v>
      </c>
      <c r="B2629" s="4">
        <v>1122</v>
      </c>
    </row>
    <row r="2630" spans="1:2">
      <c r="A2630" s="3">
        <v>40274</v>
      </c>
      <c r="B2630" s="4">
        <v>1123.9000000000001</v>
      </c>
    </row>
    <row r="2631" spans="1:2">
      <c r="A2631" s="3">
        <v>40275</v>
      </c>
      <c r="B2631" s="4">
        <v>1121.9000000000001</v>
      </c>
    </row>
    <row r="2632" spans="1:2">
      <c r="A2632" s="3">
        <v>40276</v>
      </c>
      <c r="B2632" s="4">
        <v>1123</v>
      </c>
    </row>
    <row r="2633" spans="1:2">
      <c r="A2633" s="3">
        <v>40277</v>
      </c>
      <c r="B2633" s="4">
        <v>1117</v>
      </c>
    </row>
    <row r="2634" spans="1:2">
      <c r="A2634" s="3">
        <v>40280</v>
      </c>
      <c r="B2634" s="4">
        <v>1114.9000000000001</v>
      </c>
    </row>
    <row r="2635" spans="1:2">
      <c r="A2635" s="3">
        <v>40281</v>
      </c>
      <c r="B2635" s="4">
        <v>1123.8</v>
      </c>
    </row>
    <row r="2636" spans="1:2">
      <c r="A2636" s="3">
        <v>40282</v>
      </c>
      <c r="B2636" s="4">
        <v>1111.0999999999999</v>
      </c>
    </row>
    <row r="2637" spans="1:2">
      <c r="A2637" s="3">
        <v>40283</v>
      </c>
      <c r="B2637" s="4">
        <v>1109.0999999999999</v>
      </c>
    </row>
    <row r="2638" spans="1:2">
      <c r="A2638" s="3">
        <v>40284</v>
      </c>
      <c r="B2638" s="4">
        <v>1110</v>
      </c>
    </row>
    <row r="2639" spans="1:2">
      <c r="A2639" s="3">
        <v>40287</v>
      </c>
      <c r="B2639" s="4">
        <v>1118.0999999999999</v>
      </c>
    </row>
    <row r="2640" spans="1:2">
      <c r="A2640" s="3">
        <v>40288</v>
      </c>
      <c r="B2640" s="4">
        <v>1117.8</v>
      </c>
    </row>
    <row r="2641" spans="1:2">
      <c r="A2641" s="3">
        <v>40289</v>
      </c>
      <c r="B2641" s="4">
        <v>1107.5999999999999</v>
      </c>
    </row>
    <row r="2642" spans="1:2">
      <c r="A2642" s="3">
        <v>40290</v>
      </c>
      <c r="B2642" s="4">
        <v>1108.2</v>
      </c>
    </row>
    <row r="2643" spans="1:2">
      <c r="A2643" s="3">
        <v>40291</v>
      </c>
      <c r="B2643" s="4">
        <v>1108.3</v>
      </c>
    </row>
    <row r="2644" spans="1:2">
      <c r="A2644" s="3">
        <v>40294</v>
      </c>
      <c r="B2644" s="4">
        <v>1103.8</v>
      </c>
    </row>
    <row r="2645" spans="1:2">
      <c r="A2645" s="3">
        <v>40295</v>
      </c>
      <c r="B2645" s="4">
        <v>1110</v>
      </c>
    </row>
    <row r="2646" spans="1:2">
      <c r="A2646" s="3">
        <v>40296</v>
      </c>
      <c r="B2646" s="4">
        <v>1118</v>
      </c>
    </row>
    <row r="2647" spans="1:2">
      <c r="A2647" s="3">
        <v>40297</v>
      </c>
      <c r="B2647" s="4">
        <v>1114.8</v>
      </c>
    </row>
    <row r="2648" spans="1:2">
      <c r="A2648" s="3">
        <v>40298</v>
      </c>
      <c r="B2648" s="4">
        <v>1108</v>
      </c>
    </row>
    <row r="2649" spans="1:2">
      <c r="A2649" s="3">
        <v>40301</v>
      </c>
      <c r="B2649" s="4">
        <v>1118.4000000000001</v>
      </c>
    </row>
    <row r="2650" spans="1:2">
      <c r="A2650" s="3">
        <v>40302</v>
      </c>
      <c r="B2650" s="4">
        <v>1115</v>
      </c>
    </row>
    <row r="2651" spans="1:2">
      <c r="A2651" s="3">
        <v>40303</v>
      </c>
      <c r="B2651" s="4">
        <v>1115</v>
      </c>
    </row>
    <row r="2652" spans="1:2">
      <c r="A2652" s="3">
        <v>40304</v>
      </c>
      <c r="B2652" s="4">
        <v>1140.9000000000001</v>
      </c>
    </row>
    <row r="2653" spans="1:2">
      <c r="A2653" s="3">
        <v>40305</v>
      </c>
      <c r="B2653" s="4">
        <v>1155.3</v>
      </c>
    </row>
    <row r="2654" spans="1:2">
      <c r="A2654" s="3">
        <v>40308</v>
      </c>
      <c r="B2654" s="4">
        <v>1131.8</v>
      </c>
    </row>
    <row r="2655" spans="1:2">
      <c r="A2655" s="3">
        <v>40309</v>
      </c>
      <c r="B2655" s="4">
        <v>1134.0999999999999</v>
      </c>
    </row>
    <row r="2656" spans="1:2">
      <c r="A2656" s="3">
        <v>40310</v>
      </c>
      <c r="B2656" s="4">
        <v>1134.4000000000001</v>
      </c>
    </row>
    <row r="2657" spans="1:2">
      <c r="A2657" s="3">
        <v>40311</v>
      </c>
      <c r="B2657" s="4">
        <v>1130</v>
      </c>
    </row>
    <row r="2658" spans="1:2">
      <c r="A2658" s="3">
        <v>40312</v>
      </c>
      <c r="B2658" s="4">
        <v>1130</v>
      </c>
    </row>
    <row r="2659" spans="1:2">
      <c r="A2659" s="3">
        <v>40315</v>
      </c>
      <c r="B2659" s="4">
        <v>1152.5</v>
      </c>
    </row>
    <row r="2660" spans="1:2">
      <c r="A2660" s="3">
        <v>40316</v>
      </c>
      <c r="B2660" s="4">
        <v>1146</v>
      </c>
    </row>
    <row r="2661" spans="1:2">
      <c r="A2661" s="3">
        <v>40317</v>
      </c>
      <c r="B2661" s="4">
        <v>1163.9000000000001</v>
      </c>
    </row>
    <row r="2662" spans="1:2">
      <c r="A2662" s="3">
        <v>40318</v>
      </c>
      <c r="B2662" s="4">
        <v>1193.5</v>
      </c>
    </row>
    <row r="2663" spans="1:2">
      <c r="A2663" s="3">
        <v>40319</v>
      </c>
      <c r="B2663" s="4">
        <v>1193</v>
      </c>
    </row>
    <row r="2664" spans="1:2">
      <c r="A2664" s="3">
        <v>40322</v>
      </c>
      <c r="B2664" s="4">
        <v>1213.6500000000001</v>
      </c>
    </row>
    <row r="2665" spans="1:2">
      <c r="A2665" s="3">
        <v>40323</v>
      </c>
      <c r="B2665" s="4">
        <v>1250</v>
      </c>
    </row>
    <row r="2666" spans="1:2">
      <c r="A2666" s="3">
        <v>40324</v>
      </c>
      <c r="B2666" s="4">
        <v>1253.2</v>
      </c>
    </row>
    <row r="2667" spans="1:2">
      <c r="A2667" s="3">
        <v>40325</v>
      </c>
      <c r="B2667" s="4">
        <v>1222.95</v>
      </c>
    </row>
    <row r="2668" spans="1:2">
      <c r="A2668" s="3">
        <v>40326</v>
      </c>
      <c r="B2668" s="4">
        <v>1194.5</v>
      </c>
    </row>
    <row r="2669" spans="1:2">
      <c r="A2669" s="3">
        <v>40329</v>
      </c>
      <c r="B2669" s="4">
        <v>1202.1199999999999</v>
      </c>
    </row>
    <row r="2670" spans="1:2">
      <c r="A2670" s="3">
        <v>40330</v>
      </c>
      <c r="B2670" s="4">
        <v>1216</v>
      </c>
    </row>
    <row r="2671" spans="1:2">
      <c r="A2671" s="3">
        <v>40331</v>
      </c>
      <c r="B2671" s="4">
        <v>1216.5</v>
      </c>
    </row>
    <row r="2672" spans="1:2">
      <c r="A2672" s="3">
        <v>40332</v>
      </c>
      <c r="B2672" s="4">
        <v>1198.5</v>
      </c>
    </row>
    <row r="2673" spans="1:2">
      <c r="A2673" s="3">
        <v>40333</v>
      </c>
      <c r="B2673" s="4">
        <v>1201.5</v>
      </c>
    </row>
    <row r="2674" spans="1:2">
      <c r="A2674" s="3">
        <v>40336</v>
      </c>
      <c r="B2674" s="4">
        <v>1235.6099999999999</v>
      </c>
    </row>
    <row r="2675" spans="1:2">
      <c r="A2675" s="3">
        <v>40337</v>
      </c>
      <c r="B2675" s="4">
        <v>1233.99</v>
      </c>
    </row>
    <row r="2676" spans="1:2">
      <c r="A2676" s="3">
        <v>40338</v>
      </c>
      <c r="B2676" s="4">
        <v>1247.3</v>
      </c>
    </row>
    <row r="2677" spans="1:2">
      <c r="A2677" s="3">
        <v>40339</v>
      </c>
      <c r="B2677" s="4">
        <v>1250.4000000000001</v>
      </c>
    </row>
    <row r="2678" spans="1:2">
      <c r="A2678" s="3">
        <v>40340</v>
      </c>
      <c r="B2678" s="4">
        <v>1245.9000000000001</v>
      </c>
    </row>
    <row r="2679" spans="1:2">
      <c r="A2679" s="3">
        <v>40343</v>
      </c>
      <c r="B2679" s="4">
        <v>1221.2</v>
      </c>
    </row>
    <row r="2680" spans="1:2">
      <c r="A2680" s="3">
        <v>40344</v>
      </c>
      <c r="B2680" s="4">
        <v>1229</v>
      </c>
    </row>
    <row r="2681" spans="1:2">
      <c r="A2681" s="3">
        <v>40345</v>
      </c>
      <c r="B2681" s="4">
        <v>1211</v>
      </c>
    </row>
    <row r="2682" spans="1:2">
      <c r="A2682" s="3">
        <v>40346</v>
      </c>
      <c r="B2682" s="4">
        <v>1212.8</v>
      </c>
    </row>
    <row r="2683" spans="1:2">
      <c r="A2683" s="3">
        <v>40347</v>
      </c>
      <c r="B2683" s="4">
        <v>1202.55</v>
      </c>
    </row>
    <row r="2684" spans="1:2">
      <c r="A2684" s="3">
        <v>40350</v>
      </c>
      <c r="B2684" s="4">
        <v>1175.9000000000001</v>
      </c>
    </row>
    <row r="2685" spans="1:2">
      <c r="A2685" s="3">
        <v>40351</v>
      </c>
      <c r="B2685" s="4">
        <v>1183</v>
      </c>
    </row>
    <row r="2686" spans="1:2">
      <c r="A2686" s="3">
        <v>40352</v>
      </c>
      <c r="B2686" s="4">
        <v>1187</v>
      </c>
    </row>
    <row r="2687" spans="1:2">
      <c r="A2687" s="3">
        <v>40353</v>
      </c>
      <c r="B2687" s="4">
        <v>1188.5</v>
      </c>
    </row>
    <row r="2688" spans="1:2">
      <c r="A2688" s="3">
        <v>40354</v>
      </c>
      <c r="B2688" s="4">
        <v>1215</v>
      </c>
    </row>
    <row r="2689" spans="1:2">
      <c r="A2689" s="3">
        <v>40357</v>
      </c>
      <c r="B2689" s="4">
        <v>1202.8499999999999</v>
      </c>
    </row>
    <row r="2690" spans="1:2">
      <c r="A2690" s="3">
        <v>40358</v>
      </c>
      <c r="B2690" s="4">
        <v>1216.8499999999999</v>
      </c>
    </row>
    <row r="2691" spans="1:2">
      <c r="A2691" s="3">
        <v>40359</v>
      </c>
      <c r="B2691" s="4">
        <v>1222.0999999999999</v>
      </c>
    </row>
    <row r="2692" spans="1:2">
      <c r="A2692" s="3">
        <v>40360</v>
      </c>
      <c r="B2692" s="4">
        <v>1227</v>
      </c>
    </row>
    <row r="2693" spans="1:2">
      <c r="A2693" s="3">
        <v>40361</v>
      </c>
      <c r="B2693" s="4">
        <v>1228.6500000000001</v>
      </c>
    </row>
    <row r="2694" spans="1:2">
      <c r="A2694" s="3">
        <v>40364</v>
      </c>
      <c r="B2694" s="4">
        <v>1223</v>
      </c>
    </row>
    <row r="2695" spans="1:2">
      <c r="A2695" s="3">
        <v>40365</v>
      </c>
      <c r="B2695" s="4">
        <v>1222</v>
      </c>
    </row>
    <row r="2696" spans="1:2">
      <c r="A2696" s="3">
        <v>40366</v>
      </c>
      <c r="B2696" s="4">
        <v>1221</v>
      </c>
    </row>
    <row r="2697" spans="1:2">
      <c r="A2697" s="3">
        <v>40367</v>
      </c>
      <c r="B2697" s="4">
        <v>1208</v>
      </c>
    </row>
    <row r="2698" spans="1:2">
      <c r="A2698" s="3">
        <v>40368</v>
      </c>
      <c r="B2698" s="4">
        <v>1197.5</v>
      </c>
    </row>
    <row r="2699" spans="1:2">
      <c r="A2699" s="3">
        <v>40371</v>
      </c>
      <c r="B2699" s="4">
        <v>1203.3499999999999</v>
      </c>
    </row>
    <row r="2700" spans="1:2">
      <c r="A2700" s="3">
        <v>40372</v>
      </c>
      <c r="B2700" s="4">
        <v>1212.5</v>
      </c>
    </row>
    <row r="2701" spans="1:2">
      <c r="A2701" s="3">
        <v>40373</v>
      </c>
      <c r="B2701" s="4">
        <v>1201.55</v>
      </c>
    </row>
    <row r="2702" spans="1:2">
      <c r="A2702" s="3">
        <v>40374</v>
      </c>
      <c r="B2702" s="4">
        <v>1201.5</v>
      </c>
    </row>
    <row r="2703" spans="1:2">
      <c r="A2703" s="3">
        <v>40375</v>
      </c>
      <c r="B2703" s="4">
        <v>1202.5</v>
      </c>
    </row>
    <row r="2704" spans="1:2">
      <c r="A2704" s="3">
        <v>40378</v>
      </c>
      <c r="B2704" s="4">
        <v>1213.8</v>
      </c>
    </row>
    <row r="2705" spans="1:2">
      <c r="A2705" s="3">
        <v>40379</v>
      </c>
      <c r="B2705" s="4">
        <v>1206.4000000000001</v>
      </c>
    </row>
    <row r="2706" spans="1:2">
      <c r="A2706" s="3">
        <v>40380</v>
      </c>
      <c r="B2706" s="4">
        <v>1203.5</v>
      </c>
    </row>
    <row r="2707" spans="1:2">
      <c r="A2707" s="3">
        <v>40381</v>
      </c>
      <c r="B2707" s="4">
        <v>1203</v>
      </c>
    </row>
    <row r="2708" spans="1:2">
      <c r="A2708" s="3">
        <v>40382</v>
      </c>
      <c r="B2708" s="4">
        <v>1198.5</v>
      </c>
    </row>
    <row r="2709" spans="1:2">
      <c r="A2709" s="3">
        <v>40385</v>
      </c>
      <c r="B2709" s="4">
        <v>1191</v>
      </c>
    </row>
    <row r="2710" spans="1:2">
      <c r="A2710" s="3">
        <v>40386</v>
      </c>
      <c r="B2710" s="4">
        <v>1181.95</v>
      </c>
    </row>
    <row r="2711" spans="1:2">
      <c r="A2711" s="3">
        <v>40387</v>
      </c>
      <c r="B2711" s="4">
        <v>1185</v>
      </c>
    </row>
    <row r="2712" spans="1:2">
      <c r="A2712" s="3">
        <v>40388</v>
      </c>
      <c r="B2712" s="4">
        <v>1185.3499999999999</v>
      </c>
    </row>
    <row r="2713" spans="1:2">
      <c r="A2713" s="3">
        <v>40389</v>
      </c>
      <c r="B2713" s="4">
        <v>1182</v>
      </c>
    </row>
    <row r="2714" spans="1:2">
      <c r="A2714" s="3">
        <v>40392</v>
      </c>
      <c r="B2714" s="4">
        <v>1172.5</v>
      </c>
    </row>
    <row r="2715" spans="1:2">
      <c r="A2715" s="3">
        <v>40393</v>
      </c>
      <c r="B2715" s="4">
        <v>1167.2</v>
      </c>
    </row>
    <row r="2716" spans="1:2">
      <c r="A2716" s="3">
        <v>40394</v>
      </c>
      <c r="B2716" s="4">
        <v>1167</v>
      </c>
    </row>
    <row r="2717" spans="1:2">
      <c r="A2717" s="3">
        <v>40395</v>
      </c>
      <c r="B2717" s="4">
        <v>1166</v>
      </c>
    </row>
    <row r="2718" spans="1:2">
      <c r="A2718" s="3">
        <v>40396</v>
      </c>
      <c r="B2718" s="4">
        <v>1161</v>
      </c>
    </row>
    <row r="2719" spans="1:2">
      <c r="A2719" s="3">
        <v>40399</v>
      </c>
      <c r="B2719" s="4">
        <v>1160</v>
      </c>
    </row>
    <row r="2720" spans="1:2">
      <c r="A2720" s="3">
        <v>40400</v>
      </c>
      <c r="B2720" s="4">
        <v>1168.5999999999999</v>
      </c>
    </row>
    <row r="2721" spans="1:2">
      <c r="A2721" s="3">
        <v>40401</v>
      </c>
      <c r="B2721" s="4">
        <v>1182</v>
      </c>
    </row>
    <row r="2722" spans="1:2">
      <c r="A2722" s="3">
        <v>40402</v>
      </c>
      <c r="B2722" s="4">
        <v>1185.5</v>
      </c>
    </row>
    <row r="2723" spans="1:2">
      <c r="A2723" s="3">
        <v>40403</v>
      </c>
      <c r="B2723" s="4">
        <v>1183.7</v>
      </c>
    </row>
    <row r="2724" spans="1:2">
      <c r="A2724" s="3">
        <v>40406</v>
      </c>
      <c r="B2724" s="4">
        <v>1186.9000000000001</v>
      </c>
    </row>
    <row r="2725" spans="1:2">
      <c r="A2725" s="3">
        <v>40407</v>
      </c>
      <c r="B2725" s="4">
        <v>1176</v>
      </c>
    </row>
    <row r="2726" spans="1:2">
      <c r="A2726" s="3">
        <v>40408</v>
      </c>
      <c r="B2726" s="4">
        <v>1174</v>
      </c>
    </row>
    <row r="2727" spans="1:2">
      <c r="A2727" s="3">
        <v>40409</v>
      </c>
      <c r="B2727" s="4">
        <v>1172.1500000000001</v>
      </c>
    </row>
    <row r="2728" spans="1:2">
      <c r="A2728" s="3">
        <v>40410</v>
      </c>
      <c r="B2728" s="4">
        <v>1183.2</v>
      </c>
    </row>
    <row r="2729" spans="1:2">
      <c r="A2729" s="3">
        <v>40413</v>
      </c>
      <c r="B2729" s="4">
        <v>1181.5999999999999</v>
      </c>
    </row>
    <row r="2730" spans="1:2">
      <c r="A2730" s="3">
        <v>40414</v>
      </c>
      <c r="B2730" s="4">
        <v>1191</v>
      </c>
    </row>
    <row r="2731" spans="1:2">
      <c r="A2731" s="3">
        <v>40415</v>
      </c>
      <c r="B2731" s="4">
        <v>1196.1500000000001</v>
      </c>
    </row>
    <row r="2732" spans="1:2">
      <c r="A2732" s="3">
        <v>40416</v>
      </c>
      <c r="B2732" s="4">
        <v>1190.0999999999999</v>
      </c>
    </row>
    <row r="2733" spans="1:2">
      <c r="A2733" s="3">
        <v>40417</v>
      </c>
      <c r="B2733" s="4">
        <v>1195.0999999999999</v>
      </c>
    </row>
    <row r="2734" spans="1:2">
      <c r="A2734" s="3">
        <v>40420</v>
      </c>
      <c r="B2734" s="4">
        <v>1191</v>
      </c>
    </row>
    <row r="2735" spans="1:2">
      <c r="A2735" s="3">
        <v>40421</v>
      </c>
      <c r="B2735" s="4">
        <v>1198</v>
      </c>
    </row>
    <row r="2736" spans="1:2">
      <c r="A2736" s="3">
        <v>40422</v>
      </c>
      <c r="B2736" s="4">
        <v>1184</v>
      </c>
    </row>
    <row r="2737" spans="1:2">
      <c r="A2737" s="3">
        <v>40423</v>
      </c>
      <c r="B2737" s="4">
        <v>1178</v>
      </c>
    </row>
    <row r="2738" spans="1:2">
      <c r="A2738" s="3">
        <v>40424</v>
      </c>
      <c r="B2738" s="4">
        <v>1173</v>
      </c>
    </row>
    <row r="2739" spans="1:2">
      <c r="A2739" s="3">
        <v>40427</v>
      </c>
      <c r="B2739" s="4">
        <v>1171.1500000000001</v>
      </c>
    </row>
    <row r="2740" spans="1:2">
      <c r="A2740" s="3">
        <v>40428</v>
      </c>
      <c r="B2740" s="4">
        <v>1177</v>
      </c>
    </row>
    <row r="2741" spans="1:2">
      <c r="A2741" s="3">
        <v>40429</v>
      </c>
      <c r="B2741" s="4">
        <v>1171.5</v>
      </c>
    </row>
    <row r="2742" spans="1:2">
      <c r="A2742" s="3">
        <v>40430</v>
      </c>
      <c r="B2742" s="4">
        <v>1166.75</v>
      </c>
    </row>
    <row r="2743" spans="1:2">
      <c r="A2743" s="3">
        <v>40431</v>
      </c>
      <c r="B2743" s="4">
        <v>1164.8499999999999</v>
      </c>
    </row>
    <row r="2744" spans="1:2">
      <c r="A2744" s="3">
        <v>40434</v>
      </c>
      <c r="B2744" s="4">
        <v>1159</v>
      </c>
    </row>
    <row r="2745" spans="1:2">
      <c r="A2745" s="3">
        <v>40435</v>
      </c>
      <c r="B2745" s="4">
        <v>1159.5</v>
      </c>
    </row>
    <row r="2746" spans="1:2">
      <c r="A2746" s="3">
        <v>40436</v>
      </c>
      <c r="B2746" s="4">
        <v>1158.4000000000001</v>
      </c>
    </row>
    <row r="2747" spans="1:2">
      <c r="A2747" s="3">
        <v>40437</v>
      </c>
      <c r="B2747" s="4">
        <v>1161.9000000000001</v>
      </c>
    </row>
    <row r="2748" spans="1:2">
      <c r="A2748" s="3">
        <v>40438</v>
      </c>
      <c r="B2748" s="4">
        <v>1160</v>
      </c>
    </row>
    <row r="2749" spans="1:2">
      <c r="A2749" s="3">
        <v>40441</v>
      </c>
      <c r="B2749" s="4">
        <v>1160.5</v>
      </c>
    </row>
    <row r="2750" spans="1:2">
      <c r="A2750" s="3">
        <v>40442</v>
      </c>
      <c r="B2750" s="4">
        <v>1160</v>
      </c>
    </row>
    <row r="2751" spans="1:2">
      <c r="A2751" s="3">
        <v>40443</v>
      </c>
      <c r="B2751" s="4">
        <v>1149.1500000000001</v>
      </c>
    </row>
    <row r="2752" spans="1:2">
      <c r="A2752" s="3">
        <v>40444</v>
      </c>
      <c r="B2752" s="4">
        <v>1150.6500000000001</v>
      </c>
    </row>
    <row r="2753" spans="1:2">
      <c r="A2753" s="3">
        <v>40445</v>
      </c>
      <c r="B2753" s="4">
        <v>1154.2</v>
      </c>
    </row>
    <row r="2754" spans="1:2">
      <c r="A2754" s="3">
        <v>40448</v>
      </c>
      <c r="B2754" s="4">
        <v>1146</v>
      </c>
    </row>
    <row r="2755" spans="1:2">
      <c r="A2755" s="3">
        <v>40449</v>
      </c>
      <c r="B2755" s="4">
        <v>1145.5</v>
      </c>
    </row>
    <row r="2756" spans="1:2">
      <c r="A2756" s="3">
        <v>40450</v>
      </c>
      <c r="B2756" s="4">
        <v>1139</v>
      </c>
    </row>
    <row r="2757" spans="1:2">
      <c r="A2757" s="3">
        <v>40451</v>
      </c>
      <c r="B2757" s="4">
        <v>1140.0999999999999</v>
      </c>
    </row>
    <row r="2758" spans="1:2">
      <c r="A2758" s="3">
        <v>40452</v>
      </c>
      <c r="B2758" s="4">
        <v>1130</v>
      </c>
    </row>
    <row r="2759" spans="1:2">
      <c r="A2759" s="3">
        <v>40455</v>
      </c>
      <c r="B2759" s="4">
        <v>1122</v>
      </c>
    </row>
    <row r="2760" spans="1:2">
      <c r="A2760" s="3">
        <v>40456</v>
      </c>
      <c r="B2760" s="4">
        <v>1123</v>
      </c>
    </row>
    <row r="2761" spans="1:2">
      <c r="A2761" s="3">
        <v>40457</v>
      </c>
      <c r="B2761" s="4">
        <v>1117.4000000000001</v>
      </c>
    </row>
    <row r="2762" spans="1:2">
      <c r="A2762" s="3">
        <v>40458</v>
      </c>
      <c r="B2762" s="4">
        <v>1114</v>
      </c>
    </row>
    <row r="2763" spans="1:2">
      <c r="A2763" s="3">
        <v>40459</v>
      </c>
      <c r="B2763" s="4">
        <v>1120.5</v>
      </c>
    </row>
    <row r="2764" spans="1:2">
      <c r="A2764" s="3">
        <v>40462</v>
      </c>
      <c r="B2764" s="4">
        <v>1116.7</v>
      </c>
    </row>
    <row r="2765" spans="1:2">
      <c r="A2765" s="3">
        <v>40463</v>
      </c>
      <c r="B2765" s="4">
        <v>1130.1500000000001</v>
      </c>
    </row>
    <row r="2766" spans="1:2">
      <c r="A2766" s="3">
        <v>40464</v>
      </c>
      <c r="B2766" s="4">
        <v>1119</v>
      </c>
    </row>
    <row r="2767" spans="1:2">
      <c r="A2767" s="3">
        <v>40465</v>
      </c>
      <c r="B2767" s="4">
        <v>1110</v>
      </c>
    </row>
    <row r="2768" spans="1:2">
      <c r="A2768" s="3">
        <v>40466</v>
      </c>
      <c r="B2768" s="4">
        <v>1110.4000000000001</v>
      </c>
    </row>
    <row r="2769" spans="1:2">
      <c r="A2769" s="3">
        <v>40469</v>
      </c>
      <c r="B2769" s="4">
        <v>1115</v>
      </c>
    </row>
    <row r="2770" spans="1:2">
      <c r="A2770" s="3">
        <v>40470</v>
      </c>
      <c r="B2770" s="4">
        <v>1126.7</v>
      </c>
    </row>
    <row r="2771" spans="1:2">
      <c r="A2771" s="3">
        <v>40471</v>
      </c>
      <c r="B2771" s="4">
        <v>1122</v>
      </c>
    </row>
    <row r="2772" spans="1:2">
      <c r="A2772" s="3">
        <v>40472</v>
      </c>
      <c r="B2772" s="4">
        <v>1128.4000000000001</v>
      </c>
    </row>
    <row r="2773" spans="1:2">
      <c r="A2773" s="3">
        <v>40473</v>
      </c>
      <c r="B2773" s="4">
        <v>1125.5999999999999</v>
      </c>
    </row>
    <row r="2774" spans="1:2">
      <c r="A2774" s="3">
        <v>40476</v>
      </c>
      <c r="B2774" s="4">
        <v>1115.5999999999999</v>
      </c>
    </row>
    <row r="2775" spans="1:2">
      <c r="A2775" s="3">
        <v>40477</v>
      </c>
      <c r="B2775" s="4">
        <v>1123</v>
      </c>
    </row>
    <row r="2776" spans="1:2">
      <c r="A2776" s="3">
        <v>40478</v>
      </c>
      <c r="B2776" s="4">
        <v>1130</v>
      </c>
    </row>
    <row r="2777" spans="1:2">
      <c r="A2777" s="3">
        <v>40479</v>
      </c>
      <c r="B2777" s="4">
        <v>1123</v>
      </c>
    </row>
    <row r="2778" spans="1:2">
      <c r="A2778" s="3">
        <v>40480</v>
      </c>
      <c r="B2778" s="4">
        <v>1124</v>
      </c>
    </row>
    <row r="2779" spans="1:2">
      <c r="A2779" s="3">
        <v>40483</v>
      </c>
      <c r="B2779" s="4">
        <v>1117.73</v>
      </c>
    </row>
    <row r="2780" spans="1:2">
      <c r="A2780" s="3">
        <v>40484</v>
      </c>
      <c r="B2780" s="4">
        <v>1111</v>
      </c>
    </row>
    <row r="2781" spans="1:2">
      <c r="A2781" s="3">
        <v>40485</v>
      </c>
      <c r="B2781" s="4">
        <v>1107.78</v>
      </c>
    </row>
    <row r="2782" spans="1:2">
      <c r="A2782" s="3">
        <v>40486</v>
      </c>
      <c r="B2782" s="4">
        <v>1106.53</v>
      </c>
    </row>
    <row r="2783" spans="1:2">
      <c r="A2783" s="3">
        <v>40487</v>
      </c>
      <c r="B2783" s="4">
        <v>1107.0999999999999</v>
      </c>
    </row>
    <row r="2784" spans="1:2">
      <c r="A2784" s="3">
        <v>40490</v>
      </c>
      <c r="B2784" s="4">
        <v>1115</v>
      </c>
    </row>
    <row r="2785" spans="1:2">
      <c r="A2785" s="3">
        <v>40491</v>
      </c>
      <c r="B2785" s="4">
        <v>1114</v>
      </c>
    </row>
    <row r="2786" spans="1:2">
      <c r="A2786" s="3">
        <v>40492</v>
      </c>
      <c r="B2786" s="4">
        <v>1109.5999999999999</v>
      </c>
    </row>
    <row r="2787" spans="1:2">
      <c r="A2787" s="3">
        <v>40493</v>
      </c>
      <c r="B2787" s="4">
        <v>1110</v>
      </c>
    </row>
    <row r="2788" spans="1:2">
      <c r="A2788" s="3">
        <v>40494</v>
      </c>
      <c r="B2788" s="4">
        <v>1127.2</v>
      </c>
    </row>
    <row r="2789" spans="1:2">
      <c r="A2789" s="3">
        <v>40497</v>
      </c>
      <c r="B2789" s="4">
        <v>1134.7</v>
      </c>
    </row>
    <row r="2790" spans="1:2">
      <c r="A2790" s="3">
        <v>40498</v>
      </c>
      <c r="B2790" s="4">
        <v>1129.8</v>
      </c>
    </row>
    <row r="2791" spans="1:2">
      <c r="A2791" s="3">
        <v>40499</v>
      </c>
      <c r="B2791" s="4">
        <v>1140</v>
      </c>
    </row>
    <row r="2792" spans="1:2">
      <c r="A2792" s="3">
        <v>40500</v>
      </c>
      <c r="B2792" s="4">
        <v>1129.9000000000001</v>
      </c>
    </row>
    <row r="2793" spans="1:2">
      <c r="A2793" s="3">
        <v>40501</v>
      </c>
      <c r="B2793" s="4">
        <v>1131.1500000000001</v>
      </c>
    </row>
    <row r="2794" spans="1:2">
      <c r="A2794" s="3">
        <v>40504</v>
      </c>
      <c r="B2794" s="4">
        <v>1126</v>
      </c>
    </row>
    <row r="2795" spans="1:2">
      <c r="A2795" s="3">
        <v>40505</v>
      </c>
      <c r="B2795" s="4">
        <v>1162</v>
      </c>
    </row>
    <row r="2796" spans="1:2">
      <c r="A2796" s="3">
        <v>40506</v>
      </c>
      <c r="B2796" s="4">
        <v>1146.95</v>
      </c>
    </row>
    <row r="2797" spans="1:2">
      <c r="A2797" s="3">
        <v>40507</v>
      </c>
      <c r="B2797" s="4">
        <v>1141.6500000000001</v>
      </c>
    </row>
    <row r="2798" spans="1:2">
      <c r="A2798" s="3">
        <v>40508</v>
      </c>
      <c r="B2798" s="4">
        <v>1153.95</v>
      </c>
    </row>
    <row r="2799" spans="1:2">
      <c r="A2799" s="3">
        <v>40511</v>
      </c>
      <c r="B2799" s="4">
        <v>1164</v>
      </c>
    </row>
    <row r="2800" spans="1:2">
      <c r="A2800" s="3">
        <v>40512</v>
      </c>
      <c r="B2800" s="4">
        <v>1157</v>
      </c>
    </row>
    <row r="2801" spans="1:2">
      <c r="A2801" s="3">
        <v>40513</v>
      </c>
      <c r="B2801" s="4">
        <v>1149</v>
      </c>
    </row>
    <row r="2802" spans="1:2">
      <c r="A2802" s="3">
        <v>40514</v>
      </c>
      <c r="B2802" s="4">
        <v>1148</v>
      </c>
    </row>
    <row r="2803" spans="1:2">
      <c r="A2803" s="3">
        <v>40515</v>
      </c>
      <c r="B2803" s="4">
        <v>1136.5</v>
      </c>
    </row>
    <row r="2804" spans="1:2">
      <c r="A2804" s="3">
        <v>40518</v>
      </c>
      <c r="B2804" s="4">
        <v>1137.2</v>
      </c>
    </row>
    <row r="2805" spans="1:2">
      <c r="A2805" s="3">
        <v>40519</v>
      </c>
      <c r="B2805" s="4">
        <v>1132</v>
      </c>
    </row>
    <row r="2806" spans="1:2">
      <c r="A2806" s="3">
        <v>40520</v>
      </c>
      <c r="B2806" s="4">
        <v>1142.5</v>
      </c>
    </row>
    <row r="2807" spans="1:2">
      <c r="A2807" s="3">
        <v>40521</v>
      </c>
      <c r="B2807" s="4">
        <v>1138</v>
      </c>
    </row>
    <row r="2808" spans="1:2">
      <c r="A2808" s="3">
        <v>40522</v>
      </c>
      <c r="B2808" s="4">
        <v>1143</v>
      </c>
    </row>
    <row r="2809" spans="1:2">
      <c r="A2809" s="3">
        <v>40525</v>
      </c>
      <c r="B2809" s="4">
        <v>1144.9000000000001</v>
      </c>
    </row>
    <row r="2810" spans="1:2">
      <c r="A2810" s="3">
        <v>40526</v>
      </c>
      <c r="B2810" s="4">
        <v>1139</v>
      </c>
    </row>
    <row r="2811" spans="1:2">
      <c r="A2811" s="3">
        <v>40527</v>
      </c>
      <c r="B2811" s="4">
        <v>1155</v>
      </c>
    </row>
    <row r="2812" spans="1:2">
      <c r="A2812" s="3">
        <v>40528</v>
      </c>
      <c r="B2812" s="4">
        <v>1155</v>
      </c>
    </row>
    <row r="2813" spans="1:2">
      <c r="A2813" s="3">
        <v>40529</v>
      </c>
      <c r="B2813" s="4">
        <v>1155.05</v>
      </c>
    </row>
    <row r="2814" spans="1:2">
      <c r="A2814" s="3">
        <v>40532</v>
      </c>
      <c r="B2814" s="4">
        <v>1154.0999999999999</v>
      </c>
    </row>
    <row r="2815" spans="1:2">
      <c r="A2815" s="3">
        <v>40533</v>
      </c>
      <c r="B2815" s="4">
        <v>1155.1500000000001</v>
      </c>
    </row>
    <row r="2816" spans="1:2">
      <c r="A2816" s="3">
        <v>40534</v>
      </c>
      <c r="B2816" s="4">
        <v>1153.9000000000001</v>
      </c>
    </row>
    <row r="2817" spans="1:2">
      <c r="A2817" s="3">
        <v>40535</v>
      </c>
      <c r="B2817" s="4">
        <v>1151.9000000000001</v>
      </c>
    </row>
    <row r="2818" spans="1:2">
      <c r="A2818" s="3">
        <v>40536</v>
      </c>
      <c r="B2818" s="4">
        <v>1150.7</v>
      </c>
    </row>
    <row r="2819" spans="1:2">
      <c r="A2819" s="3">
        <v>40539</v>
      </c>
      <c r="B2819" s="4">
        <v>1148.9000000000001</v>
      </c>
    </row>
    <row r="2820" spans="1:2">
      <c r="A2820" s="3">
        <v>40540</v>
      </c>
      <c r="B2820" s="4">
        <v>1143</v>
      </c>
    </row>
    <row r="2821" spans="1:2">
      <c r="A2821" s="3">
        <v>40541</v>
      </c>
      <c r="B2821" s="4">
        <v>1146</v>
      </c>
    </row>
    <row r="2822" spans="1:2">
      <c r="A2822" s="3">
        <v>40542</v>
      </c>
      <c r="B2822" s="4">
        <v>1130.5999999999999</v>
      </c>
    </row>
    <row r="2823" spans="1:2">
      <c r="A2823" s="3">
        <v>40543</v>
      </c>
      <c r="B2823" s="4">
        <v>1120.5</v>
      </c>
    </row>
    <row r="2824" spans="1:2">
      <c r="A2824" s="3">
        <v>40546</v>
      </c>
      <c r="B2824" s="4">
        <v>1124.3</v>
      </c>
    </row>
    <row r="2825" spans="1:2">
      <c r="A2825" s="3">
        <v>40547</v>
      </c>
      <c r="B2825" s="4">
        <v>1124</v>
      </c>
    </row>
    <row r="2826" spans="1:2">
      <c r="A2826" s="3">
        <v>40548</v>
      </c>
      <c r="B2826" s="4">
        <v>1122</v>
      </c>
    </row>
    <row r="2827" spans="1:2">
      <c r="A2827" s="3">
        <v>40549</v>
      </c>
      <c r="B2827" s="4">
        <v>1122.7</v>
      </c>
    </row>
    <row r="2828" spans="1:2">
      <c r="A2828" s="3">
        <v>40550</v>
      </c>
      <c r="B2828" s="4">
        <v>1121.7</v>
      </c>
    </row>
    <row r="2829" spans="1:2">
      <c r="A2829" s="3">
        <v>40553</v>
      </c>
      <c r="B2829" s="4">
        <v>1125</v>
      </c>
    </row>
    <row r="2830" spans="1:2">
      <c r="A2830" s="3">
        <v>40554</v>
      </c>
      <c r="B2830" s="4">
        <v>1124</v>
      </c>
    </row>
    <row r="2831" spans="1:2">
      <c r="A2831" s="3">
        <v>40555</v>
      </c>
      <c r="B2831" s="4">
        <v>1109</v>
      </c>
    </row>
    <row r="2832" spans="1:2">
      <c r="A2832" s="3">
        <v>40556</v>
      </c>
      <c r="B2832" s="4">
        <v>1112</v>
      </c>
    </row>
    <row r="2833" spans="1:2">
      <c r="A2833" s="3">
        <v>40557</v>
      </c>
      <c r="B2833" s="4">
        <v>1114.55</v>
      </c>
    </row>
    <row r="2834" spans="1:2">
      <c r="A2834" s="3">
        <v>40560</v>
      </c>
      <c r="B2834" s="4">
        <v>1115</v>
      </c>
    </row>
    <row r="2835" spans="1:2">
      <c r="A2835" s="3">
        <v>40561</v>
      </c>
      <c r="B2835" s="4">
        <v>1111</v>
      </c>
    </row>
    <row r="2836" spans="1:2">
      <c r="A2836" s="3">
        <v>40562</v>
      </c>
      <c r="B2836" s="4">
        <v>1112.0999999999999</v>
      </c>
    </row>
    <row r="2837" spans="1:2">
      <c r="A2837" s="3">
        <v>40563</v>
      </c>
      <c r="B2837" s="4">
        <v>1124</v>
      </c>
    </row>
    <row r="2838" spans="1:2">
      <c r="A2838" s="3">
        <v>40564</v>
      </c>
      <c r="B2838" s="4">
        <v>1118</v>
      </c>
    </row>
    <row r="2839" spans="1:2">
      <c r="A2839" s="3">
        <v>40567</v>
      </c>
      <c r="B2839" s="4">
        <v>1118</v>
      </c>
    </row>
    <row r="2840" spans="1:2">
      <c r="A2840" s="3">
        <v>40568</v>
      </c>
      <c r="B2840" s="4">
        <v>1119</v>
      </c>
    </row>
    <row r="2841" spans="1:2">
      <c r="A2841" s="3">
        <v>40569</v>
      </c>
      <c r="B2841" s="4">
        <v>1115</v>
      </c>
    </row>
    <row r="2842" spans="1:2">
      <c r="A2842" s="3">
        <v>40570</v>
      </c>
      <c r="B2842" s="4">
        <v>1114.3</v>
      </c>
    </row>
    <row r="2843" spans="1:2">
      <c r="A2843" s="3">
        <v>40571</v>
      </c>
      <c r="B2843" s="4">
        <v>1115.5999999999999</v>
      </c>
    </row>
    <row r="2844" spans="1:2">
      <c r="A2844" s="3">
        <v>40574</v>
      </c>
      <c r="B2844" s="4">
        <v>1119.25</v>
      </c>
    </row>
    <row r="2845" spans="1:2">
      <c r="A2845" s="3">
        <v>40575</v>
      </c>
      <c r="B2845" s="4">
        <v>1113.5999999999999</v>
      </c>
    </row>
    <row r="2846" spans="1:2">
      <c r="A2846" s="3">
        <v>40576</v>
      </c>
      <c r="B2846" s="4">
        <v>1113.5999999999999</v>
      </c>
    </row>
    <row r="2847" spans="1:2">
      <c r="A2847" s="3">
        <v>40577</v>
      </c>
      <c r="B2847" s="4">
        <v>1113.5999999999999</v>
      </c>
    </row>
    <row r="2848" spans="1:2">
      <c r="A2848" s="3">
        <v>40578</v>
      </c>
      <c r="B2848" s="4">
        <v>1113.5999999999999</v>
      </c>
    </row>
    <row r="2849" spans="1:2">
      <c r="A2849" s="3">
        <v>40581</v>
      </c>
      <c r="B2849" s="4">
        <v>1102</v>
      </c>
    </row>
    <row r="2850" spans="1:2">
      <c r="A2850" s="3">
        <v>40582</v>
      </c>
      <c r="B2850" s="4">
        <v>1099</v>
      </c>
    </row>
    <row r="2851" spans="1:2">
      <c r="A2851" s="3">
        <v>40583</v>
      </c>
      <c r="B2851" s="4">
        <v>1110.4000000000001</v>
      </c>
    </row>
    <row r="2852" spans="1:2">
      <c r="A2852" s="3">
        <v>40584</v>
      </c>
      <c r="B2852" s="4">
        <v>1117</v>
      </c>
    </row>
    <row r="2853" spans="1:2">
      <c r="A2853" s="3">
        <v>40585</v>
      </c>
      <c r="B2853" s="4">
        <v>1126.3</v>
      </c>
    </row>
    <row r="2854" spans="1:2">
      <c r="A2854" s="3">
        <v>40588</v>
      </c>
      <c r="B2854" s="4">
        <v>1123.5</v>
      </c>
    </row>
    <row r="2855" spans="1:2">
      <c r="A2855" s="3">
        <v>40589</v>
      </c>
      <c r="B2855" s="4">
        <v>1121.3</v>
      </c>
    </row>
    <row r="2856" spans="1:2">
      <c r="A2856" s="3">
        <v>40590</v>
      </c>
      <c r="B2856" s="4">
        <v>1115.3</v>
      </c>
    </row>
    <row r="2857" spans="1:2">
      <c r="A2857" s="3">
        <v>40591</v>
      </c>
      <c r="B2857" s="4">
        <v>1114.5</v>
      </c>
    </row>
    <row r="2858" spans="1:2">
      <c r="A2858" s="3">
        <v>40592</v>
      </c>
      <c r="B2858" s="4">
        <v>1109.9000000000001</v>
      </c>
    </row>
    <row r="2859" spans="1:2">
      <c r="A2859" s="3">
        <v>40595</v>
      </c>
      <c r="B2859" s="4">
        <v>1119</v>
      </c>
    </row>
    <row r="2860" spans="1:2">
      <c r="A2860" s="3">
        <v>40596</v>
      </c>
      <c r="B2860" s="4">
        <v>1126.8</v>
      </c>
    </row>
    <row r="2861" spans="1:2">
      <c r="A2861" s="3">
        <v>40597</v>
      </c>
      <c r="B2861" s="4">
        <v>1127.2</v>
      </c>
    </row>
    <row r="2862" spans="1:2">
      <c r="A2862" s="3">
        <v>40598</v>
      </c>
      <c r="B2862" s="4">
        <v>1130.5</v>
      </c>
    </row>
    <row r="2863" spans="1:2">
      <c r="A2863" s="3">
        <v>40599</v>
      </c>
      <c r="B2863" s="4">
        <v>1126</v>
      </c>
    </row>
    <row r="2864" spans="1:2">
      <c r="A2864" s="3">
        <v>40602</v>
      </c>
      <c r="B2864" s="4">
        <v>1124.6500000000001</v>
      </c>
    </row>
    <row r="2865" spans="1:2">
      <c r="A2865" s="3">
        <v>40603</v>
      </c>
      <c r="B2865" s="4">
        <v>1124</v>
      </c>
    </row>
    <row r="2866" spans="1:2">
      <c r="A2866" s="3">
        <v>40604</v>
      </c>
      <c r="B2866" s="4">
        <v>1121</v>
      </c>
    </row>
    <row r="2867" spans="1:2">
      <c r="A2867" s="3">
        <v>40605</v>
      </c>
      <c r="B2867" s="4">
        <v>1113.4000000000001</v>
      </c>
    </row>
    <row r="2868" spans="1:2">
      <c r="A2868" s="3">
        <v>40606</v>
      </c>
      <c r="B2868" s="4">
        <v>1117.5</v>
      </c>
    </row>
    <row r="2869" spans="1:2">
      <c r="A2869" s="3">
        <v>40609</v>
      </c>
      <c r="B2869" s="4">
        <v>1116.3499999999999</v>
      </c>
    </row>
    <row r="2870" spans="1:2">
      <c r="A2870" s="3">
        <v>40610</v>
      </c>
      <c r="B2870" s="4">
        <v>1114.45</v>
      </c>
    </row>
    <row r="2871" spans="1:2">
      <c r="A2871" s="3">
        <v>40611</v>
      </c>
      <c r="B2871" s="4">
        <v>1113.2</v>
      </c>
    </row>
    <row r="2872" spans="1:2">
      <c r="A2872" s="3">
        <v>40612</v>
      </c>
      <c r="B2872" s="4">
        <v>1125.45</v>
      </c>
    </row>
    <row r="2873" spans="1:2">
      <c r="A2873" s="3">
        <v>40613</v>
      </c>
      <c r="B2873" s="4">
        <v>1126</v>
      </c>
    </row>
    <row r="2874" spans="1:2">
      <c r="A2874" s="3">
        <v>40616</v>
      </c>
      <c r="B2874" s="4">
        <v>1123.25</v>
      </c>
    </row>
    <row r="2875" spans="1:2">
      <c r="A2875" s="3">
        <v>40617</v>
      </c>
      <c r="B2875" s="4">
        <v>1133.55</v>
      </c>
    </row>
    <row r="2876" spans="1:2">
      <c r="A2876" s="3">
        <v>40618</v>
      </c>
      <c r="B2876" s="4">
        <v>1135.95</v>
      </c>
    </row>
    <row r="2877" spans="1:2">
      <c r="A2877" s="3">
        <v>40619</v>
      </c>
      <c r="B2877" s="4">
        <v>1133.45</v>
      </c>
    </row>
    <row r="2878" spans="1:2">
      <c r="A2878" s="3">
        <v>40620</v>
      </c>
      <c r="B2878" s="4">
        <v>1125.0999999999999</v>
      </c>
    </row>
    <row r="2879" spans="1:2">
      <c r="A2879" s="3">
        <v>40623</v>
      </c>
      <c r="B2879" s="4">
        <v>1119.45</v>
      </c>
    </row>
    <row r="2880" spans="1:2">
      <c r="A2880" s="3">
        <v>40624</v>
      </c>
      <c r="B2880" s="4">
        <v>1119.5</v>
      </c>
    </row>
    <row r="2881" spans="1:2">
      <c r="A2881" s="3">
        <v>40625</v>
      </c>
      <c r="B2881" s="4">
        <v>1121.4000000000001</v>
      </c>
    </row>
    <row r="2882" spans="1:2">
      <c r="A2882" s="3">
        <v>40626</v>
      </c>
      <c r="B2882" s="4">
        <v>1118.5999999999999</v>
      </c>
    </row>
    <row r="2883" spans="1:2">
      <c r="A2883" s="3">
        <v>40627</v>
      </c>
      <c r="B2883" s="4">
        <v>1110.7</v>
      </c>
    </row>
    <row r="2884" spans="1:2">
      <c r="A2884" s="3">
        <v>40630</v>
      </c>
      <c r="B2884" s="4">
        <v>1112.3499999999999</v>
      </c>
    </row>
    <row r="2885" spans="1:2">
      <c r="A2885" s="3">
        <v>40631</v>
      </c>
      <c r="B2885" s="4">
        <v>1110.5</v>
      </c>
    </row>
    <row r="2886" spans="1:2">
      <c r="A2886" s="3">
        <v>40632</v>
      </c>
      <c r="B2886" s="4">
        <v>1102.45</v>
      </c>
    </row>
    <row r="2887" spans="1:2">
      <c r="A2887" s="3">
        <v>40633</v>
      </c>
      <c r="B2887" s="4">
        <v>1095.5</v>
      </c>
    </row>
    <row r="2888" spans="1:2">
      <c r="A2888" s="3">
        <v>40634</v>
      </c>
      <c r="B2888" s="4">
        <v>1086.7</v>
      </c>
    </row>
    <row r="2889" spans="1:2">
      <c r="A2889" s="3">
        <v>40637</v>
      </c>
      <c r="B2889" s="4">
        <v>1087.45</v>
      </c>
    </row>
    <row r="2890" spans="1:2">
      <c r="A2890" s="3">
        <v>40638</v>
      </c>
      <c r="B2890" s="4">
        <v>1086.5</v>
      </c>
    </row>
    <row r="2891" spans="1:2">
      <c r="A2891" s="3">
        <v>40639</v>
      </c>
      <c r="B2891" s="4">
        <v>1084.8499999999999</v>
      </c>
    </row>
    <row r="2892" spans="1:2">
      <c r="A2892" s="3">
        <v>40640</v>
      </c>
      <c r="B2892" s="4">
        <v>1086.5999999999999</v>
      </c>
    </row>
    <row r="2893" spans="1:2">
      <c r="A2893" s="3">
        <v>40641</v>
      </c>
      <c r="B2893" s="4">
        <v>1082</v>
      </c>
    </row>
    <row r="2894" spans="1:2">
      <c r="A2894" s="3">
        <v>40644</v>
      </c>
      <c r="B2894" s="4">
        <v>1087.25</v>
      </c>
    </row>
    <row r="2895" spans="1:2">
      <c r="A2895" s="3">
        <v>40645</v>
      </c>
      <c r="B2895" s="4">
        <v>1091</v>
      </c>
    </row>
    <row r="2896" spans="1:2">
      <c r="A2896" s="3">
        <v>40646</v>
      </c>
      <c r="B2896" s="4">
        <v>1085.55</v>
      </c>
    </row>
    <row r="2897" spans="1:2">
      <c r="A2897" s="3">
        <v>40647</v>
      </c>
      <c r="B2897" s="4">
        <v>1085.3</v>
      </c>
    </row>
    <row r="2898" spans="1:2">
      <c r="A2898" s="3">
        <v>40648</v>
      </c>
      <c r="B2898" s="4">
        <v>1087</v>
      </c>
    </row>
    <row r="2899" spans="1:2">
      <c r="A2899" s="3">
        <v>40651</v>
      </c>
      <c r="B2899" s="4">
        <v>1088</v>
      </c>
    </row>
    <row r="2900" spans="1:2">
      <c r="A2900" s="3">
        <v>40652</v>
      </c>
      <c r="B2900" s="4">
        <v>1084.45</v>
      </c>
    </row>
    <row r="2901" spans="1:2">
      <c r="A2901" s="3">
        <v>40653</v>
      </c>
      <c r="B2901" s="4">
        <v>1077.7</v>
      </c>
    </row>
    <row r="2902" spans="1:2">
      <c r="A2902" s="3">
        <v>40654</v>
      </c>
      <c r="B2902" s="4">
        <v>1079.95</v>
      </c>
    </row>
    <row r="2903" spans="1:2">
      <c r="A2903" s="3">
        <v>40655</v>
      </c>
      <c r="B2903" s="4">
        <v>1080.8</v>
      </c>
    </row>
    <row r="2904" spans="1:2">
      <c r="A2904" s="3">
        <v>40658</v>
      </c>
      <c r="B2904" s="4">
        <v>1081.55</v>
      </c>
    </row>
    <row r="2905" spans="1:2">
      <c r="A2905" s="3">
        <v>40659</v>
      </c>
      <c r="B2905" s="4">
        <v>1082</v>
      </c>
    </row>
    <row r="2906" spans="1:2">
      <c r="A2906" s="3">
        <v>40660</v>
      </c>
      <c r="B2906" s="4">
        <v>1076.55</v>
      </c>
    </row>
    <row r="2907" spans="1:2">
      <c r="A2907" s="3">
        <v>40661</v>
      </c>
      <c r="B2907" s="4">
        <v>1072.4000000000001</v>
      </c>
    </row>
    <row r="2908" spans="1:2">
      <c r="A2908" s="3">
        <v>40662</v>
      </c>
      <c r="B2908" s="4">
        <v>1068</v>
      </c>
    </row>
    <row r="2909" spans="1:2">
      <c r="A2909" s="3">
        <v>40665</v>
      </c>
      <c r="B2909" s="4">
        <v>1065.5</v>
      </c>
    </row>
    <row r="2910" spans="1:2">
      <c r="A2910" s="3">
        <v>40666</v>
      </c>
      <c r="B2910" s="4">
        <v>1073</v>
      </c>
    </row>
    <row r="2911" spans="1:2">
      <c r="A2911" s="3">
        <v>40667</v>
      </c>
      <c r="B2911" s="4">
        <v>1076.3</v>
      </c>
    </row>
    <row r="2912" spans="1:2">
      <c r="A2912" s="3">
        <v>40668</v>
      </c>
      <c r="B2912" s="4">
        <v>1081.3</v>
      </c>
    </row>
    <row r="2913" spans="1:2">
      <c r="A2913" s="3">
        <v>40669</v>
      </c>
      <c r="B2913" s="4">
        <v>1085.0999999999999</v>
      </c>
    </row>
    <row r="2914" spans="1:2">
      <c r="A2914" s="3">
        <v>40672</v>
      </c>
      <c r="B2914" s="4">
        <v>1081</v>
      </c>
    </row>
    <row r="2915" spans="1:2">
      <c r="A2915" s="3">
        <v>40673</v>
      </c>
      <c r="B2915" s="4">
        <v>1080</v>
      </c>
    </row>
    <row r="2916" spans="1:2">
      <c r="A2916" s="3">
        <v>40674</v>
      </c>
      <c r="B2916" s="4">
        <v>1076</v>
      </c>
    </row>
    <row r="2917" spans="1:2">
      <c r="A2917" s="3">
        <v>40675</v>
      </c>
      <c r="B2917" s="4">
        <v>1088</v>
      </c>
    </row>
    <row r="2918" spans="1:2">
      <c r="A2918" s="3">
        <v>40676</v>
      </c>
      <c r="B2918" s="4">
        <v>1086.8</v>
      </c>
    </row>
    <row r="2919" spans="1:2">
      <c r="A2919" s="3">
        <v>40679</v>
      </c>
      <c r="B2919" s="4">
        <v>1091.7</v>
      </c>
    </row>
    <row r="2920" spans="1:2">
      <c r="A2920" s="3">
        <v>40680</v>
      </c>
      <c r="B2920" s="4">
        <v>1088.3</v>
      </c>
    </row>
    <row r="2921" spans="1:2">
      <c r="A2921" s="3">
        <v>40681</v>
      </c>
      <c r="B2921" s="4">
        <v>1088</v>
      </c>
    </row>
    <row r="2922" spans="1:2">
      <c r="A2922" s="3">
        <v>40682</v>
      </c>
      <c r="B2922" s="4">
        <v>1086</v>
      </c>
    </row>
    <row r="2923" spans="1:2">
      <c r="A2923" s="3">
        <v>40683</v>
      </c>
      <c r="B2923" s="4">
        <v>1082.7</v>
      </c>
    </row>
    <row r="2924" spans="1:2">
      <c r="A2924" s="3">
        <v>40686</v>
      </c>
      <c r="B2924" s="4">
        <v>1097.8</v>
      </c>
    </row>
    <row r="2925" spans="1:2">
      <c r="A2925" s="3">
        <v>40687</v>
      </c>
      <c r="B2925" s="4">
        <v>1093.2</v>
      </c>
    </row>
    <row r="2926" spans="1:2">
      <c r="A2926" s="3">
        <v>40688</v>
      </c>
      <c r="B2926" s="4">
        <v>1101</v>
      </c>
    </row>
    <row r="2927" spans="1:2">
      <c r="A2927" s="3">
        <v>40689</v>
      </c>
      <c r="B2927" s="4">
        <v>1089</v>
      </c>
    </row>
    <row r="2928" spans="1:2">
      <c r="A2928" s="3">
        <v>40690</v>
      </c>
      <c r="B2928" s="4">
        <v>1082.2</v>
      </c>
    </row>
    <row r="2929" spans="1:2">
      <c r="A2929" s="3">
        <v>40693</v>
      </c>
      <c r="B2929" s="4">
        <v>1080</v>
      </c>
    </row>
    <row r="2930" spans="1:2">
      <c r="A2930" s="3">
        <v>40694</v>
      </c>
      <c r="B2930" s="4">
        <v>1078</v>
      </c>
    </row>
    <row r="2931" spans="1:2">
      <c r="A2931" s="3">
        <v>40695</v>
      </c>
      <c r="B2931" s="4">
        <v>1077.6500000000001</v>
      </c>
    </row>
    <row r="2932" spans="1:2">
      <c r="A2932" s="3">
        <v>40696</v>
      </c>
      <c r="B2932" s="4">
        <v>1080.5</v>
      </c>
    </row>
    <row r="2933" spans="1:2">
      <c r="A2933" s="3">
        <v>40697</v>
      </c>
      <c r="B2933" s="4">
        <v>1077</v>
      </c>
    </row>
    <row r="2934" spans="1:2">
      <c r="A2934" s="3">
        <v>40700</v>
      </c>
      <c r="B2934" s="4">
        <v>1079.3</v>
      </c>
    </row>
    <row r="2935" spans="1:2">
      <c r="A2935" s="3">
        <v>40701</v>
      </c>
      <c r="B2935" s="4">
        <v>1076.7</v>
      </c>
    </row>
    <row r="2936" spans="1:2">
      <c r="A2936" s="3">
        <v>40702</v>
      </c>
      <c r="B2936" s="4">
        <v>1083.3</v>
      </c>
    </row>
    <row r="2937" spans="1:2">
      <c r="A2937" s="3">
        <v>40703</v>
      </c>
      <c r="B2937" s="4">
        <v>1080.25</v>
      </c>
    </row>
    <row r="2938" spans="1:2">
      <c r="A2938" s="3">
        <v>40704</v>
      </c>
      <c r="B2938" s="4">
        <v>1084</v>
      </c>
    </row>
    <row r="2939" spans="1:2">
      <c r="A2939" s="3">
        <v>40707</v>
      </c>
      <c r="B2939" s="4">
        <v>1086.25</v>
      </c>
    </row>
    <row r="2940" spans="1:2">
      <c r="A2940" s="3">
        <v>40708</v>
      </c>
      <c r="B2940" s="4">
        <v>1080.55</v>
      </c>
    </row>
    <row r="2941" spans="1:2">
      <c r="A2941" s="3">
        <v>40709</v>
      </c>
      <c r="B2941" s="4">
        <v>1086.95</v>
      </c>
    </row>
    <row r="2942" spans="1:2">
      <c r="A2942" s="3">
        <v>40710</v>
      </c>
      <c r="B2942" s="4">
        <v>1091.1500000000001</v>
      </c>
    </row>
    <row r="2943" spans="1:2">
      <c r="A2943" s="3">
        <v>40711</v>
      </c>
      <c r="B2943" s="4">
        <v>1085.8</v>
      </c>
    </row>
    <row r="2944" spans="1:2">
      <c r="A2944" s="3">
        <v>40714</v>
      </c>
      <c r="B2944" s="4">
        <v>1082.7</v>
      </c>
    </row>
    <row r="2945" spans="1:2">
      <c r="A2945" s="3">
        <v>40715</v>
      </c>
      <c r="B2945" s="4">
        <v>1074.7</v>
      </c>
    </row>
    <row r="2946" spans="1:2">
      <c r="A2946" s="3">
        <v>40716</v>
      </c>
      <c r="B2946" s="4">
        <v>1073.5999999999999</v>
      </c>
    </row>
    <row r="2947" spans="1:2">
      <c r="A2947" s="3">
        <v>40717</v>
      </c>
      <c r="B2947" s="4">
        <v>1079.8</v>
      </c>
    </row>
    <row r="2948" spans="1:2">
      <c r="A2948" s="3">
        <v>40718</v>
      </c>
      <c r="B2948" s="4">
        <v>1078.7</v>
      </c>
    </row>
    <row r="2949" spans="1:2">
      <c r="A2949" s="3">
        <v>40721</v>
      </c>
      <c r="B2949" s="4">
        <v>1082.9000000000001</v>
      </c>
    </row>
    <row r="2950" spans="1:2">
      <c r="A2950" s="3">
        <v>40722</v>
      </c>
      <c r="B2950" s="4">
        <v>1080.05</v>
      </c>
    </row>
    <row r="2951" spans="1:2">
      <c r="A2951" s="3">
        <v>40723</v>
      </c>
      <c r="B2951" s="4">
        <v>1072.3</v>
      </c>
    </row>
    <row r="2952" spans="1:2">
      <c r="A2952" s="3">
        <v>40724</v>
      </c>
      <c r="B2952" s="4">
        <v>1066.3</v>
      </c>
    </row>
    <row r="2953" spans="1:2">
      <c r="A2953" s="3">
        <v>40725</v>
      </c>
      <c r="B2953" s="4">
        <v>1064.55</v>
      </c>
    </row>
    <row r="2954" spans="1:2">
      <c r="A2954" s="3">
        <v>40728</v>
      </c>
      <c r="B2954" s="4">
        <v>1063.3</v>
      </c>
    </row>
    <row r="2955" spans="1:2">
      <c r="A2955" s="3">
        <v>40729</v>
      </c>
      <c r="B2955" s="4">
        <v>1066.1500000000001</v>
      </c>
    </row>
    <row r="2956" spans="1:2">
      <c r="A2956" s="3">
        <v>40730</v>
      </c>
      <c r="B2956" s="4">
        <v>1065.25</v>
      </c>
    </row>
    <row r="2957" spans="1:2">
      <c r="A2957" s="3">
        <v>40731</v>
      </c>
      <c r="B2957" s="4">
        <v>1063.5</v>
      </c>
    </row>
    <row r="2958" spans="1:2">
      <c r="A2958" s="3">
        <v>40732</v>
      </c>
      <c r="B2958" s="4">
        <v>1056.7</v>
      </c>
    </row>
    <row r="2959" spans="1:2">
      <c r="A2959" s="3">
        <v>40735</v>
      </c>
      <c r="B2959" s="4">
        <v>1057.5</v>
      </c>
    </row>
    <row r="2960" spans="1:2">
      <c r="A2960" s="3">
        <v>40736</v>
      </c>
      <c r="B2960" s="4">
        <v>1064.3</v>
      </c>
    </row>
    <row r="2961" spans="1:2">
      <c r="A2961" s="3">
        <v>40737</v>
      </c>
      <c r="B2961" s="4">
        <v>1056.0999999999999</v>
      </c>
    </row>
    <row r="2962" spans="1:2">
      <c r="A2962" s="3">
        <v>40738</v>
      </c>
      <c r="B2962" s="4">
        <v>1057.3</v>
      </c>
    </row>
    <row r="2963" spans="1:2">
      <c r="A2963" s="3">
        <v>40739</v>
      </c>
      <c r="B2963" s="4">
        <v>1058.0999999999999</v>
      </c>
    </row>
    <row r="2964" spans="1:2">
      <c r="A2964" s="3">
        <v>40742</v>
      </c>
      <c r="B2964" s="4">
        <v>1059.8499999999999</v>
      </c>
    </row>
    <row r="2965" spans="1:2">
      <c r="A2965" s="3">
        <v>40743</v>
      </c>
      <c r="B2965" s="4">
        <v>1056.1500000000001</v>
      </c>
    </row>
    <row r="2966" spans="1:2">
      <c r="A2966" s="3">
        <v>40744</v>
      </c>
      <c r="B2966" s="4">
        <v>1053.7</v>
      </c>
    </row>
    <row r="2967" spans="1:2">
      <c r="A2967" s="3">
        <v>40745</v>
      </c>
      <c r="B2967" s="4">
        <v>1050.45</v>
      </c>
    </row>
    <row r="2968" spans="1:2">
      <c r="A2968" s="3">
        <v>40746</v>
      </c>
      <c r="B2968" s="4">
        <v>1050.25</v>
      </c>
    </row>
    <row r="2969" spans="1:2">
      <c r="A2969" s="3">
        <v>40749</v>
      </c>
      <c r="B2969" s="4">
        <v>1054.2</v>
      </c>
    </row>
    <row r="2970" spans="1:2">
      <c r="A2970" s="3">
        <v>40750</v>
      </c>
      <c r="B2970" s="4">
        <v>1048.7</v>
      </c>
    </row>
    <row r="2971" spans="1:2">
      <c r="A2971" s="3">
        <v>40751</v>
      </c>
      <c r="B2971" s="4">
        <v>1053.25</v>
      </c>
    </row>
    <row r="2972" spans="1:2">
      <c r="A2972" s="3">
        <v>40752</v>
      </c>
      <c r="B2972" s="4">
        <v>1052.8</v>
      </c>
    </row>
    <row r="2973" spans="1:2">
      <c r="A2973" s="3">
        <v>40753</v>
      </c>
      <c r="B2973" s="4">
        <v>1054</v>
      </c>
    </row>
    <row r="2974" spans="1:2">
      <c r="A2974" s="3">
        <v>40756</v>
      </c>
      <c r="B2974" s="4">
        <v>1049.3</v>
      </c>
    </row>
    <row r="2975" spans="1:2">
      <c r="A2975" s="3">
        <v>40757</v>
      </c>
      <c r="B2975" s="4">
        <v>1052.4000000000001</v>
      </c>
    </row>
    <row r="2976" spans="1:2">
      <c r="A2976" s="3">
        <v>40758</v>
      </c>
      <c r="B2976" s="4">
        <v>1057.3499999999999</v>
      </c>
    </row>
    <row r="2977" spans="1:2">
      <c r="A2977" s="3">
        <v>40759</v>
      </c>
      <c r="B2977" s="4">
        <v>1061.5</v>
      </c>
    </row>
    <row r="2978" spans="1:2">
      <c r="A2978" s="3">
        <v>40760</v>
      </c>
      <c r="B2978" s="4">
        <v>1067.2</v>
      </c>
    </row>
    <row r="2979" spans="1:2">
      <c r="A2979" s="3">
        <v>40763</v>
      </c>
      <c r="B2979" s="4">
        <v>1085.1500000000001</v>
      </c>
    </row>
    <row r="2980" spans="1:2">
      <c r="A2980" s="3">
        <v>40764</v>
      </c>
      <c r="B2980" s="4">
        <v>1085</v>
      </c>
    </row>
    <row r="2981" spans="1:2">
      <c r="A2981" s="3">
        <v>40765</v>
      </c>
      <c r="B2981" s="4">
        <v>1082.95</v>
      </c>
    </row>
    <row r="2982" spans="1:2">
      <c r="A2982" s="3">
        <v>40766</v>
      </c>
      <c r="B2982" s="4">
        <v>1078.2</v>
      </c>
    </row>
    <row r="2983" spans="1:2">
      <c r="A2983" s="3">
        <v>40767</v>
      </c>
      <c r="B2983" s="4">
        <v>1078.9000000000001</v>
      </c>
    </row>
    <row r="2984" spans="1:2">
      <c r="A2984" s="3">
        <v>40770</v>
      </c>
      <c r="B2984" s="4">
        <v>1067.8499999999999</v>
      </c>
    </row>
    <row r="2985" spans="1:2">
      <c r="A2985" s="3">
        <v>40771</v>
      </c>
      <c r="B2985" s="4">
        <v>1070.55</v>
      </c>
    </row>
    <row r="2986" spans="1:2">
      <c r="A2986" s="3">
        <v>40772</v>
      </c>
      <c r="B2986" s="4">
        <v>1068.55</v>
      </c>
    </row>
    <row r="2987" spans="1:2">
      <c r="A2987" s="3">
        <v>40773</v>
      </c>
      <c r="B2987" s="4">
        <v>1082.5999999999999</v>
      </c>
    </row>
    <row r="2988" spans="1:2">
      <c r="A2988" s="3">
        <v>40774</v>
      </c>
      <c r="B2988" s="4">
        <v>1087.2</v>
      </c>
    </row>
    <row r="2989" spans="1:2">
      <c r="A2989" s="3">
        <v>40777</v>
      </c>
      <c r="B2989" s="4">
        <v>1083.05</v>
      </c>
    </row>
    <row r="2990" spans="1:2">
      <c r="A2990" s="3">
        <v>40778</v>
      </c>
      <c r="B2990" s="4">
        <v>1077.5</v>
      </c>
    </row>
    <row r="2991" spans="1:2">
      <c r="A2991" s="3">
        <v>40779</v>
      </c>
      <c r="B2991" s="4">
        <v>1083</v>
      </c>
    </row>
    <row r="2992" spans="1:2">
      <c r="A2992" s="3">
        <v>40780</v>
      </c>
      <c r="B2992" s="4">
        <v>1089</v>
      </c>
    </row>
    <row r="2993" spans="1:2">
      <c r="A2993" s="3">
        <v>40781</v>
      </c>
      <c r="B2993" s="4">
        <v>1079.5</v>
      </c>
    </row>
    <row r="2994" spans="1:2">
      <c r="A2994" s="3">
        <v>40784</v>
      </c>
      <c r="B2994" s="4">
        <v>1073.7</v>
      </c>
    </row>
    <row r="2995" spans="1:2">
      <c r="A2995" s="3">
        <v>40785</v>
      </c>
      <c r="B2995" s="4">
        <v>1070.3499999999999</v>
      </c>
    </row>
    <row r="2996" spans="1:2">
      <c r="A2996" s="3">
        <v>40786</v>
      </c>
      <c r="B2996" s="4">
        <v>1064.9000000000001</v>
      </c>
    </row>
    <row r="2997" spans="1:2">
      <c r="A2997" s="3">
        <v>40787</v>
      </c>
      <c r="B2997" s="4">
        <v>1063.9000000000001</v>
      </c>
    </row>
    <row r="2998" spans="1:2">
      <c r="A2998" s="3">
        <v>40788</v>
      </c>
      <c r="B2998" s="4">
        <v>1065.0999999999999</v>
      </c>
    </row>
    <row r="2999" spans="1:2">
      <c r="A2999" s="3">
        <v>40791</v>
      </c>
      <c r="B2999" s="4">
        <v>1069.0999999999999</v>
      </c>
    </row>
    <row r="3000" spans="1:2">
      <c r="A3000" s="3">
        <v>40792</v>
      </c>
      <c r="B3000" s="4">
        <v>1074.1500000000001</v>
      </c>
    </row>
    <row r="3001" spans="1:2">
      <c r="A3001" s="3">
        <v>40793</v>
      </c>
      <c r="B3001" s="4">
        <v>1069.1500000000001</v>
      </c>
    </row>
    <row r="3002" spans="1:2">
      <c r="A3002" s="3">
        <v>40794</v>
      </c>
      <c r="B3002" s="4">
        <v>1075.5</v>
      </c>
    </row>
    <row r="3003" spans="1:2">
      <c r="A3003" s="3">
        <v>40795</v>
      </c>
      <c r="B3003" s="4">
        <v>1077</v>
      </c>
    </row>
    <row r="3004" spans="1:2">
      <c r="A3004" s="3">
        <v>40798</v>
      </c>
      <c r="B3004" s="4">
        <v>1076.75</v>
      </c>
    </row>
    <row r="3005" spans="1:2">
      <c r="A3005" s="3">
        <v>40799</v>
      </c>
      <c r="B3005" s="4">
        <v>1076.75</v>
      </c>
    </row>
    <row r="3006" spans="1:2">
      <c r="A3006" s="3">
        <v>40800</v>
      </c>
      <c r="B3006" s="4">
        <v>1106.6500000000001</v>
      </c>
    </row>
    <row r="3007" spans="1:2">
      <c r="A3007" s="3">
        <v>40801</v>
      </c>
      <c r="B3007" s="4">
        <v>1113.25</v>
      </c>
    </row>
    <row r="3008" spans="1:2">
      <c r="A3008" s="3">
        <v>40802</v>
      </c>
      <c r="B3008" s="4">
        <v>1112.4000000000001</v>
      </c>
    </row>
    <row r="3009" spans="1:2">
      <c r="A3009" s="3">
        <v>40805</v>
      </c>
      <c r="B3009" s="4">
        <v>1139.45</v>
      </c>
    </row>
    <row r="3010" spans="1:2">
      <c r="A3010" s="3">
        <v>40806</v>
      </c>
      <c r="B3010" s="4">
        <v>1144</v>
      </c>
    </row>
    <row r="3011" spans="1:2">
      <c r="A3011" s="3">
        <v>40807</v>
      </c>
      <c r="B3011" s="4">
        <v>1149.3499999999999</v>
      </c>
    </row>
    <row r="3012" spans="1:2">
      <c r="A3012" s="3">
        <v>40808</v>
      </c>
      <c r="B3012" s="4">
        <v>1179.7</v>
      </c>
    </row>
    <row r="3013" spans="1:2">
      <c r="A3013" s="3">
        <v>40809</v>
      </c>
      <c r="B3013" s="4">
        <v>1164.9000000000001</v>
      </c>
    </row>
    <row r="3014" spans="1:2">
      <c r="A3014" s="3">
        <v>40812</v>
      </c>
      <c r="B3014" s="4">
        <v>1181</v>
      </c>
    </row>
    <row r="3015" spans="1:2">
      <c r="A3015" s="3">
        <v>40813</v>
      </c>
      <c r="B3015" s="4">
        <v>1169.3</v>
      </c>
    </row>
    <row r="3016" spans="1:2">
      <c r="A3016" s="3">
        <v>40814</v>
      </c>
      <c r="B3016" s="4">
        <v>1174.4000000000001</v>
      </c>
    </row>
    <row r="3017" spans="1:2">
      <c r="A3017" s="3">
        <v>40815</v>
      </c>
      <c r="B3017" s="4">
        <v>1173.5999999999999</v>
      </c>
    </row>
    <row r="3018" spans="1:2">
      <c r="A3018" s="3">
        <v>40816</v>
      </c>
      <c r="B3018" s="4">
        <v>1180.9000000000001</v>
      </c>
    </row>
    <row r="3019" spans="1:2">
      <c r="A3019" s="3">
        <v>40819</v>
      </c>
      <c r="B3019" s="4">
        <v>1180</v>
      </c>
    </row>
    <row r="3020" spans="1:2">
      <c r="A3020" s="3">
        <v>40820</v>
      </c>
      <c r="B3020" s="4">
        <v>1198.4000000000001</v>
      </c>
    </row>
    <row r="3021" spans="1:2">
      <c r="A3021" s="3">
        <v>40821</v>
      </c>
      <c r="B3021" s="4">
        <v>1186.5</v>
      </c>
    </row>
    <row r="3022" spans="1:2">
      <c r="A3022" s="3">
        <v>40822</v>
      </c>
      <c r="B3022" s="4">
        <v>1183.45</v>
      </c>
    </row>
    <row r="3023" spans="1:2">
      <c r="A3023" s="3">
        <v>40823</v>
      </c>
      <c r="B3023" s="4">
        <v>1170.5</v>
      </c>
    </row>
    <row r="3024" spans="1:2">
      <c r="A3024" s="3">
        <v>40826</v>
      </c>
      <c r="B3024" s="4">
        <v>1167.45</v>
      </c>
    </row>
    <row r="3025" spans="1:2">
      <c r="A3025" s="3">
        <v>40827</v>
      </c>
      <c r="B3025" s="4">
        <v>1171</v>
      </c>
    </row>
    <row r="3026" spans="1:2">
      <c r="A3026" s="3">
        <v>40828</v>
      </c>
      <c r="B3026" s="4">
        <v>1164.5</v>
      </c>
    </row>
    <row r="3027" spans="1:2">
      <c r="A3027" s="3">
        <v>40829</v>
      </c>
      <c r="B3027" s="4">
        <v>1157.75</v>
      </c>
    </row>
    <row r="3028" spans="1:2">
      <c r="A3028" s="3">
        <v>40830</v>
      </c>
      <c r="B3028" s="4">
        <v>1156</v>
      </c>
    </row>
    <row r="3029" spans="1:2">
      <c r="A3029" s="3">
        <v>40833</v>
      </c>
      <c r="B3029" s="4">
        <v>1148</v>
      </c>
    </row>
    <row r="3030" spans="1:2">
      <c r="A3030" s="3">
        <v>40834</v>
      </c>
      <c r="B3030" s="4">
        <v>1149.5</v>
      </c>
    </row>
    <row r="3031" spans="1:2">
      <c r="A3031" s="3">
        <v>40835</v>
      </c>
      <c r="B3031" s="4">
        <v>1133.5</v>
      </c>
    </row>
    <row r="3032" spans="1:2">
      <c r="A3032" s="3">
        <v>40836</v>
      </c>
      <c r="B3032" s="4">
        <v>1147</v>
      </c>
    </row>
    <row r="3033" spans="1:2">
      <c r="A3033" s="3">
        <v>40837</v>
      </c>
      <c r="B3033" s="4">
        <v>1147.2</v>
      </c>
    </row>
    <row r="3034" spans="1:2">
      <c r="A3034" s="3">
        <v>40840</v>
      </c>
      <c r="B3034" s="4">
        <v>1132.05</v>
      </c>
    </row>
    <row r="3035" spans="1:2">
      <c r="A3035" s="3">
        <v>40841</v>
      </c>
      <c r="B3035" s="4">
        <v>1130.9000000000001</v>
      </c>
    </row>
    <row r="3036" spans="1:2">
      <c r="A3036" s="3">
        <v>40842</v>
      </c>
      <c r="B3036" s="4">
        <v>1133</v>
      </c>
    </row>
    <row r="3037" spans="1:2">
      <c r="A3037" s="3">
        <v>40843</v>
      </c>
      <c r="B3037" s="4">
        <v>1105.5999999999999</v>
      </c>
    </row>
    <row r="3038" spans="1:2">
      <c r="A3038" s="3">
        <v>40844</v>
      </c>
      <c r="B3038" s="4">
        <v>1102.5</v>
      </c>
    </row>
    <row r="3039" spans="1:2">
      <c r="A3039" s="3">
        <v>40847</v>
      </c>
      <c r="B3039" s="4">
        <v>1111.8499999999999</v>
      </c>
    </row>
    <row r="3040" spans="1:2">
      <c r="A3040" s="3">
        <v>40848</v>
      </c>
      <c r="B3040" s="4">
        <v>1122.05</v>
      </c>
    </row>
    <row r="3041" spans="1:2">
      <c r="A3041" s="3">
        <v>40849</v>
      </c>
      <c r="B3041" s="4">
        <v>1121.1500000000001</v>
      </c>
    </row>
    <row r="3042" spans="1:2">
      <c r="A3042" s="3">
        <v>40850</v>
      </c>
      <c r="B3042" s="4">
        <v>1127.4000000000001</v>
      </c>
    </row>
    <row r="3043" spans="1:2">
      <c r="A3043" s="3">
        <v>40851</v>
      </c>
      <c r="B3043" s="4">
        <v>1110.5999999999999</v>
      </c>
    </row>
    <row r="3044" spans="1:2">
      <c r="A3044" s="3">
        <v>40854</v>
      </c>
      <c r="B3044" s="4">
        <v>1115.25</v>
      </c>
    </row>
    <row r="3045" spans="1:2">
      <c r="A3045" s="3">
        <v>40855</v>
      </c>
      <c r="B3045" s="4">
        <v>1114.05</v>
      </c>
    </row>
    <row r="3046" spans="1:2">
      <c r="A3046" s="3">
        <v>40856</v>
      </c>
      <c r="B3046" s="4">
        <v>1118.8499999999999</v>
      </c>
    </row>
    <row r="3047" spans="1:2">
      <c r="A3047" s="3">
        <v>40857</v>
      </c>
      <c r="B3047" s="4">
        <v>1131.8499999999999</v>
      </c>
    </row>
    <row r="3048" spans="1:2">
      <c r="A3048" s="3">
        <v>40858</v>
      </c>
      <c r="B3048" s="4">
        <v>1126.4000000000001</v>
      </c>
    </row>
    <row r="3049" spans="1:2">
      <c r="A3049" s="3">
        <v>40861</v>
      </c>
      <c r="B3049" s="4">
        <v>1126.3</v>
      </c>
    </row>
    <row r="3050" spans="1:2">
      <c r="A3050" s="3">
        <v>40862</v>
      </c>
      <c r="B3050" s="4">
        <v>1128.5</v>
      </c>
    </row>
    <row r="3051" spans="1:2">
      <c r="A3051" s="3">
        <v>40863</v>
      </c>
      <c r="B3051" s="4">
        <v>1135.6500000000001</v>
      </c>
    </row>
    <row r="3052" spans="1:2">
      <c r="A3052" s="3">
        <v>40864</v>
      </c>
      <c r="B3052" s="4">
        <v>1133.1500000000001</v>
      </c>
    </row>
    <row r="3053" spans="1:2">
      <c r="A3053" s="3">
        <v>40865</v>
      </c>
      <c r="B3053" s="4">
        <v>1138.5</v>
      </c>
    </row>
    <row r="3054" spans="1:2">
      <c r="A3054" s="3">
        <v>40868</v>
      </c>
      <c r="B3054" s="4">
        <v>1143</v>
      </c>
    </row>
    <row r="3055" spans="1:2">
      <c r="A3055" s="3">
        <v>40869</v>
      </c>
      <c r="B3055" s="4">
        <v>1143.6500000000001</v>
      </c>
    </row>
    <row r="3056" spans="1:2">
      <c r="A3056" s="3">
        <v>40870</v>
      </c>
      <c r="B3056" s="4">
        <v>1159.7</v>
      </c>
    </row>
    <row r="3057" spans="1:2">
      <c r="A3057" s="3">
        <v>40871</v>
      </c>
      <c r="B3057" s="4">
        <v>1155.1500000000001</v>
      </c>
    </row>
    <row r="3058" spans="1:2">
      <c r="A3058" s="3">
        <v>40872</v>
      </c>
      <c r="B3058" s="4">
        <v>1162</v>
      </c>
    </row>
    <row r="3059" spans="1:2">
      <c r="A3059" s="3">
        <v>40875</v>
      </c>
      <c r="B3059" s="4">
        <v>1152.5</v>
      </c>
    </row>
    <row r="3060" spans="1:2">
      <c r="A3060" s="3">
        <v>40876</v>
      </c>
      <c r="B3060" s="4">
        <v>1139.5</v>
      </c>
    </row>
    <row r="3061" spans="1:2">
      <c r="A3061" s="3">
        <v>40877</v>
      </c>
      <c r="B3061" s="4">
        <v>1140.05</v>
      </c>
    </row>
    <row r="3062" spans="1:2">
      <c r="A3062" s="3">
        <v>40878</v>
      </c>
      <c r="B3062" s="4">
        <v>1126.55</v>
      </c>
    </row>
    <row r="3063" spans="1:2">
      <c r="A3063" s="3">
        <v>40879</v>
      </c>
      <c r="B3063" s="4">
        <v>1128</v>
      </c>
    </row>
    <row r="3064" spans="1:2">
      <c r="A3064" s="3">
        <v>40882</v>
      </c>
      <c r="B3064" s="4">
        <v>1124.5</v>
      </c>
    </row>
    <row r="3065" spans="1:2">
      <c r="A3065" s="3">
        <v>40883</v>
      </c>
      <c r="B3065" s="4">
        <v>1128.5</v>
      </c>
    </row>
    <row r="3066" spans="1:2">
      <c r="A3066" s="3">
        <v>40884</v>
      </c>
      <c r="B3066" s="4">
        <v>1129</v>
      </c>
    </row>
    <row r="3067" spans="1:2">
      <c r="A3067" s="3">
        <v>40885</v>
      </c>
      <c r="B3067" s="4">
        <v>1133.55</v>
      </c>
    </row>
    <row r="3068" spans="1:2">
      <c r="A3068" s="3">
        <v>40886</v>
      </c>
      <c r="B3068" s="4">
        <v>1146.5999999999999</v>
      </c>
    </row>
    <row r="3069" spans="1:2">
      <c r="A3069" s="3">
        <v>40889</v>
      </c>
      <c r="B3069" s="4">
        <v>1149.2</v>
      </c>
    </row>
    <row r="3070" spans="1:2">
      <c r="A3070" s="3">
        <v>40890</v>
      </c>
      <c r="B3070" s="4">
        <v>1157</v>
      </c>
    </row>
    <row r="3071" spans="1:2">
      <c r="A3071" s="3">
        <v>40891</v>
      </c>
      <c r="B3071" s="4">
        <v>1158</v>
      </c>
    </row>
    <row r="3072" spans="1:2">
      <c r="A3072" s="3">
        <v>40892</v>
      </c>
      <c r="B3072" s="4">
        <v>1156.5</v>
      </c>
    </row>
    <row r="3073" spans="1:2">
      <c r="A3073" s="3">
        <v>40893</v>
      </c>
      <c r="B3073" s="4">
        <v>1158.5</v>
      </c>
    </row>
    <row r="3074" spans="1:2">
      <c r="A3074" s="3">
        <v>40896</v>
      </c>
      <c r="B3074" s="4">
        <v>1175.5</v>
      </c>
    </row>
    <row r="3075" spans="1:2">
      <c r="A3075" s="3">
        <v>40897</v>
      </c>
      <c r="B3075" s="4">
        <v>1157</v>
      </c>
    </row>
    <row r="3076" spans="1:2">
      <c r="A3076" s="3">
        <v>40898</v>
      </c>
      <c r="B3076" s="4">
        <v>1150.8</v>
      </c>
    </row>
    <row r="3077" spans="1:2">
      <c r="A3077" s="3">
        <v>40899</v>
      </c>
      <c r="B3077" s="4">
        <v>1154</v>
      </c>
    </row>
    <row r="3078" spans="1:2">
      <c r="A3078" s="3">
        <v>40900</v>
      </c>
      <c r="B3078" s="4">
        <v>1149</v>
      </c>
    </row>
    <row r="3079" spans="1:2">
      <c r="A3079" s="3">
        <v>40903</v>
      </c>
      <c r="B3079" s="4">
        <v>1154.5</v>
      </c>
    </row>
    <row r="3080" spans="1:2">
      <c r="A3080" s="3">
        <v>40904</v>
      </c>
      <c r="B3080" s="4">
        <v>1155.6500000000001</v>
      </c>
    </row>
    <row r="3081" spans="1:2">
      <c r="A3081" s="3">
        <v>40905</v>
      </c>
      <c r="B3081" s="4">
        <v>1157</v>
      </c>
    </row>
    <row r="3082" spans="1:2">
      <c r="A3082" s="3">
        <v>40906</v>
      </c>
      <c r="B3082" s="4">
        <v>1156.5</v>
      </c>
    </row>
    <row r="3083" spans="1:2">
      <c r="A3083" s="3">
        <v>40907</v>
      </c>
      <c r="B3083" s="4">
        <v>1158.5</v>
      </c>
    </row>
    <row r="3084" spans="1:2">
      <c r="A3084" s="3">
        <v>40910</v>
      </c>
      <c r="B3084" s="4">
        <v>1154.6500000000001</v>
      </c>
    </row>
    <row r="3085" spans="1:2">
      <c r="A3085" s="3">
        <v>40911</v>
      </c>
      <c r="B3085" s="4">
        <v>1144.7</v>
      </c>
    </row>
    <row r="3086" spans="1:2">
      <c r="A3086" s="3">
        <v>40912</v>
      </c>
      <c r="B3086" s="4">
        <v>1147.3499999999999</v>
      </c>
    </row>
    <row r="3087" spans="1:2">
      <c r="A3087" s="3">
        <v>40913</v>
      </c>
      <c r="B3087" s="4">
        <v>1155.55</v>
      </c>
    </row>
    <row r="3088" spans="1:2">
      <c r="A3088" s="3">
        <v>40914</v>
      </c>
      <c r="B3088" s="4">
        <v>1160</v>
      </c>
    </row>
    <row r="3089" spans="1:2">
      <c r="A3089" s="3">
        <v>40917</v>
      </c>
      <c r="B3089" s="4">
        <v>1157.05</v>
      </c>
    </row>
    <row r="3090" spans="1:2">
      <c r="A3090" s="3">
        <v>40918</v>
      </c>
      <c r="B3090" s="4">
        <v>1153.55</v>
      </c>
    </row>
    <row r="3091" spans="1:2">
      <c r="A3091" s="3">
        <v>40919</v>
      </c>
      <c r="B3091" s="4">
        <v>1158.55</v>
      </c>
    </row>
    <row r="3092" spans="1:2">
      <c r="A3092" s="3">
        <v>40920</v>
      </c>
      <c r="B3092" s="4">
        <v>1151.45</v>
      </c>
    </row>
    <row r="3093" spans="1:2">
      <c r="A3093" s="3">
        <v>40921</v>
      </c>
      <c r="B3093" s="4">
        <v>1150.3499999999999</v>
      </c>
    </row>
    <row r="3094" spans="1:2">
      <c r="A3094" s="3">
        <v>40924</v>
      </c>
      <c r="B3094" s="4">
        <v>1151.75</v>
      </c>
    </row>
    <row r="3095" spans="1:2">
      <c r="A3095" s="3">
        <v>40925</v>
      </c>
      <c r="B3095" s="4">
        <v>1142.75</v>
      </c>
    </row>
    <row r="3096" spans="1:2">
      <c r="A3096" s="3">
        <v>40926</v>
      </c>
      <c r="B3096" s="4">
        <v>1138.0999999999999</v>
      </c>
    </row>
    <row r="3097" spans="1:2">
      <c r="A3097" s="3">
        <v>40927</v>
      </c>
      <c r="B3097" s="4">
        <v>1133.4000000000001</v>
      </c>
    </row>
    <row r="3098" spans="1:2">
      <c r="A3098" s="3">
        <v>40928</v>
      </c>
      <c r="B3098" s="4">
        <v>1133</v>
      </c>
    </row>
    <row r="3099" spans="1:2">
      <c r="A3099" s="3">
        <v>40931</v>
      </c>
      <c r="B3099" s="4">
        <v>1127.1500000000001</v>
      </c>
    </row>
    <row r="3100" spans="1:2">
      <c r="A3100" s="3">
        <v>40932</v>
      </c>
      <c r="B3100" s="4">
        <v>1129.05</v>
      </c>
    </row>
    <row r="3101" spans="1:2">
      <c r="A3101" s="3">
        <v>40933</v>
      </c>
      <c r="B3101" s="4">
        <v>1126.55</v>
      </c>
    </row>
    <row r="3102" spans="1:2">
      <c r="A3102" s="3">
        <v>40934</v>
      </c>
      <c r="B3102" s="4">
        <v>1122</v>
      </c>
    </row>
    <row r="3103" spans="1:2">
      <c r="A3103" s="3">
        <v>40935</v>
      </c>
      <c r="B3103" s="4">
        <v>1120</v>
      </c>
    </row>
    <row r="3104" spans="1:2">
      <c r="A3104" s="3">
        <v>40938</v>
      </c>
      <c r="B3104" s="4">
        <v>1127.75</v>
      </c>
    </row>
    <row r="3105" spans="1:2">
      <c r="A3105" s="3">
        <v>40939</v>
      </c>
      <c r="B3105" s="4">
        <v>1125.45</v>
      </c>
    </row>
    <row r="3106" spans="1:2">
      <c r="A3106" s="3">
        <v>40940</v>
      </c>
      <c r="B3106" s="4">
        <v>1123.3499999999999</v>
      </c>
    </row>
    <row r="3107" spans="1:2">
      <c r="A3107" s="3">
        <v>40941</v>
      </c>
      <c r="B3107" s="4">
        <v>1116.4000000000001</v>
      </c>
    </row>
    <row r="3108" spans="1:2">
      <c r="A3108" s="3">
        <v>40942</v>
      </c>
      <c r="B3108" s="4">
        <v>1116</v>
      </c>
    </row>
    <row r="3109" spans="1:2">
      <c r="A3109" s="3">
        <v>40945</v>
      </c>
      <c r="B3109" s="4">
        <v>1120</v>
      </c>
    </row>
    <row r="3110" spans="1:2">
      <c r="A3110" s="3">
        <v>40946</v>
      </c>
      <c r="B3110" s="4">
        <v>1117</v>
      </c>
    </row>
    <row r="3111" spans="1:2">
      <c r="A3111" s="3">
        <v>40947</v>
      </c>
      <c r="B3111" s="4">
        <v>1116.6500000000001</v>
      </c>
    </row>
    <row r="3112" spans="1:2">
      <c r="A3112" s="3">
        <v>40948</v>
      </c>
      <c r="B3112" s="4">
        <v>1118.05</v>
      </c>
    </row>
    <row r="3113" spans="1:2">
      <c r="A3113" s="3">
        <v>40949</v>
      </c>
      <c r="B3113" s="4">
        <v>1123</v>
      </c>
    </row>
    <row r="3114" spans="1:2">
      <c r="A3114" s="3">
        <v>40952</v>
      </c>
      <c r="B3114" s="4">
        <v>1119.7</v>
      </c>
    </row>
    <row r="3115" spans="1:2">
      <c r="A3115" s="3">
        <v>40953</v>
      </c>
      <c r="B3115" s="4">
        <v>1125.8</v>
      </c>
    </row>
    <row r="3116" spans="1:2">
      <c r="A3116" s="3">
        <v>40954</v>
      </c>
      <c r="B3116" s="4">
        <v>1124.6500000000001</v>
      </c>
    </row>
    <row r="3117" spans="1:2">
      <c r="A3117" s="3">
        <v>40955</v>
      </c>
      <c r="B3117" s="4">
        <v>1125.45</v>
      </c>
    </row>
    <row r="3118" spans="1:2">
      <c r="A3118" s="3">
        <v>40956</v>
      </c>
      <c r="B3118" s="4">
        <v>1126.25</v>
      </c>
    </row>
    <row r="3119" spans="1:2">
      <c r="A3119" s="3">
        <v>40959</v>
      </c>
      <c r="B3119" s="4">
        <v>1121.4000000000001</v>
      </c>
    </row>
    <row r="3120" spans="1:2">
      <c r="A3120" s="3">
        <v>40960</v>
      </c>
      <c r="B3120" s="4">
        <v>1125.05</v>
      </c>
    </row>
    <row r="3121" spans="1:2">
      <c r="A3121" s="3">
        <v>40961</v>
      </c>
      <c r="B3121" s="4">
        <v>1128.2</v>
      </c>
    </row>
    <row r="3122" spans="1:2">
      <c r="A3122" s="3">
        <v>40962</v>
      </c>
      <c r="B3122" s="4">
        <v>1127.1500000000001</v>
      </c>
    </row>
    <row r="3123" spans="1:2">
      <c r="A3123" s="3">
        <v>40963</v>
      </c>
      <c r="B3123" s="4">
        <v>1124</v>
      </c>
    </row>
    <row r="3124" spans="1:2">
      <c r="A3124" s="3">
        <v>40966</v>
      </c>
      <c r="B3124" s="4">
        <v>1125.6500000000001</v>
      </c>
    </row>
    <row r="3125" spans="1:2">
      <c r="A3125" s="3">
        <v>40967</v>
      </c>
      <c r="B3125" s="4">
        <v>1125.3499999999999</v>
      </c>
    </row>
    <row r="3126" spans="1:2">
      <c r="A3126" s="3">
        <v>40968</v>
      </c>
      <c r="B3126" s="4">
        <v>1118.8</v>
      </c>
    </row>
    <row r="3127" spans="1:2">
      <c r="A3127" s="3">
        <v>40969</v>
      </c>
      <c r="B3127" s="4">
        <v>1114.4000000000001</v>
      </c>
    </row>
    <row r="3128" spans="1:2">
      <c r="A3128" s="3">
        <v>40970</v>
      </c>
      <c r="B3128" s="4">
        <v>1115</v>
      </c>
    </row>
    <row r="3129" spans="1:2">
      <c r="A3129" s="3">
        <v>40973</v>
      </c>
      <c r="B3129" s="4">
        <v>1118.3</v>
      </c>
    </row>
    <row r="3130" spans="1:2">
      <c r="A3130" s="3">
        <v>40974</v>
      </c>
      <c r="B3130" s="4">
        <v>1124</v>
      </c>
    </row>
    <row r="3131" spans="1:2">
      <c r="A3131" s="3">
        <v>40975</v>
      </c>
      <c r="B3131" s="4">
        <v>1122.7</v>
      </c>
    </row>
    <row r="3132" spans="1:2">
      <c r="A3132" s="3">
        <v>40976</v>
      </c>
      <c r="B3132" s="4">
        <v>1114.7</v>
      </c>
    </row>
    <row r="3133" spans="1:2">
      <c r="A3133" s="3">
        <v>40977</v>
      </c>
      <c r="B3133" s="4">
        <v>1116</v>
      </c>
    </row>
    <row r="3134" spans="1:2">
      <c r="A3134" s="3">
        <v>40980</v>
      </c>
      <c r="B3134" s="4">
        <v>1123.25</v>
      </c>
    </row>
    <row r="3135" spans="1:2">
      <c r="A3135" s="3">
        <v>40981</v>
      </c>
      <c r="B3135" s="4">
        <v>1122.5999999999999</v>
      </c>
    </row>
    <row r="3136" spans="1:2">
      <c r="A3136" s="3">
        <v>40982</v>
      </c>
      <c r="B3136" s="4">
        <v>1132.3499999999999</v>
      </c>
    </row>
    <row r="3137" spans="1:2">
      <c r="A3137" s="3">
        <v>40983</v>
      </c>
      <c r="B3137" s="4">
        <v>1123.8</v>
      </c>
    </row>
    <row r="3138" spans="1:2">
      <c r="A3138" s="3">
        <v>40984</v>
      </c>
      <c r="B3138" s="4">
        <v>1125.7</v>
      </c>
    </row>
    <row r="3139" spans="1:2">
      <c r="A3139" s="3">
        <v>40987</v>
      </c>
      <c r="B3139" s="4">
        <v>1119.45</v>
      </c>
    </row>
    <row r="3140" spans="1:2">
      <c r="A3140" s="3">
        <v>40988</v>
      </c>
      <c r="B3140" s="4">
        <v>1127.45</v>
      </c>
    </row>
    <row r="3141" spans="1:2">
      <c r="A3141" s="3">
        <v>40989</v>
      </c>
      <c r="B3141" s="4">
        <v>1130</v>
      </c>
    </row>
    <row r="3142" spans="1:2">
      <c r="A3142" s="3">
        <v>40990</v>
      </c>
      <c r="B3142" s="4">
        <v>1132.9000000000001</v>
      </c>
    </row>
    <row r="3143" spans="1:2">
      <c r="A3143" s="3">
        <v>40991</v>
      </c>
      <c r="B3143" s="4">
        <v>1135</v>
      </c>
    </row>
    <row r="3144" spans="1:2">
      <c r="A3144" s="3">
        <v>40994</v>
      </c>
      <c r="B3144" s="4">
        <v>1132.8499999999999</v>
      </c>
    </row>
    <row r="3145" spans="1:2">
      <c r="A3145" s="3">
        <v>40995</v>
      </c>
      <c r="B3145" s="4">
        <v>1136.1500000000001</v>
      </c>
    </row>
    <row r="3146" spans="1:2">
      <c r="A3146" s="3">
        <v>40996</v>
      </c>
      <c r="B3146" s="4">
        <v>1136.3</v>
      </c>
    </row>
    <row r="3147" spans="1:2">
      <c r="A3147" s="3">
        <v>40997</v>
      </c>
      <c r="B3147" s="4">
        <v>1138.55</v>
      </c>
    </row>
    <row r="3148" spans="1:2">
      <c r="A3148" s="3">
        <v>40998</v>
      </c>
      <c r="B3148" s="4">
        <v>1131.4000000000001</v>
      </c>
    </row>
    <row r="3149" spans="1:2">
      <c r="A3149" s="3">
        <v>41001</v>
      </c>
      <c r="B3149" s="4">
        <v>1124.95</v>
      </c>
    </row>
    <row r="3150" spans="1:2">
      <c r="A3150" s="3">
        <v>41002</v>
      </c>
      <c r="B3150" s="4">
        <v>1124.8499999999999</v>
      </c>
    </row>
    <row r="3151" spans="1:2">
      <c r="A3151" s="3">
        <v>41003</v>
      </c>
      <c r="B3151" s="4">
        <v>1130.75</v>
      </c>
    </row>
    <row r="3152" spans="1:2">
      <c r="A3152" s="3">
        <v>41004</v>
      </c>
      <c r="B3152" s="4">
        <v>1129.6500000000001</v>
      </c>
    </row>
    <row r="3153" spans="1:2">
      <c r="A3153" s="3">
        <v>41005</v>
      </c>
      <c r="B3153" s="4">
        <v>1131.75</v>
      </c>
    </row>
    <row r="3154" spans="1:2">
      <c r="A3154" s="3">
        <v>41008</v>
      </c>
      <c r="B3154" s="4">
        <v>1137</v>
      </c>
    </row>
    <row r="3155" spans="1:2">
      <c r="A3155" s="3">
        <v>41009</v>
      </c>
      <c r="B3155" s="4">
        <v>1139.5</v>
      </c>
    </row>
    <row r="3156" spans="1:2">
      <c r="A3156" s="3">
        <v>41010</v>
      </c>
      <c r="B3156" s="4">
        <v>1143.3</v>
      </c>
    </row>
    <row r="3157" spans="1:2">
      <c r="A3157" s="3">
        <v>41011</v>
      </c>
      <c r="B3157" s="4">
        <v>1134.6500000000001</v>
      </c>
    </row>
    <row r="3158" spans="1:2">
      <c r="A3158" s="3">
        <v>41012</v>
      </c>
      <c r="B3158" s="4">
        <v>1133.5</v>
      </c>
    </row>
    <row r="3159" spans="1:2">
      <c r="A3159" s="3">
        <v>41015</v>
      </c>
      <c r="B3159" s="4">
        <v>1135.5</v>
      </c>
    </row>
    <row r="3160" spans="1:2">
      <c r="A3160" s="3">
        <v>41016</v>
      </c>
      <c r="B3160" s="4">
        <v>1133.95</v>
      </c>
    </row>
    <row r="3161" spans="1:2">
      <c r="A3161" s="3">
        <v>41017</v>
      </c>
      <c r="B3161" s="4">
        <v>1140.3499999999999</v>
      </c>
    </row>
    <row r="3162" spans="1:2">
      <c r="A3162" s="3">
        <v>41018</v>
      </c>
      <c r="B3162" s="4">
        <v>1140.3499999999999</v>
      </c>
    </row>
    <row r="3163" spans="1:2">
      <c r="A3163" s="3">
        <v>41019</v>
      </c>
      <c r="B3163" s="4">
        <v>1138.6500000000001</v>
      </c>
    </row>
    <row r="3164" spans="1:2">
      <c r="A3164" s="3">
        <v>41022</v>
      </c>
      <c r="B3164" s="4">
        <v>1141.5</v>
      </c>
    </row>
    <row r="3165" spans="1:2">
      <c r="A3165" s="3">
        <v>41023</v>
      </c>
      <c r="B3165" s="4">
        <v>1139.1500000000001</v>
      </c>
    </row>
    <row r="3166" spans="1:2">
      <c r="A3166" s="3">
        <v>41024</v>
      </c>
      <c r="B3166" s="4">
        <v>1137.75</v>
      </c>
    </row>
    <row r="3167" spans="1:2">
      <c r="A3167" s="3">
        <v>41025</v>
      </c>
      <c r="B3167" s="4">
        <v>1132.5</v>
      </c>
    </row>
    <row r="3168" spans="1:2">
      <c r="A3168" s="3">
        <v>41026</v>
      </c>
      <c r="B3168" s="4">
        <v>1130.67</v>
      </c>
    </row>
    <row r="3169" spans="1:2">
      <c r="A3169" s="3">
        <v>41029</v>
      </c>
      <c r="B3169" s="4">
        <v>1129.55</v>
      </c>
    </row>
    <row r="3170" spans="1:2">
      <c r="A3170" s="3">
        <v>41030</v>
      </c>
      <c r="B3170" s="4">
        <v>1127.3499999999999</v>
      </c>
    </row>
    <row r="3171" spans="1:2">
      <c r="A3171" s="3">
        <v>41031</v>
      </c>
      <c r="B3171" s="4">
        <v>1129.5999999999999</v>
      </c>
    </row>
    <row r="3172" spans="1:2">
      <c r="A3172" s="3">
        <v>41032</v>
      </c>
      <c r="B3172" s="4">
        <v>1130.6500000000001</v>
      </c>
    </row>
    <row r="3173" spans="1:2">
      <c r="A3173" s="3">
        <v>41033</v>
      </c>
      <c r="B3173" s="4">
        <v>1135.25</v>
      </c>
    </row>
    <row r="3174" spans="1:2">
      <c r="A3174" s="3">
        <v>41036</v>
      </c>
      <c r="B3174" s="4">
        <v>1138</v>
      </c>
    </row>
    <row r="3175" spans="1:2">
      <c r="A3175" s="3">
        <v>41037</v>
      </c>
      <c r="B3175" s="4">
        <v>1137.6500000000001</v>
      </c>
    </row>
    <row r="3176" spans="1:2">
      <c r="A3176" s="3">
        <v>41038</v>
      </c>
      <c r="B3176" s="4">
        <v>1144.2</v>
      </c>
    </row>
    <row r="3177" spans="1:2">
      <c r="A3177" s="3">
        <v>41039</v>
      </c>
      <c r="B3177" s="4">
        <v>1142.5999999999999</v>
      </c>
    </row>
    <row r="3178" spans="1:2">
      <c r="A3178" s="3">
        <v>41040</v>
      </c>
      <c r="B3178" s="4">
        <v>1148.9000000000001</v>
      </c>
    </row>
    <row r="3179" spans="1:2">
      <c r="A3179" s="3">
        <v>41043</v>
      </c>
      <c r="B3179" s="4">
        <v>1153.5</v>
      </c>
    </row>
    <row r="3180" spans="1:2">
      <c r="A3180" s="3">
        <v>41044</v>
      </c>
      <c r="B3180" s="4">
        <v>1155.5999999999999</v>
      </c>
    </row>
    <row r="3181" spans="1:2">
      <c r="A3181" s="3">
        <v>41045</v>
      </c>
      <c r="B3181" s="4">
        <v>1165.82</v>
      </c>
    </row>
    <row r="3182" spans="1:2">
      <c r="A3182" s="3">
        <v>41046</v>
      </c>
      <c r="B3182" s="4">
        <v>1165.69</v>
      </c>
    </row>
    <row r="3183" spans="1:2">
      <c r="A3183" s="3">
        <v>41047</v>
      </c>
      <c r="B3183" s="4">
        <v>1168.24</v>
      </c>
    </row>
    <row r="3184" spans="1:2">
      <c r="A3184" s="3">
        <v>41050</v>
      </c>
      <c r="B3184" s="4">
        <v>1166.78</v>
      </c>
    </row>
    <row r="3185" spans="1:2">
      <c r="A3185" s="3">
        <v>41051</v>
      </c>
      <c r="B3185" s="4">
        <v>1166.33</v>
      </c>
    </row>
    <row r="3186" spans="1:2">
      <c r="A3186" s="3">
        <v>41052</v>
      </c>
      <c r="B3186" s="4">
        <v>1180.6099999999999</v>
      </c>
    </row>
    <row r="3187" spans="1:2">
      <c r="A3187" s="3">
        <v>41053</v>
      </c>
      <c r="B3187" s="4">
        <v>1176.72</v>
      </c>
    </row>
    <row r="3188" spans="1:2">
      <c r="A3188" s="3">
        <v>41054</v>
      </c>
      <c r="B3188" s="4">
        <v>1185</v>
      </c>
    </row>
    <row r="3189" spans="1:2">
      <c r="A3189" s="3">
        <v>41057</v>
      </c>
      <c r="B3189" s="4">
        <v>1176.32</v>
      </c>
    </row>
    <row r="3190" spans="1:2">
      <c r="A3190" s="3">
        <v>41058</v>
      </c>
      <c r="B3190" s="4">
        <v>1175.55</v>
      </c>
    </row>
    <row r="3191" spans="1:2">
      <c r="A3191" s="3">
        <v>41059</v>
      </c>
      <c r="B3191" s="4">
        <v>1180.4100000000001</v>
      </c>
    </row>
    <row r="3192" spans="1:2">
      <c r="A3192" s="3">
        <v>41060</v>
      </c>
      <c r="B3192" s="4">
        <v>1179.8699999999999</v>
      </c>
    </row>
    <row r="3193" spans="1:2">
      <c r="A3193" s="3">
        <v>41061</v>
      </c>
      <c r="B3193" s="4">
        <v>1182</v>
      </c>
    </row>
    <row r="3194" spans="1:2">
      <c r="A3194" s="3">
        <v>41064</v>
      </c>
      <c r="B3194" s="4">
        <v>1178.99</v>
      </c>
    </row>
    <row r="3195" spans="1:2">
      <c r="A3195" s="3">
        <v>41065</v>
      </c>
      <c r="B3195" s="4">
        <v>1177.83</v>
      </c>
    </row>
    <row r="3196" spans="1:2">
      <c r="A3196" s="3">
        <v>41066</v>
      </c>
      <c r="B3196" s="4">
        <v>1174</v>
      </c>
    </row>
    <row r="3197" spans="1:2">
      <c r="A3197" s="3">
        <v>41067</v>
      </c>
      <c r="B3197" s="4">
        <v>1164.25</v>
      </c>
    </row>
    <row r="3198" spans="1:2">
      <c r="A3198" s="3">
        <v>41068</v>
      </c>
      <c r="B3198" s="4">
        <v>1173.5899999999999</v>
      </c>
    </row>
    <row r="3199" spans="1:2">
      <c r="A3199" s="3">
        <v>41071</v>
      </c>
      <c r="B3199" s="4">
        <v>1171</v>
      </c>
    </row>
    <row r="3200" spans="1:2">
      <c r="A3200" s="3">
        <v>41072</v>
      </c>
      <c r="B3200" s="4">
        <v>1168.6500000000001</v>
      </c>
    </row>
    <row r="3201" spans="1:2">
      <c r="A3201" s="3">
        <v>41073</v>
      </c>
      <c r="B3201" s="4">
        <v>1165.94</v>
      </c>
    </row>
    <row r="3202" spans="1:2">
      <c r="A3202" s="3">
        <v>41074</v>
      </c>
      <c r="B3202" s="4">
        <v>1163.77</v>
      </c>
    </row>
    <row r="3203" spans="1:2">
      <c r="A3203" s="3">
        <v>41075</v>
      </c>
      <c r="B3203" s="4">
        <v>1164.26</v>
      </c>
    </row>
    <row r="3204" spans="1:2">
      <c r="A3204" s="3">
        <v>41078</v>
      </c>
      <c r="B3204" s="4">
        <v>1157</v>
      </c>
    </row>
    <row r="3205" spans="1:2">
      <c r="A3205" s="3">
        <v>41079</v>
      </c>
      <c r="B3205" s="4">
        <v>1152.75</v>
      </c>
    </row>
    <row r="3206" spans="1:2">
      <c r="A3206" s="3">
        <v>41080</v>
      </c>
      <c r="B3206" s="4">
        <v>1152.1099999999999</v>
      </c>
    </row>
    <row r="3207" spans="1:2">
      <c r="A3207" s="3">
        <v>41081</v>
      </c>
      <c r="B3207" s="4">
        <v>1153.75</v>
      </c>
    </row>
    <row r="3208" spans="1:2">
      <c r="A3208" s="3">
        <v>41082</v>
      </c>
      <c r="B3208" s="4">
        <v>1158.3399999999999</v>
      </c>
    </row>
    <row r="3209" spans="1:2">
      <c r="A3209" s="3">
        <v>41085</v>
      </c>
      <c r="B3209" s="4">
        <v>1161.45</v>
      </c>
    </row>
    <row r="3210" spans="1:2">
      <c r="A3210" s="3">
        <v>41086</v>
      </c>
      <c r="B3210" s="4">
        <v>1158</v>
      </c>
    </row>
    <row r="3211" spans="1:2">
      <c r="A3211" s="3">
        <v>41087</v>
      </c>
      <c r="B3211" s="4">
        <v>1155.0899999999999</v>
      </c>
    </row>
    <row r="3212" spans="1:2">
      <c r="A3212" s="3">
        <v>41088</v>
      </c>
      <c r="B3212" s="4">
        <v>1157.42</v>
      </c>
    </row>
    <row r="3213" spans="1:2">
      <c r="A3213" s="3">
        <v>41089</v>
      </c>
      <c r="B3213" s="4">
        <v>1140.72</v>
      </c>
    </row>
    <row r="3214" spans="1:2">
      <c r="A3214" s="3">
        <v>41092</v>
      </c>
      <c r="B3214" s="4">
        <v>1143.29</v>
      </c>
    </row>
    <row r="3215" spans="1:2">
      <c r="A3215" s="3">
        <v>41093</v>
      </c>
      <c r="B3215" s="4">
        <v>1132.8800000000001</v>
      </c>
    </row>
    <row r="3216" spans="1:2">
      <c r="A3216" s="3">
        <v>41094</v>
      </c>
      <c r="B3216" s="4">
        <v>1137.24</v>
      </c>
    </row>
    <row r="3217" spans="1:2">
      <c r="A3217" s="3">
        <v>41095</v>
      </c>
      <c r="B3217" s="4">
        <v>1133.2</v>
      </c>
    </row>
    <row r="3218" spans="1:2">
      <c r="A3218" s="3">
        <v>41096</v>
      </c>
      <c r="B3218" s="4">
        <v>1140.3</v>
      </c>
    </row>
    <row r="3219" spans="1:2">
      <c r="A3219" s="3">
        <v>41099</v>
      </c>
      <c r="B3219" s="4">
        <v>1142.57</v>
      </c>
    </row>
    <row r="3220" spans="1:2">
      <c r="A3220" s="3">
        <v>41100</v>
      </c>
      <c r="B3220" s="4">
        <v>1139.45</v>
      </c>
    </row>
    <row r="3221" spans="1:2">
      <c r="A3221" s="3">
        <v>41101</v>
      </c>
      <c r="B3221" s="4">
        <v>1140.5</v>
      </c>
    </row>
    <row r="3222" spans="1:2">
      <c r="A3222" s="3">
        <v>41102</v>
      </c>
      <c r="B3222" s="4">
        <v>1154.03</v>
      </c>
    </row>
    <row r="3223" spans="1:2">
      <c r="A3223" s="3">
        <v>41103</v>
      </c>
      <c r="B3223" s="4">
        <v>1147.46</v>
      </c>
    </row>
    <row r="3224" spans="1:2">
      <c r="A3224" s="3">
        <v>41106</v>
      </c>
      <c r="B3224" s="4">
        <v>1145.58</v>
      </c>
    </row>
    <row r="3225" spans="1:2">
      <c r="A3225" s="3">
        <v>41107</v>
      </c>
      <c r="B3225" s="4">
        <v>1144.83</v>
      </c>
    </row>
    <row r="3226" spans="1:2">
      <c r="A3226" s="3">
        <v>41108</v>
      </c>
      <c r="B3226" s="4">
        <v>1142</v>
      </c>
    </row>
    <row r="3227" spans="1:2">
      <c r="A3227" s="3">
        <v>41109</v>
      </c>
      <c r="B3227" s="4">
        <v>1137.7</v>
      </c>
    </row>
    <row r="3228" spans="1:2">
      <c r="A3228" s="3">
        <v>41110</v>
      </c>
      <c r="B3228" s="4">
        <v>1142</v>
      </c>
    </row>
    <row r="3229" spans="1:2">
      <c r="A3229" s="3">
        <v>41113</v>
      </c>
      <c r="B3229" s="4">
        <v>1149.78</v>
      </c>
    </row>
    <row r="3230" spans="1:2">
      <c r="A3230" s="3">
        <v>41114</v>
      </c>
      <c r="B3230" s="4">
        <v>1148.78</v>
      </c>
    </row>
    <row r="3231" spans="1:2">
      <c r="A3231" s="3">
        <v>41115</v>
      </c>
      <c r="B3231" s="4">
        <v>1148.8399999999999</v>
      </c>
    </row>
    <row r="3232" spans="1:2">
      <c r="A3232" s="3">
        <v>41116</v>
      </c>
      <c r="B3232" s="4">
        <v>1146.17</v>
      </c>
    </row>
    <row r="3233" spans="1:2">
      <c r="A3233" s="3">
        <v>41117</v>
      </c>
      <c r="B3233" s="4">
        <v>1138.01</v>
      </c>
    </row>
    <row r="3234" spans="1:2">
      <c r="A3234" s="3">
        <v>41120</v>
      </c>
      <c r="B3234" s="4">
        <v>1137.22</v>
      </c>
    </row>
    <row r="3235" spans="1:2">
      <c r="A3235" s="3">
        <v>41121</v>
      </c>
      <c r="B3235" s="4">
        <v>1130.27</v>
      </c>
    </row>
    <row r="3236" spans="1:2">
      <c r="A3236" s="3">
        <v>41122</v>
      </c>
      <c r="B3236" s="4">
        <v>1126.56</v>
      </c>
    </row>
    <row r="3237" spans="1:2">
      <c r="A3237" s="3">
        <v>41123</v>
      </c>
      <c r="B3237" s="4">
        <v>1131.58</v>
      </c>
    </row>
    <row r="3238" spans="1:2">
      <c r="A3238" s="3">
        <v>41124</v>
      </c>
      <c r="B3238" s="4">
        <v>1134.5</v>
      </c>
    </row>
    <row r="3239" spans="1:2">
      <c r="A3239" s="3">
        <v>41127</v>
      </c>
      <c r="B3239" s="4">
        <v>1127.93</v>
      </c>
    </row>
    <row r="3240" spans="1:2">
      <c r="A3240" s="3">
        <v>41128</v>
      </c>
      <c r="B3240" s="4">
        <v>1128.7</v>
      </c>
    </row>
    <row r="3241" spans="1:2">
      <c r="A3241" s="3">
        <v>41129</v>
      </c>
      <c r="B3241" s="4">
        <v>1129.82</v>
      </c>
    </row>
    <row r="3242" spans="1:2">
      <c r="A3242" s="3">
        <v>41130</v>
      </c>
      <c r="B3242" s="4">
        <v>1126.69</v>
      </c>
    </row>
    <row r="3243" spans="1:2">
      <c r="A3243" s="3">
        <v>41131</v>
      </c>
      <c r="B3243" s="4">
        <v>1130.75</v>
      </c>
    </row>
    <row r="3244" spans="1:2">
      <c r="A3244" s="3">
        <v>41134</v>
      </c>
      <c r="B3244" s="4">
        <v>1128.73</v>
      </c>
    </row>
    <row r="3245" spans="1:2">
      <c r="A3245" s="3">
        <v>41135</v>
      </c>
      <c r="B3245" s="4">
        <v>1129.99</v>
      </c>
    </row>
    <row r="3246" spans="1:2">
      <c r="A3246" s="3">
        <v>41136</v>
      </c>
      <c r="B3246" s="4">
        <v>1130.21</v>
      </c>
    </row>
    <row r="3247" spans="1:2">
      <c r="A3247" s="3">
        <v>41137</v>
      </c>
      <c r="B3247" s="4">
        <v>1133.19</v>
      </c>
    </row>
    <row r="3248" spans="1:2">
      <c r="A3248" s="3">
        <v>41138</v>
      </c>
      <c r="B3248" s="4">
        <v>1134.72</v>
      </c>
    </row>
    <row r="3249" spans="1:2">
      <c r="A3249" s="3">
        <v>41141</v>
      </c>
      <c r="B3249" s="4">
        <v>1135</v>
      </c>
    </row>
    <row r="3250" spans="1:2">
      <c r="A3250" s="3">
        <v>41142</v>
      </c>
      <c r="B3250" s="4">
        <v>1130.5899999999999</v>
      </c>
    </row>
    <row r="3251" spans="1:2">
      <c r="A3251" s="3">
        <v>41143</v>
      </c>
      <c r="B3251" s="4">
        <v>1135.56</v>
      </c>
    </row>
    <row r="3252" spans="1:2">
      <c r="A3252" s="3">
        <v>41144</v>
      </c>
      <c r="B3252" s="4">
        <v>1131.48</v>
      </c>
    </row>
    <row r="3253" spans="1:2">
      <c r="A3253" s="3">
        <v>41145</v>
      </c>
      <c r="B3253" s="4">
        <v>1134.1500000000001</v>
      </c>
    </row>
    <row r="3254" spans="1:2">
      <c r="A3254" s="3">
        <v>41148</v>
      </c>
      <c r="B3254" s="4">
        <v>1134.75</v>
      </c>
    </row>
    <row r="3255" spans="1:2">
      <c r="A3255" s="3">
        <v>41149</v>
      </c>
      <c r="B3255" s="4">
        <v>1134.45</v>
      </c>
    </row>
    <row r="3256" spans="1:2">
      <c r="A3256" s="3">
        <v>41150</v>
      </c>
      <c r="B3256" s="4">
        <v>1134.75</v>
      </c>
    </row>
    <row r="3257" spans="1:2">
      <c r="A3257" s="3">
        <v>41151</v>
      </c>
      <c r="B3257" s="4">
        <v>1134.18</v>
      </c>
    </row>
    <row r="3258" spans="1:2">
      <c r="A3258" s="3">
        <v>41152</v>
      </c>
      <c r="B3258" s="4">
        <v>1133.19</v>
      </c>
    </row>
    <row r="3259" spans="1:2">
      <c r="A3259" s="3">
        <v>41155</v>
      </c>
      <c r="B3259" s="4">
        <v>1131.3800000000001</v>
      </c>
    </row>
    <row r="3260" spans="1:2">
      <c r="A3260" s="3">
        <v>41156</v>
      </c>
      <c r="B3260" s="4">
        <v>1133.23</v>
      </c>
    </row>
    <row r="3261" spans="1:2">
      <c r="A3261" s="3">
        <v>41157</v>
      </c>
      <c r="B3261" s="4">
        <v>1135.96</v>
      </c>
    </row>
    <row r="3262" spans="1:2">
      <c r="A3262" s="3">
        <v>41158</v>
      </c>
      <c r="B3262" s="4">
        <v>1133.45</v>
      </c>
    </row>
    <row r="3263" spans="1:2">
      <c r="A3263" s="3">
        <v>41159</v>
      </c>
      <c r="B3263" s="4">
        <v>1129.8499999999999</v>
      </c>
    </row>
    <row r="3264" spans="1:2">
      <c r="A3264" s="3">
        <v>41162</v>
      </c>
      <c r="B3264" s="4">
        <v>1128.55</v>
      </c>
    </row>
    <row r="3265" spans="1:2">
      <c r="A3265" s="3">
        <v>41163</v>
      </c>
      <c r="B3265" s="4">
        <v>1127.94</v>
      </c>
    </row>
    <row r="3266" spans="1:2">
      <c r="A3266" s="3">
        <v>41164</v>
      </c>
      <c r="B3266" s="4">
        <v>1126.46</v>
      </c>
    </row>
    <row r="3267" spans="1:2">
      <c r="A3267" s="3">
        <v>41165</v>
      </c>
      <c r="B3267" s="4">
        <v>1128.22</v>
      </c>
    </row>
    <row r="3268" spans="1:2">
      <c r="A3268" s="3">
        <v>41166</v>
      </c>
      <c r="B3268" s="4">
        <v>1116.6500000000001</v>
      </c>
    </row>
    <row r="3269" spans="1:2">
      <c r="A3269" s="3">
        <v>41169</v>
      </c>
      <c r="B3269" s="4">
        <v>1116</v>
      </c>
    </row>
    <row r="3270" spans="1:2">
      <c r="A3270" s="3">
        <v>41170</v>
      </c>
      <c r="B3270" s="4">
        <v>1118.3</v>
      </c>
    </row>
    <row r="3271" spans="1:2">
      <c r="A3271" s="3">
        <v>41171</v>
      </c>
      <c r="B3271" s="4">
        <v>1115.74</v>
      </c>
    </row>
    <row r="3272" spans="1:2">
      <c r="A3272" s="3">
        <v>41172</v>
      </c>
      <c r="B3272" s="4">
        <v>1118.05</v>
      </c>
    </row>
    <row r="3273" spans="1:2">
      <c r="A3273" s="3">
        <v>41173</v>
      </c>
      <c r="B3273" s="4">
        <v>1119</v>
      </c>
    </row>
    <row r="3274" spans="1:2">
      <c r="A3274" s="3">
        <v>41176</v>
      </c>
      <c r="B3274" s="4">
        <v>1120.1199999999999</v>
      </c>
    </row>
    <row r="3275" spans="1:2">
      <c r="A3275" s="3">
        <v>41177</v>
      </c>
      <c r="B3275" s="4">
        <v>1118.1199999999999</v>
      </c>
    </row>
    <row r="3276" spans="1:2">
      <c r="A3276" s="3">
        <v>41178</v>
      </c>
      <c r="B3276" s="4">
        <v>1118.81</v>
      </c>
    </row>
    <row r="3277" spans="1:2">
      <c r="A3277" s="3">
        <v>41179</v>
      </c>
      <c r="B3277" s="4">
        <v>1116.03</v>
      </c>
    </row>
    <row r="3278" spans="1:2">
      <c r="A3278" s="3">
        <v>41180</v>
      </c>
      <c r="B3278" s="4">
        <v>1113.07</v>
      </c>
    </row>
    <row r="3279" spans="1:2">
      <c r="A3279" s="3">
        <v>41183</v>
      </c>
      <c r="B3279" s="4">
        <v>1111.99</v>
      </c>
    </row>
    <row r="3280" spans="1:2">
      <c r="A3280" s="3">
        <v>41184</v>
      </c>
      <c r="B3280" s="4">
        <v>1112.8800000000001</v>
      </c>
    </row>
    <row r="3281" spans="1:2">
      <c r="A3281" s="3">
        <v>41185</v>
      </c>
      <c r="B3281" s="4">
        <v>1112.8599999999999</v>
      </c>
    </row>
    <row r="3282" spans="1:2">
      <c r="A3282" s="3">
        <v>41186</v>
      </c>
      <c r="B3282" s="4">
        <v>1111.6300000000001</v>
      </c>
    </row>
    <row r="3283" spans="1:2">
      <c r="A3283" s="3">
        <v>41187</v>
      </c>
      <c r="B3283" s="4">
        <v>1109.82</v>
      </c>
    </row>
    <row r="3284" spans="1:2">
      <c r="A3284" s="3">
        <v>41190</v>
      </c>
      <c r="B3284" s="4">
        <v>1111.3399999999999</v>
      </c>
    </row>
    <row r="3285" spans="1:2">
      <c r="A3285" s="3">
        <v>41191</v>
      </c>
      <c r="B3285" s="4">
        <v>1111.22</v>
      </c>
    </row>
    <row r="3286" spans="1:2">
      <c r="A3286" s="3">
        <v>41192</v>
      </c>
      <c r="B3286" s="4">
        <v>1113.82</v>
      </c>
    </row>
    <row r="3287" spans="1:2">
      <c r="A3287" s="3">
        <v>41193</v>
      </c>
      <c r="B3287" s="4">
        <v>1112.57</v>
      </c>
    </row>
    <row r="3288" spans="1:2">
      <c r="A3288" s="3">
        <v>41194</v>
      </c>
      <c r="B3288" s="4">
        <v>1110.5</v>
      </c>
    </row>
    <row r="3289" spans="1:2">
      <c r="A3289" s="3">
        <v>41197</v>
      </c>
      <c r="B3289" s="4">
        <v>1110</v>
      </c>
    </row>
    <row r="3290" spans="1:2">
      <c r="A3290" s="3">
        <v>41198</v>
      </c>
      <c r="B3290" s="4">
        <v>1106.0999999999999</v>
      </c>
    </row>
    <row r="3291" spans="1:2">
      <c r="A3291" s="3">
        <v>41199</v>
      </c>
      <c r="B3291" s="4">
        <v>1104.49</v>
      </c>
    </row>
    <row r="3292" spans="1:2">
      <c r="A3292" s="3">
        <v>41200</v>
      </c>
      <c r="B3292" s="4">
        <v>1104.6500000000001</v>
      </c>
    </row>
    <row r="3293" spans="1:2">
      <c r="A3293" s="3">
        <v>41201</v>
      </c>
      <c r="B3293" s="4">
        <v>1105.26</v>
      </c>
    </row>
    <row r="3294" spans="1:2">
      <c r="A3294" s="3">
        <v>41204</v>
      </c>
      <c r="B3294" s="4">
        <v>1104.0999999999999</v>
      </c>
    </row>
    <row r="3295" spans="1:2">
      <c r="A3295" s="3">
        <v>41205</v>
      </c>
      <c r="B3295" s="4">
        <v>1103.0999999999999</v>
      </c>
    </row>
    <row r="3296" spans="1:2">
      <c r="A3296" s="3">
        <v>41206</v>
      </c>
      <c r="B3296" s="4">
        <v>1103.5</v>
      </c>
    </row>
    <row r="3297" spans="1:2">
      <c r="A3297" s="3">
        <v>41207</v>
      </c>
      <c r="B3297" s="4">
        <v>1098</v>
      </c>
    </row>
    <row r="3298" spans="1:2">
      <c r="A3298" s="3">
        <v>41208</v>
      </c>
      <c r="B3298" s="4">
        <v>1097.03</v>
      </c>
    </row>
    <row r="3299" spans="1:2">
      <c r="A3299" s="3">
        <v>41211</v>
      </c>
      <c r="B3299" s="4">
        <v>1097.46</v>
      </c>
    </row>
    <row r="3300" spans="1:2">
      <c r="A3300" s="3">
        <v>41212</v>
      </c>
      <c r="B3300" s="4">
        <v>1091.1500000000001</v>
      </c>
    </row>
    <row r="3301" spans="1:2">
      <c r="A3301" s="3">
        <v>41213</v>
      </c>
      <c r="B3301" s="4">
        <v>1089.92</v>
      </c>
    </row>
    <row r="3302" spans="1:2">
      <c r="A3302" s="3">
        <v>41214</v>
      </c>
      <c r="B3302" s="4">
        <v>1090.27</v>
      </c>
    </row>
    <row r="3303" spans="1:2">
      <c r="A3303" s="3">
        <v>41215</v>
      </c>
      <c r="B3303" s="4">
        <v>1090.7</v>
      </c>
    </row>
    <row r="3304" spans="1:2">
      <c r="A3304" s="3">
        <v>41218</v>
      </c>
      <c r="B3304" s="4">
        <v>1090.8</v>
      </c>
    </row>
    <row r="3305" spans="1:2">
      <c r="A3305" s="3">
        <v>41219</v>
      </c>
      <c r="B3305" s="4">
        <v>1089.82</v>
      </c>
    </row>
    <row r="3306" spans="1:2">
      <c r="A3306" s="3">
        <v>41220</v>
      </c>
      <c r="B3306" s="4">
        <v>1086.5</v>
      </c>
    </row>
    <row r="3307" spans="1:2">
      <c r="A3307" s="3">
        <v>41221</v>
      </c>
      <c r="B3307" s="4">
        <v>1088.97</v>
      </c>
    </row>
    <row r="3308" spans="1:2">
      <c r="A3308" s="3">
        <v>41222</v>
      </c>
      <c r="B3308" s="4">
        <v>1087.5</v>
      </c>
    </row>
    <row r="3309" spans="1:2">
      <c r="A3309" s="3">
        <v>41225</v>
      </c>
      <c r="B3309" s="4">
        <v>1089.75</v>
      </c>
    </row>
    <row r="3310" spans="1:2">
      <c r="A3310" s="3">
        <v>41226</v>
      </c>
      <c r="B3310" s="4">
        <v>1089.44</v>
      </c>
    </row>
    <row r="3311" spans="1:2">
      <c r="A3311" s="3">
        <v>41227</v>
      </c>
      <c r="B3311" s="4">
        <v>1086</v>
      </c>
    </row>
    <row r="3312" spans="1:2">
      <c r="A3312" s="3">
        <v>41228</v>
      </c>
      <c r="B3312" s="4">
        <v>1088.31</v>
      </c>
    </row>
    <row r="3313" spans="1:2">
      <c r="A3313" s="3">
        <v>41229</v>
      </c>
      <c r="B3313" s="4">
        <v>1092</v>
      </c>
    </row>
    <row r="3314" spans="1:2">
      <c r="A3314" s="3">
        <v>41232</v>
      </c>
      <c r="B3314" s="4">
        <v>1086</v>
      </c>
    </row>
    <row r="3315" spans="1:2">
      <c r="A3315" s="3">
        <v>41233</v>
      </c>
      <c r="B3315" s="4">
        <v>1082.58</v>
      </c>
    </row>
    <row r="3316" spans="1:2">
      <c r="A3316" s="3">
        <v>41234</v>
      </c>
      <c r="B3316" s="4">
        <v>1082</v>
      </c>
    </row>
    <row r="3317" spans="1:2">
      <c r="A3317" s="3">
        <v>41235</v>
      </c>
      <c r="B3317" s="4">
        <v>1085.21</v>
      </c>
    </row>
    <row r="3318" spans="1:2">
      <c r="A3318" s="3">
        <v>41236</v>
      </c>
      <c r="B3318" s="4">
        <v>1085</v>
      </c>
    </row>
    <row r="3319" spans="1:2">
      <c r="A3319" s="3">
        <v>41239</v>
      </c>
      <c r="B3319" s="4">
        <v>1085.6199999999999</v>
      </c>
    </row>
    <row r="3320" spans="1:2">
      <c r="A3320" s="3">
        <v>41240</v>
      </c>
      <c r="B3320" s="4">
        <v>1086.17</v>
      </c>
    </row>
    <row r="3321" spans="1:2">
      <c r="A3321" s="3">
        <v>41241</v>
      </c>
      <c r="B3321" s="4">
        <v>1085.0999999999999</v>
      </c>
    </row>
    <row r="3322" spans="1:2">
      <c r="A3322" s="3">
        <v>41242</v>
      </c>
      <c r="B3322" s="4">
        <v>1082.9000000000001</v>
      </c>
    </row>
    <row r="3323" spans="1:2">
      <c r="A3323" s="3">
        <v>41243</v>
      </c>
      <c r="B3323" s="4">
        <v>1081.5</v>
      </c>
    </row>
    <row r="3324" spans="1:2">
      <c r="A3324" s="3">
        <v>41246</v>
      </c>
      <c r="B3324" s="4">
        <v>1082.6500000000001</v>
      </c>
    </row>
    <row r="3325" spans="1:2">
      <c r="A3325" s="3">
        <v>41247</v>
      </c>
      <c r="B3325" s="4">
        <v>1083.31</v>
      </c>
    </row>
    <row r="3326" spans="1:2">
      <c r="A3326" s="3">
        <v>41248</v>
      </c>
      <c r="B3326" s="4">
        <v>1081.99</v>
      </c>
    </row>
    <row r="3327" spans="1:2">
      <c r="A3327" s="3">
        <v>41249</v>
      </c>
      <c r="B3327" s="4">
        <v>1082.8</v>
      </c>
    </row>
    <row r="3328" spans="1:2">
      <c r="A3328" s="3">
        <v>41250</v>
      </c>
      <c r="B3328" s="4">
        <v>1081.56</v>
      </c>
    </row>
    <row r="3329" spans="1:2">
      <c r="A3329" s="3">
        <v>41253</v>
      </c>
      <c r="B3329" s="4">
        <v>1077.43</v>
      </c>
    </row>
    <row r="3330" spans="1:2">
      <c r="A3330" s="3">
        <v>41254</v>
      </c>
      <c r="B3330" s="4">
        <v>1074.8499999999999</v>
      </c>
    </row>
    <row r="3331" spans="1:2">
      <c r="A3331" s="3">
        <v>41255</v>
      </c>
      <c r="B3331" s="4">
        <v>1073.3499999999999</v>
      </c>
    </row>
    <row r="3332" spans="1:2">
      <c r="A3332" s="3">
        <v>41256</v>
      </c>
      <c r="B3332" s="4">
        <v>1073.9000000000001</v>
      </c>
    </row>
    <row r="3333" spans="1:2">
      <c r="A3333" s="3">
        <v>41257</v>
      </c>
      <c r="B3333" s="4">
        <v>1074.74</v>
      </c>
    </row>
    <row r="3334" spans="1:2">
      <c r="A3334" s="3">
        <v>41260</v>
      </c>
      <c r="B3334" s="4">
        <v>1072</v>
      </c>
    </row>
    <row r="3335" spans="1:2">
      <c r="A3335" s="3">
        <v>41261</v>
      </c>
      <c r="B3335" s="4">
        <v>1072.75</v>
      </c>
    </row>
    <row r="3336" spans="1:2">
      <c r="A3336" s="3">
        <v>41262</v>
      </c>
      <c r="B3336" s="4">
        <v>1072</v>
      </c>
    </row>
    <row r="3337" spans="1:2">
      <c r="A3337" s="3">
        <v>41263</v>
      </c>
      <c r="B3337" s="4">
        <v>1074.3</v>
      </c>
    </row>
    <row r="3338" spans="1:2">
      <c r="A3338" s="3">
        <v>41264</v>
      </c>
      <c r="B3338" s="4">
        <v>1075.4000000000001</v>
      </c>
    </row>
    <row r="3339" spans="1:2">
      <c r="A3339" s="3">
        <v>41267</v>
      </c>
      <c r="B3339" s="4">
        <v>1073</v>
      </c>
    </row>
    <row r="3340" spans="1:2">
      <c r="A3340" s="3">
        <v>41268</v>
      </c>
      <c r="B3340" s="4">
        <v>1073</v>
      </c>
    </row>
    <row r="3341" spans="1:2">
      <c r="A3341" s="3">
        <v>41269</v>
      </c>
      <c r="B3341" s="4">
        <v>1073</v>
      </c>
    </row>
    <row r="3342" spans="1:2">
      <c r="A3342" s="3">
        <v>41270</v>
      </c>
      <c r="B3342" s="4">
        <v>1072.01</v>
      </c>
    </row>
    <row r="3343" spans="1:2">
      <c r="A3343" s="3">
        <v>41271</v>
      </c>
      <c r="B3343" s="4">
        <v>1067.1400000000001</v>
      </c>
    </row>
    <row r="3344" spans="1:2">
      <c r="A3344" s="3">
        <v>41274</v>
      </c>
      <c r="B3344" s="4">
        <v>1063.24</v>
      </c>
    </row>
    <row r="3345" spans="1:2">
      <c r="A3345" s="3">
        <v>41275</v>
      </c>
      <c r="B3345" s="4">
        <v>1063.24</v>
      </c>
    </row>
    <row r="3346" spans="1:2">
      <c r="A3346" s="3">
        <v>41276</v>
      </c>
      <c r="B3346" s="4">
        <v>1063.3</v>
      </c>
    </row>
    <row r="3347" spans="1:2">
      <c r="A3347" s="3">
        <v>41277</v>
      </c>
      <c r="B3347" s="4">
        <v>1062.95</v>
      </c>
    </row>
    <row r="3348" spans="1:2">
      <c r="A3348" s="3">
        <v>41278</v>
      </c>
      <c r="B3348" s="4">
        <v>1062.1400000000001</v>
      </c>
    </row>
    <row r="3349" spans="1:2">
      <c r="A3349" s="3">
        <v>41281</v>
      </c>
      <c r="B3349" s="4">
        <v>1062.96</v>
      </c>
    </row>
    <row r="3350" spans="1:2">
      <c r="A3350" s="3">
        <v>41282</v>
      </c>
      <c r="B3350" s="4">
        <v>1063.95</v>
      </c>
    </row>
    <row r="3351" spans="1:2">
      <c r="A3351" s="3">
        <v>41283</v>
      </c>
      <c r="B3351" s="4">
        <v>1060.3</v>
      </c>
    </row>
    <row r="3352" spans="1:2">
      <c r="A3352" s="3">
        <v>41284</v>
      </c>
      <c r="B3352" s="4">
        <v>1058.22</v>
      </c>
    </row>
    <row r="3353" spans="1:2">
      <c r="A3353" s="3">
        <v>41285</v>
      </c>
      <c r="B3353" s="4">
        <v>1056.04</v>
      </c>
    </row>
    <row r="3354" spans="1:2">
      <c r="A3354" s="3">
        <v>41288</v>
      </c>
      <c r="B3354" s="4">
        <v>1056</v>
      </c>
    </row>
    <row r="3355" spans="1:2">
      <c r="A3355" s="3">
        <v>41289</v>
      </c>
      <c r="B3355" s="4">
        <v>1057.1199999999999</v>
      </c>
    </row>
    <row r="3356" spans="1:2">
      <c r="A3356" s="3">
        <v>41290</v>
      </c>
      <c r="B3356" s="4">
        <v>1058.3499999999999</v>
      </c>
    </row>
    <row r="3357" spans="1:2">
      <c r="A3357" s="3">
        <v>41291</v>
      </c>
      <c r="B3357" s="4">
        <v>1057.82</v>
      </c>
    </row>
    <row r="3358" spans="1:2">
      <c r="A3358" s="3">
        <v>41292</v>
      </c>
      <c r="B3358" s="4">
        <v>1058</v>
      </c>
    </row>
    <row r="3359" spans="1:2">
      <c r="A3359" s="3">
        <v>41295</v>
      </c>
      <c r="B3359" s="4">
        <v>1063.8499999999999</v>
      </c>
    </row>
    <row r="3360" spans="1:2">
      <c r="A3360" s="3">
        <v>41296</v>
      </c>
      <c r="B3360" s="4">
        <v>1062.81</v>
      </c>
    </row>
    <row r="3361" spans="1:2">
      <c r="A3361" s="3">
        <v>41297</v>
      </c>
      <c r="B3361" s="4">
        <v>1067.02</v>
      </c>
    </row>
    <row r="3362" spans="1:2">
      <c r="A3362" s="3">
        <v>41298</v>
      </c>
      <c r="B3362" s="4">
        <v>1068.3</v>
      </c>
    </row>
    <row r="3363" spans="1:2">
      <c r="A3363" s="3">
        <v>41299</v>
      </c>
      <c r="B3363" s="4">
        <v>1075.33</v>
      </c>
    </row>
    <row r="3364" spans="1:2">
      <c r="A3364" s="3">
        <v>41302</v>
      </c>
      <c r="B3364" s="4">
        <v>1091.22</v>
      </c>
    </row>
    <row r="3365" spans="1:2">
      <c r="A3365" s="3">
        <v>41303</v>
      </c>
      <c r="B3365" s="4">
        <v>1083.72</v>
      </c>
    </row>
    <row r="3366" spans="1:2">
      <c r="A3366" s="3">
        <v>41304</v>
      </c>
      <c r="B3366" s="4">
        <v>1085.8499999999999</v>
      </c>
    </row>
    <row r="3367" spans="1:2">
      <c r="A3367" s="3">
        <v>41305</v>
      </c>
      <c r="B3367" s="4">
        <v>1087.31</v>
      </c>
    </row>
    <row r="3368" spans="1:2">
      <c r="A3368" s="3">
        <v>41306</v>
      </c>
      <c r="B3368" s="4">
        <v>1094.79</v>
      </c>
    </row>
    <row r="3369" spans="1:2">
      <c r="A3369" s="3">
        <v>41309</v>
      </c>
      <c r="B3369" s="4">
        <v>1089.3499999999999</v>
      </c>
    </row>
    <row r="3370" spans="1:2">
      <c r="A3370" s="3">
        <v>41310</v>
      </c>
      <c r="B3370" s="4">
        <v>1086.17</v>
      </c>
    </row>
    <row r="3371" spans="1:2">
      <c r="A3371" s="3">
        <v>41311</v>
      </c>
      <c r="B3371" s="4">
        <v>1089</v>
      </c>
    </row>
    <row r="3372" spans="1:2">
      <c r="A3372" s="3">
        <v>41312</v>
      </c>
      <c r="B3372" s="4">
        <v>1090.1500000000001</v>
      </c>
    </row>
    <row r="3373" spans="1:2">
      <c r="A3373" s="3">
        <v>41313</v>
      </c>
      <c r="B3373" s="4">
        <v>1095.5</v>
      </c>
    </row>
    <row r="3374" spans="1:2">
      <c r="A3374" s="3">
        <v>41316</v>
      </c>
      <c r="B3374" s="4">
        <v>1095.5</v>
      </c>
    </row>
    <row r="3375" spans="1:2">
      <c r="A3375" s="3">
        <v>41317</v>
      </c>
      <c r="B3375" s="4">
        <v>1093.1300000000001</v>
      </c>
    </row>
    <row r="3376" spans="1:2">
      <c r="A3376" s="3">
        <v>41318</v>
      </c>
      <c r="B3376" s="4">
        <v>1085.82</v>
      </c>
    </row>
    <row r="3377" spans="1:2">
      <c r="A3377" s="3">
        <v>41319</v>
      </c>
      <c r="B3377" s="4">
        <v>1085.1400000000001</v>
      </c>
    </row>
    <row r="3378" spans="1:2">
      <c r="A3378" s="3">
        <v>41320</v>
      </c>
      <c r="B3378" s="4">
        <v>1078</v>
      </c>
    </row>
    <row r="3379" spans="1:2">
      <c r="A3379" s="3">
        <v>41323</v>
      </c>
      <c r="B3379" s="4">
        <v>1083.31</v>
      </c>
    </row>
    <row r="3380" spans="1:2">
      <c r="A3380" s="3">
        <v>41324</v>
      </c>
      <c r="B3380" s="4">
        <v>1080</v>
      </c>
    </row>
    <row r="3381" spans="1:2">
      <c r="A3381" s="3">
        <v>41325</v>
      </c>
      <c r="B3381" s="4">
        <v>1079.98</v>
      </c>
    </row>
    <row r="3382" spans="1:2">
      <c r="A3382" s="3">
        <v>41326</v>
      </c>
      <c r="B3382" s="4">
        <v>1086.8</v>
      </c>
    </row>
    <row r="3383" spans="1:2">
      <c r="A3383" s="3">
        <v>41327</v>
      </c>
      <c r="B3383" s="4">
        <v>1085.03</v>
      </c>
    </row>
    <row r="3384" spans="1:2">
      <c r="A3384" s="3">
        <v>41330</v>
      </c>
      <c r="B3384" s="4">
        <v>1086</v>
      </c>
    </row>
    <row r="3385" spans="1:2">
      <c r="A3385" s="3">
        <v>41331</v>
      </c>
      <c r="B3385" s="4">
        <v>1089.42</v>
      </c>
    </row>
    <row r="3386" spans="1:2">
      <c r="A3386" s="3">
        <v>41332</v>
      </c>
      <c r="B3386" s="4">
        <v>1084.68</v>
      </c>
    </row>
    <row r="3387" spans="1:2">
      <c r="A3387" s="3">
        <v>41333</v>
      </c>
      <c r="B3387" s="4">
        <v>1083.9000000000001</v>
      </c>
    </row>
    <row r="3388" spans="1:2">
      <c r="A3388" s="3">
        <v>41334</v>
      </c>
      <c r="B3388" s="4">
        <v>1083.9000000000001</v>
      </c>
    </row>
    <row r="3389" spans="1:2">
      <c r="A3389" s="3">
        <v>41337</v>
      </c>
      <c r="B3389" s="4">
        <v>1090.6600000000001</v>
      </c>
    </row>
    <row r="3390" spans="1:2">
      <c r="A3390" s="3">
        <v>41338</v>
      </c>
      <c r="B3390" s="4">
        <v>1086.28</v>
      </c>
    </row>
    <row r="3391" spans="1:2">
      <c r="A3391" s="3">
        <v>41339</v>
      </c>
      <c r="B3391" s="4">
        <v>1084.56</v>
      </c>
    </row>
    <row r="3392" spans="1:2">
      <c r="A3392" s="3">
        <v>41340</v>
      </c>
      <c r="B3392" s="4">
        <v>1087.49</v>
      </c>
    </row>
    <row r="3393" spans="1:2">
      <c r="A3393" s="3">
        <v>41341</v>
      </c>
      <c r="B3393" s="4">
        <v>1089.1500000000001</v>
      </c>
    </row>
    <row r="3394" spans="1:2">
      <c r="A3394" s="3">
        <v>41344</v>
      </c>
      <c r="B3394" s="4">
        <v>1093.9000000000001</v>
      </c>
    </row>
    <row r="3395" spans="1:2">
      <c r="A3395" s="3">
        <v>41345</v>
      </c>
      <c r="B3395" s="4">
        <v>1095.28</v>
      </c>
    </row>
    <row r="3396" spans="1:2">
      <c r="A3396" s="3">
        <v>41346</v>
      </c>
      <c r="B3396" s="4">
        <v>1098.42</v>
      </c>
    </row>
    <row r="3397" spans="1:2">
      <c r="A3397" s="3">
        <v>41347</v>
      </c>
      <c r="B3397" s="4">
        <v>1107.58</v>
      </c>
    </row>
    <row r="3398" spans="1:2">
      <c r="A3398" s="3">
        <v>41348</v>
      </c>
      <c r="B3398" s="4">
        <v>1110.19</v>
      </c>
    </row>
    <row r="3399" spans="1:2">
      <c r="A3399" s="3">
        <v>41351</v>
      </c>
      <c r="B3399" s="4">
        <v>1114.1099999999999</v>
      </c>
    </row>
    <row r="3400" spans="1:2">
      <c r="A3400" s="3">
        <v>41352</v>
      </c>
      <c r="B3400" s="4">
        <v>1112.93</v>
      </c>
    </row>
    <row r="3401" spans="1:2">
      <c r="A3401" s="3">
        <v>41353</v>
      </c>
      <c r="B3401" s="4">
        <v>1115.58</v>
      </c>
    </row>
    <row r="3402" spans="1:2">
      <c r="A3402" s="3">
        <v>41354</v>
      </c>
      <c r="B3402" s="4">
        <v>1115.7</v>
      </c>
    </row>
    <row r="3403" spans="1:2">
      <c r="A3403" s="3">
        <v>41355</v>
      </c>
      <c r="B3403" s="4">
        <v>1119.2</v>
      </c>
    </row>
    <row r="3404" spans="1:2">
      <c r="A3404" s="3">
        <v>41358</v>
      </c>
      <c r="B3404" s="4">
        <v>1111</v>
      </c>
    </row>
    <row r="3405" spans="1:2">
      <c r="A3405" s="3">
        <v>41359</v>
      </c>
      <c r="B3405" s="4">
        <v>1107.3699999999999</v>
      </c>
    </row>
    <row r="3406" spans="1:2">
      <c r="A3406" s="3">
        <v>41360</v>
      </c>
      <c r="B3406" s="4">
        <v>1111.4000000000001</v>
      </c>
    </row>
    <row r="3407" spans="1:2">
      <c r="A3407" s="3">
        <v>41361</v>
      </c>
      <c r="B3407" s="4">
        <v>1113.1400000000001</v>
      </c>
    </row>
    <row r="3408" spans="1:2">
      <c r="A3408" s="3">
        <v>41362</v>
      </c>
      <c r="B3408" s="4">
        <v>1111.05</v>
      </c>
    </row>
    <row r="3409" spans="1:2">
      <c r="A3409" s="3">
        <v>41365</v>
      </c>
      <c r="B3409" s="4">
        <v>1114.25</v>
      </c>
    </row>
    <row r="3410" spans="1:2">
      <c r="A3410" s="3">
        <v>41366</v>
      </c>
      <c r="B3410" s="4">
        <v>1117.8699999999999</v>
      </c>
    </row>
    <row r="3411" spans="1:2">
      <c r="A3411" s="3">
        <v>41367</v>
      </c>
      <c r="B3411" s="4">
        <v>1117.25</v>
      </c>
    </row>
    <row r="3412" spans="1:2">
      <c r="A3412" s="3">
        <v>41368</v>
      </c>
      <c r="B3412" s="4">
        <v>1124.3800000000001</v>
      </c>
    </row>
    <row r="3413" spans="1:2">
      <c r="A3413" s="3">
        <v>41369</v>
      </c>
      <c r="B3413" s="4">
        <v>1137.1300000000001</v>
      </c>
    </row>
    <row r="3414" spans="1:2">
      <c r="A3414" s="3">
        <v>41372</v>
      </c>
      <c r="B3414" s="4">
        <v>1142.21</v>
      </c>
    </row>
    <row r="3415" spans="1:2">
      <c r="A3415" s="3">
        <v>41373</v>
      </c>
      <c r="B3415" s="4">
        <v>1139</v>
      </c>
    </row>
    <row r="3416" spans="1:2">
      <c r="A3416" s="3">
        <v>41374</v>
      </c>
      <c r="B3416" s="4">
        <v>1135.3499999999999</v>
      </c>
    </row>
    <row r="3417" spans="1:2">
      <c r="A3417" s="3">
        <v>41375</v>
      </c>
      <c r="B3417" s="4">
        <v>1129.22</v>
      </c>
    </row>
    <row r="3418" spans="1:2">
      <c r="A3418" s="3">
        <v>41376</v>
      </c>
      <c r="B3418" s="4">
        <v>1129</v>
      </c>
    </row>
    <row r="3419" spans="1:2">
      <c r="A3419" s="3">
        <v>41379</v>
      </c>
      <c r="B3419" s="4">
        <v>1119.49</v>
      </c>
    </row>
    <row r="3420" spans="1:2">
      <c r="A3420" s="3">
        <v>41380</v>
      </c>
      <c r="B3420" s="4">
        <v>1113.4000000000001</v>
      </c>
    </row>
    <row r="3421" spans="1:2">
      <c r="A3421" s="3">
        <v>41381</v>
      </c>
      <c r="B3421" s="4">
        <v>1120.48</v>
      </c>
    </row>
    <row r="3422" spans="1:2">
      <c r="A3422" s="3">
        <v>41382</v>
      </c>
      <c r="B3422" s="4">
        <v>1119.48</v>
      </c>
    </row>
    <row r="3423" spans="1:2">
      <c r="A3423" s="3">
        <v>41383</v>
      </c>
      <c r="B3423" s="4">
        <v>1119.03</v>
      </c>
    </row>
    <row r="3424" spans="1:2">
      <c r="A3424" s="3">
        <v>41386</v>
      </c>
      <c r="B3424" s="4">
        <v>1119.51</v>
      </c>
    </row>
    <row r="3425" spans="1:2">
      <c r="A3425" s="3">
        <v>41387</v>
      </c>
      <c r="B3425" s="4">
        <v>1119.27</v>
      </c>
    </row>
    <row r="3426" spans="1:2">
      <c r="A3426" s="3">
        <v>41388</v>
      </c>
      <c r="B3426" s="4">
        <v>1116.79</v>
      </c>
    </row>
    <row r="3427" spans="1:2">
      <c r="A3427" s="3">
        <v>41389</v>
      </c>
      <c r="B3427" s="4">
        <v>1111.3499999999999</v>
      </c>
    </row>
    <row r="3428" spans="1:2">
      <c r="A3428" s="3">
        <v>41390</v>
      </c>
      <c r="B3428" s="4">
        <v>1110.58</v>
      </c>
    </row>
    <row r="3429" spans="1:2">
      <c r="A3429" s="3">
        <v>41393</v>
      </c>
      <c r="B3429" s="4">
        <v>1103.79</v>
      </c>
    </row>
    <row r="3430" spans="1:2">
      <c r="A3430" s="3">
        <v>41394</v>
      </c>
      <c r="B3430" s="4">
        <v>1101.1600000000001</v>
      </c>
    </row>
    <row r="3431" spans="1:2">
      <c r="A3431" s="3">
        <v>41395</v>
      </c>
      <c r="B3431" s="4">
        <v>1100.5</v>
      </c>
    </row>
    <row r="3432" spans="1:2">
      <c r="A3432" s="3">
        <v>41396</v>
      </c>
      <c r="B3432" s="4">
        <v>1102.08</v>
      </c>
    </row>
    <row r="3433" spans="1:2">
      <c r="A3433" s="3">
        <v>41397</v>
      </c>
      <c r="B3433" s="4">
        <v>1097</v>
      </c>
    </row>
    <row r="3434" spans="1:2">
      <c r="A3434" s="3">
        <v>41400</v>
      </c>
      <c r="B3434" s="4">
        <v>1094.6300000000001</v>
      </c>
    </row>
    <row r="3435" spans="1:2">
      <c r="A3435" s="3">
        <v>41401</v>
      </c>
      <c r="B3435" s="4">
        <v>1090</v>
      </c>
    </row>
    <row r="3436" spans="1:2">
      <c r="A3436" s="3">
        <v>41402</v>
      </c>
      <c r="B3436" s="4">
        <v>1086</v>
      </c>
    </row>
    <row r="3437" spans="1:2">
      <c r="A3437" s="3">
        <v>41403</v>
      </c>
      <c r="B3437" s="4">
        <v>1091.6300000000001</v>
      </c>
    </row>
    <row r="3438" spans="1:2">
      <c r="A3438" s="3">
        <v>41404</v>
      </c>
      <c r="B3438" s="4">
        <v>1106</v>
      </c>
    </row>
    <row r="3439" spans="1:2">
      <c r="A3439" s="3">
        <v>41407</v>
      </c>
      <c r="B3439" s="4">
        <v>1113.1199999999999</v>
      </c>
    </row>
    <row r="3440" spans="1:2">
      <c r="A3440" s="3">
        <v>41408</v>
      </c>
      <c r="B3440" s="4">
        <v>1109.6199999999999</v>
      </c>
    </row>
    <row r="3441" spans="1:2">
      <c r="A3441" s="3">
        <v>41409</v>
      </c>
      <c r="B3441" s="4">
        <v>1114.6199999999999</v>
      </c>
    </row>
    <row r="3442" spans="1:2">
      <c r="A3442" s="3">
        <v>41410</v>
      </c>
      <c r="B3442" s="4">
        <v>1117.54</v>
      </c>
    </row>
    <row r="3443" spans="1:2">
      <c r="A3443" s="3">
        <v>41411</v>
      </c>
      <c r="B3443" s="4">
        <v>1117.32</v>
      </c>
    </row>
    <row r="3444" spans="1:2">
      <c r="A3444" s="3">
        <v>41414</v>
      </c>
      <c r="B3444" s="4">
        <v>1117.69</v>
      </c>
    </row>
    <row r="3445" spans="1:2">
      <c r="A3445" s="3">
        <v>41415</v>
      </c>
      <c r="B3445" s="4">
        <v>1110.5</v>
      </c>
    </row>
    <row r="3446" spans="1:2">
      <c r="A3446" s="3">
        <v>41416</v>
      </c>
      <c r="B3446" s="4">
        <v>1113.8499999999999</v>
      </c>
    </row>
    <row r="3447" spans="1:2">
      <c r="A3447" s="3">
        <v>41417</v>
      </c>
      <c r="B3447" s="4">
        <v>1128.3499999999999</v>
      </c>
    </row>
    <row r="3448" spans="1:2">
      <c r="A3448" s="3">
        <v>41418</v>
      </c>
      <c r="B3448" s="4">
        <v>1127.57</v>
      </c>
    </row>
    <row r="3449" spans="1:2">
      <c r="A3449" s="3">
        <v>41421</v>
      </c>
      <c r="B3449" s="4">
        <v>1122.25</v>
      </c>
    </row>
    <row r="3450" spans="1:2">
      <c r="A3450" s="3">
        <v>41422</v>
      </c>
      <c r="B3450" s="4">
        <v>1128.07</v>
      </c>
    </row>
    <row r="3451" spans="1:2">
      <c r="A3451" s="3">
        <v>41423</v>
      </c>
      <c r="B3451" s="4">
        <v>1132.1300000000001</v>
      </c>
    </row>
    <row r="3452" spans="1:2">
      <c r="A3452" s="3">
        <v>41424</v>
      </c>
      <c r="B3452" s="4">
        <v>1128.58</v>
      </c>
    </row>
    <row r="3453" spans="1:2">
      <c r="A3453" s="3">
        <v>41425</v>
      </c>
      <c r="B3453" s="4">
        <v>1130.51</v>
      </c>
    </row>
    <row r="3454" spans="1:2">
      <c r="A3454" s="3">
        <v>41428</v>
      </c>
      <c r="B3454" s="4">
        <v>1119.3399999999999</v>
      </c>
    </row>
    <row r="3455" spans="1:2">
      <c r="A3455" s="3">
        <v>41429</v>
      </c>
      <c r="B3455" s="4">
        <v>1122.9100000000001</v>
      </c>
    </row>
    <row r="3456" spans="1:2">
      <c r="A3456" s="3">
        <v>41430</v>
      </c>
      <c r="B3456" s="4">
        <v>1118.55</v>
      </c>
    </row>
    <row r="3457" spans="1:2">
      <c r="A3457" s="3">
        <v>41431</v>
      </c>
      <c r="B3457" s="4">
        <v>1118.9000000000001</v>
      </c>
    </row>
    <row r="3458" spans="1:2">
      <c r="A3458" s="3">
        <v>41432</v>
      </c>
      <c r="B3458" s="4">
        <v>1117.17</v>
      </c>
    </row>
    <row r="3459" spans="1:2">
      <c r="A3459" s="3">
        <v>41435</v>
      </c>
      <c r="B3459" s="4">
        <v>1127.19</v>
      </c>
    </row>
    <row r="3460" spans="1:2">
      <c r="A3460" s="3">
        <v>41436</v>
      </c>
      <c r="B3460" s="4">
        <v>1132.56</v>
      </c>
    </row>
    <row r="3461" spans="1:2">
      <c r="A3461" s="3">
        <v>41437</v>
      </c>
      <c r="B3461" s="4">
        <v>1127.81</v>
      </c>
    </row>
    <row r="3462" spans="1:2">
      <c r="A3462" s="3">
        <v>41438</v>
      </c>
      <c r="B3462" s="4">
        <v>1129.3</v>
      </c>
    </row>
    <row r="3463" spans="1:2">
      <c r="A3463" s="3">
        <v>41439</v>
      </c>
      <c r="B3463" s="4">
        <v>1127.2</v>
      </c>
    </row>
    <row r="3464" spans="1:2">
      <c r="A3464" s="3">
        <v>41442</v>
      </c>
      <c r="B3464" s="4">
        <v>1127.32</v>
      </c>
    </row>
    <row r="3465" spans="1:2">
      <c r="A3465" s="3">
        <v>41443</v>
      </c>
      <c r="B3465" s="4">
        <v>1134.24</v>
      </c>
    </row>
    <row r="3466" spans="1:2">
      <c r="A3466" s="3">
        <v>41444</v>
      </c>
      <c r="B3466" s="4">
        <v>1130.2</v>
      </c>
    </row>
    <row r="3467" spans="1:2">
      <c r="A3467" s="3">
        <v>41445</v>
      </c>
      <c r="B3467" s="4">
        <v>1145.9000000000001</v>
      </c>
    </row>
    <row r="3468" spans="1:2">
      <c r="A3468" s="3">
        <v>41446</v>
      </c>
      <c r="B3468" s="4">
        <v>1155.69</v>
      </c>
    </row>
    <row r="3469" spans="1:2">
      <c r="A3469" s="3">
        <v>41449</v>
      </c>
      <c r="B3469" s="4">
        <v>1161.0899999999999</v>
      </c>
    </row>
    <row r="3470" spans="1:2">
      <c r="A3470" s="3">
        <v>41450</v>
      </c>
      <c r="B3470" s="4">
        <v>1152.68</v>
      </c>
    </row>
    <row r="3471" spans="1:2">
      <c r="A3471" s="3">
        <v>41451</v>
      </c>
      <c r="B3471" s="4">
        <v>1155</v>
      </c>
    </row>
    <row r="3472" spans="1:2">
      <c r="A3472" s="3">
        <v>41452</v>
      </c>
      <c r="B3472" s="4">
        <v>1147.69</v>
      </c>
    </row>
    <row r="3473" spans="1:2">
      <c r="A3473" s="3">
        <v>41453</v>
      </c>
      <c r="B3473" s="4">
        <v>1141.45</v>
      </c>
    </row>
    <row r="3474" spans="1:2">
      <c r="A3474" s="3">
        <v>41456</v>
      </c>
      <c r="B3474" s="4">
        <v>1135.17</v>
      </c>
    </row>
    <row r="3475" spans="1:2">
      <c r="A3475" s="3">
        <v>41457</v>
      </c>
      <c r="B3475" s="4">
        <v>1134.55</v>
      </c>
    </row>
    <row r="3476" spans="1:2">
      <c r="A3476" s="3">
        <v>41458</v>
      </c>
      <c r="B3476" s="4">
        <v>1140.95</v>
      </c>
    </row>
    <row r="3477" spans="1:2">
      <c r="A3477" s="3">
        <v>41459</v>
      </c>
      <c r="B3477" s="4">
        <v>1139.3900000000001</v>
      </c>
    </row>
    <row r="3478" spans="1:2">
      <c r="A3478" s="3">
        <v>41460</v>
      </c>
      <c r="B3478" s="4">
        <v>1141.6500000000001</v>
      </c>
    </row>
    <row r="3479" spans="1:2">
      <c r="A3479" s="3">
        <v>41463</v>
      </c>
      <c r="B3479" s="4">
        <v>1147.94</v>
      </c>
    </row>
    <row r="3480" spans="1:2">
      <c r="A3480" s="3">
        <v>41464</v>
      </c>
      <c r="B3480" s="4">
        <v>1141.18</v>
      </c>
    </row>
    <row r="3481" spans="1:2">
      <c r="A3481" s="3">
        <v>41465</v>
      </c>
      <c r="B3481" s="4">
        <v>1134.43</v>
      </c>
    </row>
    <row r="3482" spans="1:2">
      <c r="A3482" s="3">
        <v>41466</v>
      </c>
      <c r="B3482" s="4">
        <v>1124.01</v>
      </c>
    </row>
    <row r="3483" spans="1:2">
      <c r="A3483" s="3">
        <v>41467</v>
      </c>
      <c r="B3483" s="4">
        <v>1123.8499999999999</v>
      </c>
    </row>
    <row r="3484" spans="1:2">
      <c r="A3484" s="3">
        <v>41470</v>
      </c>
      <c r="B3484" s="4">
        <v>1121.54</v>
      </c>
    </row>
    <row r="3485" spans="1:2">
      <c r="A3485" s="3">
        <v>41471</v>
      </c>
      <c r="B3485" s="4">
        <v>1114.46</v>
      </c>
    </row>
    <row r="3486" spans="1:2">
      <c r="A3486" s="3">
        <v>41472</v>
      </c>
      <c r="B3486" s="4">
        <v>1116.8599999999999</v>
      </c>
    </row>
    <row r="3487" spans="1:2">
      <c r="A3487" s="3">
        <v>41473</v>
      </c>
      <c r="B3487" s="4">
        <v>1124.2</v>
      </c>
    </row>
    <row r="3488" spans="1:2">
      <c r="A3488" s="3">
        <v>41474</v>
      </c>
      <c r="B3488" s="4">
        <v>1120.43</v>
      </c>
    </row>
    <row r="3489" spans="1:2">
      <c r="A3489" s="3">
        <v>41477</v>
      </c>
      <c r="B3489" s="4">
        <v>1118.46</v>
      </c>
    </row>
    <row r="3490" spans="1:2">
      <c r="A3490" s="3">
        <v>41478</v>
      </c>
      <c r="B3490" s="4">
        <v>1116.75</v>
      </c>
    </row>
    <row r="3491" spans="1:2">
      <c r="A3491" s="3">
        <v>41479</v>
      </c>
      <c r="B3491" s="4">
        <v>1115.5</v>
      </c>
    </row>
    <row r="3492" spans="1:2">
      <c r="A3492" s="3">
        <v>41480</v>
      </c>
      <c r="B3492" s="4">
        <v>1115.95</v>
      </c>
    </row>
    <row r="3493" spans="1:2">
      <c r="A3493" s="3">
        <v>41481</v>
      </c>
      <c r="B3493" s="4">
        <v>1112.6600000000001</v>
      </c>
    </row>
    <row r="3494" spans="1:2">
      <c r="A3494" s="3">
        <v>41484</v>
      </c>
      <c r="B3494" s="4">
        <v>1112.21</v>
      </c>
    </row>
    <row r="3495" spans="1:2">
      <c r="A3495" s="3">
        <v>41485</v>
      </c>
      <c r="B3495" s="4">
        <v>1115.6600000000001</v>
      </c>
    </row>
    <row r="3496" spans="1:2">
      <c r="A3496" s="3">
        <v>41486</v>
      </c>
      <c r="B3496" s="4">
        <v>1123.25</v>
      </c>
    </row>
    <row r="3497" spans="1:2">
      <c r="A3497" s="3">
        <v>41487</v>
      </c>
      <c r="B3497" s="4">
        <v>1123</v>
      </c>
    </row>
    <row r="3498" spans="1:2">
      <c r="A3498" s="3">
        <v>41488</v>
      </c>
      <c r="B3498" s="4">
        <v>1123.8499999999999</v>
      </c>
    </row>
    <row r="3499" spans="1:2">
      <c r="A3499" s="3">
        <v>41491</v>
      </c>
      <c r="B3499" s="4">
        <v>1113.5</v>
      </c>
    </row>
    <row r="3500" spans="1:2">
      <c r="A3500" s="3">
        <v>41492</v>
      </c>
      <c r="B3500" s="4">
        <v>1113.81</v>
      </c>
    </row>
    <row r="3501" spans="1:2">
      <c r="A3501" s="3">
        <v>41493</v>
      </c>
      <c r="B3501" s="4">
        <v>1114.92</v>
      </c>
    </row>
    <row r="3502" spans="1:2">
      <c r="A3502" s="3">
        <v>41494</v>
      </c>
      <c r="B3502" s="4">
        <v>1112.25</v>
      </c>
    </row>
    <row r="3503" spans="1:2">
      <c r="A3503" s="3">
        <v>41495</v>
      </c>
      <c r="B3503" s="4">
        <v>1111</v>
      </c>
    </row>
    <row r="3504" spans="1:2">
      <c r="A3504" s="3">
        <v>41498</v>
      </c>
      <c r="B3504" s="4">
        <v>1113.77</v>
      </c>
    </row>
    <row r="3505" spans="1:2">
      <c r="A3505" s="3">
        <v>41499</v>
      </c>
      <c r="B3505" s="4">
        <v>1117.8699999999999</v>
      </c>
    </row>
    <row r="3506" spans="1:2">
      <c r="A3506" s="3">
        <v>41500</v>
      </c>
      <c r="B3506" s="4">
        <v>1118</v>
      </c>
    </row>
    <row r="3507" spans="1:2">
      <c r="A3507" s="3">
        <v>41501</v>
      </c>
      <c r="B3507" s="4">
        <v>1118</v>
      </c>
    </row>
    <row r="3508" spans="1:2">
      <c r="A3508" s="3">
        <v>41502</v>
      </c>
      <c r="B3508" s="4">
        <v>1113.04</v>
      </c>
    </row>
    <row r="3509" spans="1:2">
      <c r="A3509" s="3">
        <v>41505</v>
      </c>
      <c r="B3509" s="4">
        <v>1117.8800000000001</v>
      </c>
    </row>
    <row r="3510" spans="1:2">
      <c r="A3510" s="3">
        <v>41506</v>
      </c>
      <c r="B3510" s="4">
        <v>1120.5</v>
      </c>
    </row>
    <row r="3511" spans="1:2">
      <c r="A3511" s="3">
        <v>41507</v>
      </c>
      <c r="B3511" s="4">
        <v>1117.96</v>
      </c>
    </row>
    <row r="3512" spans="1:2">
      <c r="A3512" s="3">
        <v>41508</v>
      </c>
      <c r="B3512" s="4">
        <v>1120.92</v>
      </c>
    </row>
    <row r="3513" spans="1:2">
      <c r="A3513" s="3">
        <v>41509</v>
      </c>
      <c r="B3513" s="4">
        <v>1113.48</v>
      </c>
    </row>
    <row r="3514" spans="1:2">
      <c r="A3514" s="3">
        <v>41512</v>
      </c>
      <c r="B3514" s="4">
        <v>1112.5</v>
      </c>
    </row>
    <row r="3515" spans="1:2">
      <c r="A3515" s="3">
        <v>41513</v>
      </c>
      <c r="B3515" s="4">
        <v>1116.78</v>
      </c>
    </row>
    <row r="3516" spans="1:2">
      <c r="A3516" s="3">
        <v>41514</v>
      </c>
      <c r="B3516" s="4">
        <v>1114.25</v>
      </c>
    </row>
    <row r="3517" spans="1:2">
      <c r="A3517" s="3">
        <v>41515</v>
      </c>
      <c r="B3517" s="4">
        <v>1112.19</v>
      </c>
    </row>
    <row r="3518" spans="1:2">
      <c r="A3518" s="3">
        <v>41516</v>
      </c>
      <c r="B3518" s="4">
        <v>1109.42</v>
      </c>
    </row>
    <row r="3519" spans="1:2">
      <c r="A3519" s="3">
        <v>41519</v>
      </c>
      <c r="B3519" s="4">
        <v>1098.17</v>
      </c>
    </row>
    <row r="3520" spans="1:2">
      <c r="A3520" s="3">
        <v>41520</v>
      </c>
      <c r="B3520" s="4">
        <v>1097.75</v>
      </c>
    </row>
    <row r="3521" spans="1:2">
      <c r="A3521" s="3">
        <v>41521</v>
      </c>
      <c r="B3521" s="4">
        <v>1093.77</v>
      </c>
    </row>
    <row r="3522" spans="1:2">
      <c r="A3522" s="3">
        <v>41522</v>
      </c>
      <c r="B3522" s="4">
        <v>1097.3399999999999</v>
      </c>
    </row>
    <row r="3523" spans="1:2">
      <c r="A3523" s="3">
        <v>41523</v>
      </c>
      <c r="B3523" s="4">
        <v>1091.9000000000001</v>
      </c>
    </row>
    <row r="3524" spans="1:2">
      <c r="A3524" s="3">
        <v>41526</v>
      </c>
      <c r="B3524" s="4">
        <v>1086.8</v>
      </c>
    </row>
    <row r="3525" spans="1:2">
      <c r="A3525" s="3">
        <v>41527</v>
      </c>
      <c r="B3525" s="4">
        <v>1085.42</v>
      </c>
    </row>
    <row r="3526" spans="1:2">
      <c r="A3526" s="3">
        <v>41528</v>
      </c>
      <c r="B3526" s="4">
        <v>1085.76</v>
      </c>
    </row>
    <row r="3527" spans="1:2">
      <c r="A3527" s="3">
        <v>41529</v>
      </c>
      <c r="B3527" s="4">
        <v>1082.77</v>
      </c>
    </row>
    <row r="3528" spans="1:2">
      <c r="A3528" s="3">
        <v>41530</v>
      </c>
      <c r="B3528" s="4">
        <v>1085.8800000000001</v>
      </c>
    </row>
    <row r="3529" spans="1:2">
      <c r="A3529" s="3">
        <v>41533</v>
      </c>
      <c r="B3529" s="4">
        <v>1081.3399999999999</v>
      </c>
    </row>
    <row r="3530" spans="1:2">
      <c r="A3530" s="3">
        <v>41534</v>
      </c>
      <c r="B3530" s="4">
        <v>1082.1500000000001</v>
      </c>
    </row>
    <row r="3531" spans="1:2">
      <c r="A3531" s="3">
        <v>41535</v>
      </c>
      <c r="B3531" s="4">
        <v>1081.4000000000001</v>
      </c>
    </row>
    <row r="3532" spans="1:2">
      <c r="A3532" s="3">
        <v>41536</v>
      </c>
      <c r="B3532" s="4">
        <v>1070.8800000000001</v>
      </c>
    </row>
    <row r="3533" spans="1:2">
      <c r="A3533" s="3">
        <v>41537</v>
      </c>
      <c r="B3533" s="4">
        <v>1076.02</v>
      </c>
    </row>
    <row r="3534" spans="1:2">
      <c r="A3534" s="3">
        <v>41540</v>
      </c>
      <c r="B3534" s="4">
        <v>1073.9000000000001</v>
      </c>
    </row>
    <row r="3535" spans="1:2">
      <c r="A3535" s="3">
        <v>41541</v>
      </c>
      <c r="B3535" s="4">
        <v>1074.3499999999999</v>
      </c>
    </row>
    <row r="3536" spans="1:2">
      <c r="A3536" s="3">
        <v>41542</v>
      </c>
      <c r="B3536" s="4">
        <v>1076.42</v>
      </c>
    </row>
    <row r="3537" spans="1:2">
      <c r="A3537" s="3">
        <v>41543</v>
      </c>
      <c r="B3537" s="4">
        <v>1075.2</v>
      </c>
    </row>
    <row r="3538" spans="1:2">
      <c r="A3538" s="3">
        <v>41544</v>
      </c>
      <c r="B3538" s="4">
        <v>1074.3800000000001</v>
      </c>
    </row>
    <row r="3539" spans="1:2">
      <c r="A3539" s="3">
        <v>41547</v>
      </c>
      <c r="B3539" s="4">
        <v>1073.58</v>
      </c>
    </row>
    <row r="3540" spans="1:2">
      <c r="A3540" s="3">
        <v>41548</v>
      </c>
      <c r="B3540" s="4">
        <v>1073</v>
      </c>
    </row>
    <row r="3541" spans="1:2">
      <c r="A3541" s="3">
        <v>41549</v>
      </c>
      <c r="B3541" s="4">
        <v>1074.02</v>
      </c>
    </row>
    <row r="3542" spans="1:2">
      <c r="A3542" s="3">
        <v>41550</v>
      </c>
      <c r="B3542" s="4">
        <v>1071</v>
      </c>
    </row>
    <row r="3543" spans="1:2">
      <c r="A3543" s="3">
        <v>41551</v>
      </c>
      <c r="B3543" s="4">
        <v>1071</v>
      </c>
    </row>
    <row r="3544" spans="1:2">
      <c r="A3544" s="3">
        <v>41554</v>
      </c>
      <c r="B3544" s="4">
        <v>1071</v>
      </c>
    </row>
    <row r="3545" spans="1:2">
      <c r="A3545" s="3">
        <v>41555</v>
      </c>
      <c r="B3545" s="4">
        <v>1074.1500000000001</v>
      </c>
    </row>
    <row r="3546" spans="1:2">
      <c r="A3546" s="3">
        <v>41556</v>
      </c>
      <c r="B3546" s="4">
        <v>1075.48</v>
      </c>
    </row>
    <row r="3547" spans="1:2">
      <c r="A3547" s="3">
        <v>41557</v>
      </c>
      <c r="B3547" s="4">
        <v>1071.19</v>
      </c>
    </row>
    <row r="3548" spans="1:2">
      <c r="A3548" s="3">
        <v>41558</v>
      </c>
      <c r="B3548" s="4">
        <v>1070.95</v>
      </c>
    </row>
    <row r="3549" spans="1:2">
      <c r="A3549" s="3">
        <v>41561</v>
      </c>
      <c r="B3549" s="4">
        <v>1071.1500000000001</v>
      </c>
    </row>
    <row r="3550" spans="1:2">
      <c r="A3550" s="3">
        <v>41562</v>
      </c>
      <c r="B3550" s="4">
        <v>1064.33</v>
      </c>
    </row>
    <row r="3551" spans="1:2">
      <c r="A3551" s="3">
        <v>41563</v>
      </c>
      <c r="B3551" s="4">
        <v>1066.27</v>
      </c>
    </row>
    <row r="3552" spans="1:2">
      <c r="A3552" s="3">
        <v>41564</v>
      </c>
      <c r="B3552" s="4">
        <v>1062.3800000000001</v>
      </c>
    </row>
    <row r="3553" spans="1:2">
      <c r="A3553" s="3">
        <v>41565</v>
      </c>
      <c r="B3553" s="4">
        <v>1060</v>
      </c>
    </row>
    <row r="3554" spans="1:2">
      <c r="A3554" s="3">
        <v>41568</v>
      </c>
      <c r="B3554" s="4">
        <v>1061.3</v>
      </c>
    </row>
    <row r="3555" spans="1:2">
      <c r="A3555" s="3">
        <v>41569</v>
      </c>
      <c r="B3555" s="4">
        <v>1056.95</v>
      </c>
    </row>
    <row r="3556" spans="1:2">
      <c r="A3556" s="3">
        <v>41570</v>
      </c>
      <c r="B3556" s="4">
        <v>1057.45</v>
      </c>
    </row>
    <row r="3557" spans="1:2">
      <c r="A3557" s="3">
        <v>41571</v>
      </c>
      <c r="B3557" s="4">
        <v>1061.8800000000001</v>
      </c>
    </row>
    <row r="3558" spans="1:2">
      <c r="A3558" s="3">
        <v>41572</v>
      </c>
      <c r="B3558" s="4">
        <v>1062</v>
      </c>
    </row>
    <row r="3559" spans="1:2">
      <c r="A3559" s="3">
        <v>41575</v>
      </c>
      <c r="B3559" s="4">
        <v>1060.8499999999999</v>
      </c>
    </row>
    <row r="3560" spans="1:2">
      <c r="A3560" s="3">
        <v>41576</v>
      </c>
      <c r="B3560" s="4">
        <v>1062.18</v>
      </c>
    </row>
    <row r="3561" spans="1:2">
      <c r="A3561" s="3">
        <v>41577</v>
      </c>
      <c r="B3561" s="4">
        <v>1058.57</v>
      </c>
    </row>
    <row r="3562" spans="1:2">
      <c r="A3562" s="3">
        <v>41578</v>
      </c>
      <c r="B3562" s="4">
        <v>1060.83</v>
      </c>
    </row>
    <row r="3563" spans="1:2">
      <c r="A3563" s="3">
        <v>41579</v>
      </c>
      <c r="B3563" s="4">
        <v>1060.9100000000001</v>
      </c>
    </row>
    <row r="3564" spans="1:2">
      <c r="A3564" s="3">
        <v>41582</v>
      </c>
      <c r="B3564" s="4">
        <v>1062.3800000000001</v>
      </c>
    </row>
    <row r="3565" spans="1:2">
      <c r="A3565" s="3">
        <v>41583</v>
      </c>
      <c r="B3565" s="4">
        <v>1061.03</v>
      </c>
    </row>
    <row r="3566" spans="1:2">
      <c r="A3566" s="3">
        <v>41584</v>
      </c>
      <c r="B3566" s="4">
        <v>1059.77</v>
      </c>
    </row>
    <row r="3567" spans="1:2">
      <c r="A3567" s="3">
        <v>41585</v>
      </c>
      <c r="B3567" s="4">
        <v>1062.47</v>
      </c>
    </row>
    <row r="3568" spans="1:2">
      <c r="A3568" s="3">
        <v>41586</v>
      </c>
      <c r="B3568" s="4">
        <v>1062.1199999999999</v>
      </c>
    </row>
    <row r="3569" spans="1:2">
      <c r="A3569" s="3">
        <v>41589</v>
      </c>
      <c r="B3569" s="4">
        <v>1072</v>
      </c>
    </row>
    <row r="3570" spans="1:2">
      <c r="A3570" s="3">
        <v>41590</v>
      </c>
      <c r="B3570" s="4">
        <v>1072.6500000000001</v>
      </c>
    </row>
    <row r="3571" spans="1:2">
      <c r="A3571" s="3">
        <v>41591</v>
      </c>
      <c r="B3571" s="4">
        <v>1070.56</v>
      </c>
    </row>
    <row r="3572" spans="1:2">
      <c r="A3572" s="3">
        <v>41592</v>
      </c>
      <c r="B3572" s="4">
        <v>1068.21</v>
      </c>
    </row>
    <row r="3573" spans="1:2">
      <c r="A3573" s="3">
        <v>41593</v>
      </c>
      <c r="B3573" s="4">
        <v>1062.3499999999999</v>
      </c>
    </row>
    <row r="3574" spans="1:2">
      <c r="A3574" s="3">
        <v>41596</v>
      </c>
      <c r="B3574" s="4">
        <v>1054.8399999999999</v>
      </c>
    </row>
    <row r="3575" spans="1:2">
      <c r="A3575" s="3">
        <v>41597</v>
      </c>
      <c r="B3575" s="4">
        <v>1054.8599999999999</v>
      </c>
    </row>
    <row r="3576" spans="1:2">
      <c r="A3576" s="3">
        <v>41598</v>
      </c>
      <c r="B3576" s="4">
        <v>1056.28</v>
      </c>
    </row>
    <row r="3577" spans="1:2">
      <c r="A3577" s="3">
        <v>41599</v>
      </c>
      <c r="B3577" s="4">
        <v>1061.5</v>
      </c>
    </row>
    <row r="3578" spans="1:2">
      <c r="A3578" s="3">
        <v>41600</v>
      </c>
      <c r="B3578" s="4">
        <v>1060.99</v>
      </c>
    </row>
    <row r="3579" spans="1:2">
      <c r="A3579" s="3">
        <v>41603</v>
      </c>
      <c r="B3579" s="4">
        <v>1059.3499999999999</v>
      </c>
    </row>
    <row r="3580" spans="1:2">
      <c r="A3580" s="3">
        <v>41604</v>
      </c>
      <c r="B3580" s="4">
        <v>1060.07</v>
      </c>
    </row>
    <row r="3581" spans="1:2">
      <c r="A3581" s="3">
        <v>41605</v>
      </c>
      <c r="B3581" s="4">
        <v>1060.9000000000001</v>
      </c>
    </row>
    <row r="3582" spans="1:2">
      <c r="A3582" s="3">
        <v>41606</v>
      </c>
      <c r="B3582" s="4">
        <v>1060.95</v>
      </c>
    </row>
    <row r="3583" spans="1:2">
      <c r="A3583" s="3">
        <v>41607</v>
      </c>
      <c r="B3583" s="4">
        <v>1057.76</v>
      </c>
    </row>
    <row r="3584" spans="1:2">
      <c r="A3584" s="3">
        <v>41610</v>
      </c>
      <c r="B3584" s="4">
        <v>1058</v>
      </c>
    </row>
    <row r="3585" spans="1:2">
      <c r="A3585" s="3">
        <v>41611</v>
      </c>
      <c r="B3585" s="4">
        <v>1060.3499999999999</v>
      </c>
    </row>
    <row r="3586" spans="1:2">
      <c r="A3586" s="3">
        <v>41612</v>
      </c>
      <c r="B3586" s="4">
        <v>1060.75</v>
      </c>
    </row>
    <row r="3587" spans="1:2">
      <c r="A3587" s="3">
        <v>41613</v>
      </c>
      <c r="B3587" s="4">
        <v>1058.27</v>
      </c>
    </row>
    <row r="3588" spans="1:2">
      <c r="A3588" s="3">
        <v>41614</v>
      </c>
      <c r="B3588" s="4">
        <v>1056</v>
      </c>
    </row>
    <row r="3589" spans="1:2">
      <c r="A3589" s="3">
        <v>41617</v>
      </c>
      <c r="B3589" s="4">
        <v>1052.7</v>
      </c>
    </row>
    <row r="3590" spans="1:2">
      <c r="A3590" s="3">
        <v>41618</v>
      </c>
      <c r="B3590" s="4">
        <v>1051</v>
      </c>
    </row>
    <row r="3591" spans="1:2">
      <c r="A3591" s="3">
        <v>41619</v>
      </c>
      <c r="B3591" s="4">
        <v>1051.5</v>
      </c>
    </row>
    <row r="3592" spans="1:2">
      <c r="A3592" s="3">
        <v>41620</v>
      </c>
      <c r="B3592" s="4">
        <v>1050.75</v>
      </c>
    </row>
    <row r="3593" spans="1:2">
      <c r="A3593" s="3">
        <v>41621</v>
      </c>
      <c r="B3593" s="4">
        <v>1052.9000000000001</v>
      </c>
    </row>
    <row r="3594" spans="1:2">
      <c r="A3594" s="3">
        <v>41624</v>
      </c>
      <c r="B3594" s="4">
        <v>1052</v>
      </c>
    </row>
    <row r="3595" spans="1:2">
      <c r="A3595" s="3">
        <v>41625</v>
      </c>
      <c r="B3595" s="4">
        <v>1050.6500000000001</v>
      </c>
    </row>
    <row r="3596" spans="1:2">
      <c r="A3596" s="3">
        <v>41626</v>
      </c>
      <c r="B3596" s="4">
        <v>1051.75</v>
      </c>
    </row>
    <row r="3597" spans="1:2">
      <c r="A3597" s="3">
        <v>41627</v>
      </c>
      <c r="B3597" s="4">
        <v>1059.28</v>
      </c>
    </row>
    <row r="3598" spans="1:2">
      <c r="A3598" s="3">
        <v>41628</v>
      </c>
      <c r="B3598" s="4">
        <v>1061.3499999999999</v>
      </c>
    </row>
    <row r="3599" spans="1:2">
      <c r="A3599" s="3">
        <v>41631</v>
      </c>
      <c r="B3599" s="4">
        <v>1060</v>
      </c>
    </row>
    <row r="3600" spans="1:2">
      <c r="A3600" s="3">
        <v>41632</v>
      </c>
      <c r="B3600" s="4">
        <v>1059.25</v>
      </c>
    </row>
    <row r="3601" spans="1:2">
      <c r="A3601" s="3">
        <v>41633</v>
      </c>
      <c r="B3601" s="4">
        <v>1059.25</v>
      </c>
    </row>
    <row r="3602" spans="1:2">
      <c r="A3602" s="3">
        <v>41634</v>
      </c>
      <c r="B3602" s="4">
        <v>1059.0999999999999</v>
      </c>
    </row>
    <row r="3603" spans="1:2">
      <c r="A3603" s="3">
        <v>41635</v>
      </c>
      <c r="B3603" s="4">
        <v>1053.72</v>
      </c>
    </row>
    <row r="3604" spans="1:2">
      <c r="A3604" s="3">
        <v>41638</v>
      </c>
      <c r="B3604" s="4">
        <v>1055.25</v>
      </c>
    </row>
    <row r="3605" spans="1:2">
      <c r="A3605" s="3">
        <v>41639</v>
      </c>
      <c r="B3605" s="4">
        <v>1049.5</v>
      </c>
    </row>
    <row r="3606" spans="1:2">
      <c r="A3606" s="3">
        <v>41640</v>
      </c>
      <c r="B3606" s="4">
        <v>1049.5</v>
      </c>
    </row>
    <row r="3607" spans="1:2">
      <c r="A3607" s="3">
        <v>41641</v>
      </c>
      <c r="B3607" s="4">
        <v>1050.3</v>
      </c>
    </row>
    <row r="3608" spans="1:2">
      <c r="A3608" s="3">
        <v>41642</v>
      </c>
      <c r="B3608" s="4">
        <v>1055</v>
      </c>
    </row>
    <row r="3609" spans="1:2">
      <c r="A3609" s="3">
        <v>41645</v>
      </c>
      <c r="B3609" s="4">
        <v>1065.01</v>
      </c>
    </row>
    <row r="3610" spans="1:2">
      <c r="A3610" s="3">
        <v>41646</v>
      </c>
      <c r="B3610" s="4">
        <v>1068.5</v>
      </c>
    </row>
    <row r="3611" spans="1:2">
      <c r="A3611" s="3">
        <v>41647</v>
      </c>
      <c r="B3611" s="4">
        <v>1065.45</v>
      </c>
    </row>
    <row r="3612" spans="1:2">
      <c r="A3612" s="3">
        <v>41648</v>
      </c>
      <c r="B3612" s="4">
        <v>1062.5</v>
      </c>
    </row>
    <row r="3613" spans="1:2">
      <c r="A3613" s="3">
        <v>41649</v>
      </c>
      <c r="B3613" s="4">
        <v>1061.32</v>
      </c>
    </row>
    <row r="3614" spans="1:2">
      <c r="A3614" s="3">
        <v>41652</v>
      </c>
      <c r="B3614" s="4">
        <v>1056.5</v>
      </c>
    </row>
    <row r="3615" spans="1:2">
      <c r="A3615" s="3">
        <v>41653</v>
      </c>
      <c r="B3615" s="4">
        <v>1058.9000000000001</v>
      </c>
    </row>
    <row r="3616" spans="1:2">
      <c r="A3616" s="3">
        <v>41654</v>
      </c>
      <c r="B3616" s="4">
        <v>1062.5999999999999</v>
      </c>
    </row>
    <row r="3617" spans="1:2">
      <c r="A3617" s="3">
        <v>41655</v>
      </c>
      <c r="B3617" s="4">
        <v>1063</v>
      </c>
    </row>
    <row r="3618" spans="1:2">
      <c r="A3618" s="3">
        <v>41656</v>
      </c>
      <c r="B3618" s="4">
        <v>1060.8</v>
      </c>
    </row>
    <row r="3619" spans="1:2">
      <c r="A3619" s="3">
        <v>41659</v>
      </c>
      <c r="B3619" s="4">
        <v>1063.52</v>
      </c>
    </row>
    <row r="3620" spans="1:2">
      <c r="A3620" s="3">
        <v>41660</v>
      </c>
      <c r="B3620" s="4">
        <v>1065.05</v>
      </c>
    </row>
    <row r="3621" spans="1:2">
      <c r="A3621" s="3">
        <v>41661</v>
      </c>
      <c r="B3621" s="4">
        <v>1067.3</v>
      </c>
    </row>
    <row r="3622" spans="1:2">
      <c r="A3622" s="3">
        <v>41662</v>
      </c>
      <c r="B3622" s="4">
        <v>1073.0999999999999</v>
      </c>
    </row>
    <row r="3623" spans="1:2">
      <c r="A3623" s="3">
        <v>41663</v>
      </c>
      <c r="B3623" s="4">
        <v>1080.0999999999999</v>
      </c>
    </row>
    <row r="3624" spans="1:2">
      <c r="A3624" s="3">
        <v>41666</v>
      </c>
      <c r="B3624" s="4">
        <v>1083.7</v>
      </c>
    </row>
    <row r="3625" spans="1:2">
      <c r="A3625" s="3">
        <v>41667</v>
      </c>
      <c r="B3625" s="4">
        <v>1079.1400000000001</v>
      </c>
    </row>
    <row r="3626" spans="1:2">
      <c r="A3626" s="3">
        <v>41668</v>
      </c>
      <c r="B3626" s="4">
        <v>1069.8</v>
      </c>
    </row>
    <row r="3627" spans="1:2">
      <c r="A3627" s="3">
        <v>41669</v>
      </c>
      <c r="B3627" s="4">
        <v>1080</v>
      </c>
    </row>
    <row r="3628" spans="1:2">
      <c r="A3628" s="3">
        <v>41670</v>
      </c>
      <c r="B3628" s="4">
        <v>1080.3599999999999</v>
      </c>
    </row>
    <row r="3629" spans="1:2">
      <c r="A3629" s="3">
        <v>41673</v>
      </c>
      <c r="B3629" s="4">
        <v>1084.25</v>
      </c>
    </row>
    <row r="3630" spans="1:2">
      <c r="A3630" s="3">
        <v>41674</v>
      </c>
      <c r="B3630" s="4">
        <v>1083.5</v>
      </c>
    </row>
    <row r="3631" spans="1:2">
      <c r="A3631" s="3">
        <v>41675</v>
      </c>
      <c r="B3631" s="4">
        <v>1077.5</v>
      </c>
    </row>
    <row r="3632" spans="1:2">
      <c r="A3632" s="3">
        <v>41676</v>
      </c>
      <c r="B3632" s="4">
        <v>1078.8</v>
      </c>
    </row>
    <row r="3633" spans="1:2">
      <c r="A3633" s="3">
        <v>41677</v>
      </c>
      <c r="B3633" s="4">
        <v>1074</v>
      </c>
    </row>
    <row r="3634" spans="1:2">
      <c r="A3634" s="3">
        <v>41680</v>
      </c>
      <c r="B3634" s="4">
        <v>1072.3</v>
      </c>
    </row>
    <row r="3635" spans="1:2">
      <c r="A3635" s="3">
        <v>41681</v>
      </c>
      <c r="B3635" s="4">
        <v>1070.8</v>
      </c>
    </row>
    <row r="3636" spans="1:2">
      <c r="A3636" s="3">
        <v>41682</v>
      </c>
      <c r="B3636" s="4">
        <v>1062.1400000000001</v>
      </c>
    </row>
    <row r="3637" spans="1:2">
      <c r="A3637" s="3">
        <v>41683</v>
      </c>
      <c r="B3637" s="4">
        <v>1065.75</v>
      </c>
    </row>
    <row r="3638" spans="1:2">
      <c r="A3638" s="3">
        <v>41684</v>
      </c>
      <c r="B3638" s="4">
        <v>1063</v>
      </c>
    </row>
    <row r="3639" spans="1:2">
      <c r="A3639" s="3">
        <v>41687</v>
      </c>
      <c r="B3639" s="4">
        <v>1060.2</v>
      </c>
    </row>
    <row r="3640" spans="1:2">
      <c r="A3640" s="3">
        <v>41688</v>
      </c>
      <c r="B3640" s="4">
        <v>1065</v>
      </c>
    </row>
    <row r="3641" spans="1:2">
      <c r="A3641" s="3">
        <v>41689</v>
      </c>
      <c r="B3641" s="4">
        <v>1065.25</v>
      </c>
    </row>
    <row r="3642" spans="1:2">
      <c r="A3642" s="3">
        <v>41690</v>
      </c>
      <c r="B3642" s="4">
        <v>1072</v>
      </c>
    </row>
    <row r="3643" spans="1:2">
      <c r="A3643" s="3">
        <v>41691</v>
      </c>
      <c r="B3643" s="4">
        <v>1072</v>
      </c>
    </row>
    <row r="3644" spans="1:2">
      <c r="A3644" s="3">
        <v>41694</v>
      </c>
      <c r="B3644" s="4">
        <v>1074</v>
      </c>
    </row>
    <row r="3645" spans="1:2">
      <c r="A3645" s="3">
        <v>41695</v>
      </c>
      <c r="B3645" s="4">
        <v>1073</v>
      </c>
    </row>
    <row r="3646" spans="1:2">
      <c r="A3646" s="3">
        <v>41696</v>
      </c>
      <c r="B3646" s="4">
        <v>1065.72</v>
      </c>
    </row>
    <row r="3647" spans="1:2">
      <c r="A3647" s="3">
        <v>41697</v>
      </c>
      <c r="B3647" s="4">
        <v>1068.8499999999999</v>
      </c>
    </row>
    <row r="3648" spans="1:2">
      <c r="A3648" s="3">
        <v>41698</v>
      </c>
      <c r="B3648" s="4">
        <v>1066.01</v>
      </c>
    </row>
    <row r="3649" spans="1:2">
      <c r="A3649" s="3">
        <v>41701</v>
      </c>
      <c r="B3649" s="4">
        <v>1069.9000000000001</v>
      </c>
    </row>
    <row r="3650" spans="1:2">
      <c r="A3650" s="3">
        <v>41702</v>
      </c>
      <c r="B3650" s="4">
        <v>1071.2</v>
      </c>
    </row>
    <row r="3651" spans="1:2">
      <c r="A3651" s="3">
        <v>41703</v>
      </c>
      <c r="B3651" s="4">
        <v>1070.8499999999999</v>
      </c>
    </row>
    <row r="3652" spans="1:2">
      <c r="A3652" s="3">
        <v>41704</v>
      </c>
      <c r="B3652" s="4">
        <v>1064.0999999999999</v>
      </c>
    </row>
    <row r="3653" spans="1:2">
      <c r="A3653" s="3">
        <v>41705</v>
      </c>
      <c r="B3653" s="4">
        <v>1064.2</v>
      </c>
    </row>
    <row r="3654" spans="1:2">
      <c r="A3654" s="3">
        <v>41708</v>
      </c>
      <c r="B3654" s="4">
        <v>1066.5999999999999</v>
      </c>
    </row>
    <row r="3655" spans="1:2">
      <c r="A3655" s="3">
        <v>41709</v>
      </c>
      <c r="B3655" s="4">
        <v>1065.1300000000001</v>
      </c>
    </row>
    <row r="3656" spans="1:2">
      <c r="A3656" s="3">
        <v>41710</v>
      </c>
      <c r="B3656" s="4">
        <v>1070.2</v>
      </c>
    </row>
    <row r="3657" spans="1:2">
      <c r="A3657" s="3">
        <v>41711</v>
      </c>
      <c r="B3657" s="4">
        <v>1069</v>
      </c>
    </row>
    <row r="3658" spans="1:2">
      <c r="A3658" s="3">
        <v>41712</v>
      </c>
      <c r="B3658" s="4">
        <v>1070.83</v>
      </c>
    </row>
    <row r="3659" spans="1:2">
      <c r="A3659" s="3">
        <v>41715</v>
      </c>
      <c r="B3659" s="4">
        <v>1067</v>
      </c>
    </row>
    <row r="3660" spans="1:2">
      <c r="A3660" s="3">
        <v>41716</v>
      </c>
      <c r="B3660" s="4">
        <v>1069</v>
      </c>
    </row>
    <row r="3661" spans="1:2">
      <c r="A3661" s="3">
        <v>41717</v>
      </c>
      <c r="B3661" s="4">
        <v>1070.28</v>
      </c>
    </row>
    <row r="3662" spans="1:2">
      <c r="A3662" s="3">
        <v>41718</v>
      </c>
      <c r="B3662" s="4">
        <v>1076.28</v>
      </c>
    </row>
    <row r="3663" spans="1:2">
      <c r="A3663" s="3">
        <v>41719</v>
      </c>
      <c r="B3663" s="4">
        <v>1079.5999999999999</v>
      </c>
    </row>
    <row r="3664" spans="1:2">
      <c r="A3664" s="3">
        <v>41722</v>
      </c>
      <c r="B3664" s="4">
        <v>1077.7</v>
      </c>
    </row>
    <row r="3665" spans="1:2">
      <c r="A3665" s="3">
        <v>41723</v>
      </c>
      <c r="B3665" s="4">
        <v>1079</v>
      </c>
    </row>
    <row r="3666" spans="1:2">
      <c r="A3666" s="3">
        <v>41724</v>
      </c>
      <c r="B3666" s="4">
        <v>1074.5999999999999</v>
      </c>
    </row>
    <row r="3667" spans="1:2">
      <c r="A3667" s="3">
        <v>41725</v>
      </c>
      <c r="B3667" s="4">
        <v>1071.6500000000001</v>
      </c>
    </row>
    <row r="3668" spans="1:2">
      <c r="A3668" s="3">
        <v>41726</v>
      </c>
      <c r="B3668" s="4">
        <v>1069</v>
      </c>
    </row>
    <row r="3669" spans="1:2">
      <c r="A3669" s="3">
        <v>41729</v>
      </c>
      <c r="B3669" s="4">
        <v>1064.6500000000001</v>
      </c>
    </row>
    <row r="3670" spans="1:2">
      <c r="A3670" s="3">
        <v>41730</v>
      </c>
      <c r="B3670" s="4">
        <v>1058</v>
      </c>
    </row>
    <row r="3671" spans="1:2">
      <c r="A3671" s="3">
        <v>41731</v>
      </c>
      <c r="B3671" s="4">
        <v>1057.2</v>
      </c>
    </row>
    <row r="3672" spans="1:2">
      <c r="A3672" s="3">
        <v>41732</v>
      </c>
      <c r="B3672" s="4">
        <v>1057.5</v>
      </c>
    </row>
    <row r="3673" spans="1:2">
      <c r="A3673" s="3">
        <v>41733</v>
      </c>
      <c r="B3673" s="4">
        <v>1053.8499999999999</v>
      </c>
    </row>
    <row r="3674" spans="1:2">
      <c r="A3674" s="3">
        <v>41736</v>
      </c>
      <c r="B3674" s="4">
        <v>1055.17</v>
      </c>
    </row>
    <row r="3675" spans="1:2">
      <c r="A3675" s="3">
        <v>41737</v>
      </c>
      <c r="B3675" s="4">
        <v>1052.0999999999999</v>
      </c>
    </row>
    <row r="3676" spans="1:2">
      <c r="A3676" s="3">
        <v>41738</v>
      </c>
      <c r="B3676" s="4">
        <v>1041.25</v>
      </c>
    </row>
    <row r="3677" spans="1:2">
      <c r="A3677" s="3">
        <v>41739</v>
      </c>
      <c r="B3677" s="4">
        <v>1039.9000000000001</v>
      </c>
    </row>
    <row r="3678" spans="1:2">
      <c r="A3678" s="3">
        <v>41740</v>
      </c>
      <c r="B3678" s="4">
        <v>1035.4000000000001</v>
      </c>
    </row>
    <row r="3679" spans="1:2">
      <c r="A3679" s="3">
        <v>41743</v>
      </c>
      <c r="B3679" s="4">
        <v>1039.29</v>
      </c>
    </row>
    <row r="3680" spans="1:2">
      <c r="A3680" s="3">
        <v>41744</v>
      </c>
      <c r="B3680" s="4">
        <v>1040.4000000000001</v>
      </c>
    </row>
    <row r="3681" spans="1:2">
      <c r="A3681" s="3">
        <v>41745</v>
      </c>
      <c r="B3681" s="4">
        <v>1038.2</v>
      </c>
    </row>
    <row r="3682" spans="1:2">
      <c r="A3682" s="3">
        <v>41746</v>
      </c>
      <c r="B3682" s="4">
        <v>1038</v>
      </c>
    </row>
    <row r="3683" spans="1:2">
      <c r="A3683" s="3">
        <v>41747</v>
      </c>
      <c r="B3683" s="4">
        <v>1037.3499999999999</v>
      </c>
    </row>
    <row r="3684" spans="1:2">
      <c r="A3684" s="3">
        <v>41750</v>
      </c>
      <c r="B3684" s="4">
        <v>1038.56</v>
      </c>
    </row>
    <row r="3685" spans="1:2">
      <c r="A3685" s="3">
        <v>41751</v>
      </c>
      <c r="B3685" s="4">
        <v>1037.45</v>
      </c>
    </row>
    <row r="3686" spans="1:2">
      <c r="A3686" s="3">
        <v>41752</v>
      </c>
      <c r="B3686" s="4">
        <v>1039.3499999999999</v>
      </c>
    </row>
    <row r="3687" spans="1:2">
      <c r="A3687" s="3">
        <v>41753</v>
      </c>
      <c r="B3687" s="4">
        <v>1039.5</v>
      </c>
    </row>
    <row r="3688" spans="1:2">
      <c r="A3688" s="3">
        <v>41754</v>
      </c>
      <c r="B3688" s="4">
        <v>1040.95</v>
      </c>
    </row>
    <row r="3689" spans="1:2">
      <c r="A3689" s="3">
        <v>41757</v>
      </c>
      <c r="B3689" s="4">
        <v>1034.9000000000001</v>
      </c>
    </row>
    <row r="3690" spans="1:2">
      <c r="A3690" s="3">
        <v>41758</v>
      </c>
      <c r="B3690" s="4">
        <v>1029.83</v>
      </c>
    </row>
    <row r="3691" spans="1:2">
      <c r="A3691" s="3">
        <v>41759</v>
      </c>
      <c r="B3691" s="4">
        <v>1032.75</v>
      </c>
    </row>
    <row r="3692" spans="1:2">
      <c r="A3692" s="3">
        <v>41760</v>
      </c>
      <c r="B3692" s="4">
        <v>1032.75</v>
      </c>
    </row>
    <row r="3693" spans="1:2">
      <c r="A3693" s="3">
        <v>41761</v>
      </c>
      <c r="B3693" s="4">
        <v>1029.5</v>
      </c>
    </row>
    <row r="3694" spans="1:2">
      <c r="A3694" s="3">
        <v>41764</v>
      </c>
      <c r="B3694" s="4">
        <v>1029.5</v>
      </c>
    </row>
    <row r="3695" spans="1:2">
      <c r="A3695" s="3">
        <v>41765</v>
      </c>
      <c r="B3695" s="4">
        <v>1029.5</v>
      </c>
    </row>
    <row r="3696" spans="1:2">
      <c r="A3696" s="3">
        <v>41766</v>
      </c>
      <c r="B3696" s="4">
        <v>1022.4</v>
      </c>
    </row>
    <row r="3697" spans="1:2">
      <c r="A3697" s="3">
        <v>41767</v>
      </c>
      <c r="B3697" s="4">
        <v>1022.3</v>
      </c>
    </row>
    <row r="3698" spans="1:2">
      <c r="A3698" s="3">
        <v>41768</v>
      </c>
      <c r="B3698" s="4">
        <v>1023.95</v>
      </c>
    </row>
    <row r="3699" spans="1:2">
      <c r="A3699" s="3">
        <v>41771</v>
      </c>
      <c r="B3699" s="4">
        <v>1024.18</v>
      </c>
    </row>
    <row r="3700" spans="1:2">
      <c r="A3700" s="3">
        <v>41772</v>
      </c>
      <c r="B3700" s="4">
        <v>1022.1</v>
      </c>
    </row>
    <row r="3701" spans="1:2">
      <c r="A3701" s="3">
        <v>41773</v>
      </c>
      <c r="B3701" s="4">
        <v>1027.5</v>
      </c>
    </row>
    <row r="3702" spans="1:2">
      <c r="A3702" s="3">
        <v>41774</v>
      </c>
      <c r="B3702" s="4">
        <v>1024.8</v>
      </c>
    </row>
    <row r="3703" spans="1:2">
      <c r="A3703" s="3">
        <v>41775</v>
      </c>
      <c r="B3703" s="4">
        <v>1023.42</v>
      </c>
    </row>
    <row r="3704" spans="1:2">
      <c r="A3704" s="3">
        <v>41778</v>
      </c>
      <c r="B3704" s="4">
        <v>1021.5</v>
      </c>
    </row>
    <row r="3705" spans="1:2">
      <c r="A3705" s="3">
        <v>41779</v>
      </c>
      <c r="B3705" s="4">
        <v>1025</v>
      </c>
    </row>
    <row r="3706" spans="1:2">
      <c r="A3706" s="3">
        <v>41780</v>
      </c>
      <c r="B3706" s="4">
        <v>1026.7</v>
      </c>
    </row>
    <row r="3707" spans="1:2">
      <c r="A3707" s="3">
        <v>41781</v>
      </c>
      <c r="B3707" s="4">
        <v>1024</v>
      </c>
    </row>
    <row r="3708" spans="1:2">
      <c r="A3708" s="3">
        <v>41782</v>
      </c>
      <c r="B3708" s="4">
        <v>1024.45</v>
      </c>
    </row>
    <row r="3709" spans="1:2">
      <c r="A3709" s="3">
        <v>41785</v>
      </c>
      <c r="B3709" s="4">
        <v>1023.65</v>
      </c>
    </row>
    <row r="3710" spans="1:2">
      <c r="A3710" s="3">
        <v>41786</v>
      </c>
      <c r="B3710" s="4">
        <v>1023</v>
      </c>
    </row>
    <row r="3711" spans="1:2">
      <c r="A3711" s="3">
        <v>41787</v>
      </c>
      <c r="B3711" s="4">
        <v>1021.6</v>
      </c>
    </row>
    <row r="3712" spans="1:2">
      <c r="A3712" s="3">
        <v>41788</v>
      </c>
      <c r="B3712" s="4">
        <v>1020.5</v>
      </c>
    </row>
    <row r="3713" spans="1:2">
      <c r="A3713" s="3">
        <v>41789</v>
      </c>
      <c r="B3713" s="4">
        <v>1020.3</v>
      </c>
    </row>
    <row r="3714" spans="1:2">
      <c r="A3714" s="3">
        <v>41792</v>
      </c>
      <c r="B3714" s="4">
        <v>1024</v>
      </c>
    </row>
    <row r="3715" spans="1:2">
      <c r="A3715" s="3">
        <v>41793</v>
      </c>
      <c r="B3715" s="4">
        <v>1023</v>
      </c>
    </row>
    <row r="3716" spans="1:2">
      <c r="A3716" s="3">
        <v>41794</v>
      </c>
      <c r="B3716" s="4">
        <v>1023</v>
      </c>
    </row>
    <row r="3717" spans="1:2">
      <c r="A3717" s="3">
        <v>41795</v>
      </c>
      <c r="B3717" s="4">
        <v>1020</v>
      </c>
    </row>
    <row r="3718" spans="1:2">
      <c r="A3718" s="3">
        <v>41796</v>
      </c>
      <c r="B3718" s="4">
        <v>1019.7</v>
      </c>
    </row>
    <row r="3719" spans="1:2">
      <c r="A3719" s="3">
        <v>41799</v>
      </c>
      <c r="B3719" s="4">
        <v>1016.35</v>
      </c>
    </row>
    <row r="3720" spans="1:2">
      <c r="A3720" s="3">
        <v>41800</v>
      </c>
      <c r="B3720" s="4">
        <v>1016.95</v>
      </c>
    </row>
    <row r="3721" spans="1:2">
      <c r="A3721" s="3">
        <v>41801</v>
      </c>
      <c r="B3721" s="4">
        <v>1015.6</v>
      </c>
    </row>
    <row r="3722" spans="1:2">
      <c r="A3722" s="3">
        <v>41802</v>
      </c>
      <c r="B3722" s="4">
        <v>1017.6</v>
      </c>
    </row>
    <row r="3723" spans="1:2">
      <c r="A3723" s="3">
        <v>41803</v>
      </c>
      <c r="B3723" s="4">
        <v>1017.8</v>
      </c>
    </row>
    <row r="3724" spans="1:2">
      <c r="A3724" s="3">
        <v>41806</v>
      </c>
      <c r="B3724" s="4">
        <v>1020</v>
      </c>
    </row>
    <row r="3725" spans="1:2">
      <c r="A3725" s="3">
        <v>41807</v>
      </c>
      <c r="B3725" s="4">
        <v>1021.75</v>
      </c>
    </row>
    <row r="3726" spans="1:2">
      <c r="A3726" s="3">
        <v>41808</v>
      </c>
      <c r="B3726" s="4">
        <v>1022.25</v>
      </c>
    </row>
    <row r="3727" spans="1:2">
      <c r="A3727" s="3">
        <v>41809</v>
      </c>
      <c r="B3727" s="4">
        <v>1018.52</v>
      </c>
    </row>
    <row r="3728" spans="1:2">
      <c r="A3728" s="3">
        <v>41810</v>
      </c>
      <c r="B3728" s="4">
        <v>1020.81</v>
      </c>
    </row>
    <row r="3729" spans="1:2">
      <c r="A3729" s="3">
        <v>41813</v>
      </c>
      <c r="B3729" s="4">
        <v>1018</v>
      </c>
    </row>
    <row r="3730" spans="1:2">
      <c r="A3730" s="3">
        <v>41814</v>
      </c>
      <c r="B3730" s="4">
        <v>1018</v>
      </c>
    </row>
    <row r="3731" spans="1:2">
      <c r="A3731" s="3">
        <v>41815</v>
      </c>
      <c r="B3731" s="4">
        <v>1019.55</v>
      </c>
    </row>
    <row r="3732" spans="1:2">
      <c r="A3732" s="3">
        <v>41816</v>
      </c>
      <c r="B3732" s="4">
        <v>1016.3</v>
      </c>
    </row>
    <row r="3733" spans="1:2">
      <c r="A3733" s="3">
        <v>41817</v>
      </c>
      <c r="B3733" s="4">
        <v>1013.25</v>
      </c>
    </row>
    <row r="3734" spans="1:2">
      <c r="A3734" s="3">
        <v>41820</v>
      </c>
      <c r="B3734" s="4">
        <v>1011.5</v>
      </c>
    </row>
    <row r="3735" spans="1:2">
      <c r="A3735" s="3">
        <v>41821</v>
      </c>
      <c r="B3735" s="4">
        <v>1010.25</v>
      </c>
    </row>
    <row r="3736" spans="1:2">
      <c r="A3736" s="3">
        <v>41822</v>
      </c>
      <c r="B3736" s="4">
        <v>1009.1</v>
      </c>
    </row>
    <row r="3737" spans="1:2">
      <c r="A3737" s="3">
        <v>41823</v>
      </c>
      <c r="B3737" s="4">
        <v>1008.85</v>
      </c>
    </row>
    <row r="3738" spans="1:2">
      <c r="A3738" s="3">
        <v>41824</v>
      </c>
      <c r="B3738" s="4">
        <v>1008.8</v>
      </c>
    </row>
    <row r="3739" spans="1:2">
      <c r="A3739" s="3">
        <v>41827</v>
      </c>
      <c r="B3739" s="4">
        <v>1011</v>
      </c>
    </row>
    <row r="3740" spans="1:2">
      <c r="A3740" s="3">
        <v>41828</v>
      </c>
      <c r="B3740" s="4">
        <v>1011.3</v>
      </c>
    </row>
    <row r="3741" spans="1:2">
      <c r="A3741" s="3">
        <v>41829</v>
      </c>
      <c r="B3741" s="4">
        <v>1011.9</v>
      </c>
    </row>
    <row r="3742" spans="1:2">
      <c r="A3742" s="3">
        <v>41830</v>
      </c>
      <c r="B3742" s="4">
        <v>1013</v>
      </c>
    </row>
    <row r="3743" spans="1:2">
      <c r="A3743" s="3">
        <v>41831</v>
      </c>
      <c r="B3743" s="4">
        <v>1018.6</v>
      </c>
    </row>
    <row r="3744" spans="1:2">
      <c r="A3744" s="3">
        <v>41834</v>
      </c>
      <c r="B3744" s="4">
        <v>1018.95</v>
      </c>
    </row>
    <row r="3745" spans="1:2">
      <c r="A3745" s="3">
        <v>41835</v>
      </c>
      <c r="B3745" s="4">
        <v>1026.75</v>
      </c>
    </row>
    <row r="3746" spans="1:2">
      <c r="A3746" s="3">
        <v>41836</v>
      </c>
      <c r="B3746" s="4">
        <v>1031.9000000000001</v>
      </c>
    </row>
    <row r="3747" spans="1:2">
      <c r="A3747" s="3">
        <v>41837</v>
      </c>
      <c r="B3747" s="4">
        <v>1028.95</v>
      </c>
    </row>
    <row r="3748" spans="1:2">
      <c r="A3748" s="3">
        <v>41838</v>
      </c>
      <c r="B3748" s="4">
        <v>1029.0999999999999</v>
      </c>
    </row>
    <row r="3749" spans="1:2">
      <c r="A3749" s="3">
        <v>41841</v>
      </c>
      <c r="B3749" s="4">
        <v>1026.6500000000001</v>
      </c>
    </row>
    <row r="3750" spans="1:2">
      <c r="A3750" s="3">
        <v>41842</v>
      </c>
      <c r="B3750" s="4">
        <v>1024.2</v>
      </c>
    </row>
    <row r="3751" spans="1:2">
      <c r="A3751" s="3">
        <v>41843</v>
      </c>
      <c r="B3751" s="4">
        <v>1023.7</v>
      </c>
    </row>
    <row r="3752" spans="1:2">
      <c r="A3752" s="3">
        <v>41844</v>
      </c>
      <c r="B3752" s="4">
        <v>1029.05</v>
      </c>
    </row>
    <row r="3753" spans="1:2">
      <c r="A3753" s="3">
        <v>41845</v>
      </c>
      <c r="B3753" s="4">
        <v>1025.5</v>
      </c>
    </row>
    <row r="3754" spans="1:2">
      <c r="A3754" s="3">
        <v>41848</v>
      </c>
      <c r="B3754" s="4">
        <v>1025.75</v>
      </c>
    </row>
    <row r="3755" spans="1:2">
      <c r="A3755" s="3">
        <v>41849</v>
      </c>
      <c r="B3755" s="4">
        <v>1024.6500000000001</v>
      </c>
    </row>
    <row r="3756" spans="1:2">
      <c r="A3756" s="3">
        <v>41850</v>
      </c>
      <c r="B3756" s="4">
        <v>1023.9</v>
      </c>
    </row>
    <row r="3757" spans="1:2">
      <c r="A3757" s="3">
        <v>41851</v>
      </c>
      <c r="B3757" s="4">
        <v>1027.75</v>
      </c>
    </row>
    <row r="3758" spans="1:2">
      <c r="A3758" s="3">
        <v>41852</v>
      </c>
      <c r="B3758" s="4">
        <v>1036.75</v>
      </c>
    </row>
    <row r="3759" spans="1:2">
      <c r="A3759" s="3">
        <v>41855</v>
      </c>
      <c r="B3759" s="4">
        <v>1032.95</v>
      </c>
    </row>
    <row r="3760" spans="1:2">
      <c r="A3760" s="3">
        <v>41856</v>
      </c>
      <c r="B3760" s="4">
        <v>1027.9000000000001</v>
      </c>
    </row>
    <row r="3761" spans="1:2">
      <c r="A3761" s="3">
        <v>41857</v>
      </c>
      <c r="B3761" s="4">
        <v>1033.75</v>
      </c>
    </row>
    <row r="3762" spans="1:2">
      <c r="A3762" s="3">
        <v>41858</v>
      </c>
      <c r="B3762" s="4">
        <v>1036.75</v>
      </c>
    </row>
    <row r="3763" spans="1:2">
      <c r="A3763" s="3">
        <v>41859</v>
      </c>
      <c r="B3763" s="4">
        <v>1036.4000000000001</v>
      </c>
    </row>
    <row r="3764" spans="1:2">
      <c r="A3764" s="3">
        <v>41862</v>
      </c>
      <c r="B3764" s="4">
        <v>1029.8</v>
      </c>
    </row>
    <row r="3765" spans="1:2">
      <c r="A3765" s="3">
        <v>41863</v>
      </c>
      <c r="B3765" s="4">
        <v>1026.9000000000001</v>
      </c>
    </row>
    <row r="3766" spans="1:2">
      <c r="A3766" s="3">
        <v>41864</v>
      </c>
      <c r="B3766" s="4">
        <v>1029.8</v>
      </c>
    </row>
    <row r="3767" spans="1:2">
      <c r="A3767" s="3">
        <v>41865</v>
      </c>
      <c r="B3767" s="4">
        <v>1020.95</v>
      </c>
    </row>
    <row r="3768" spans="1:2">
      <c r="A3768" s="3">
        <v>41866</v>
      </c>
      <c r="B3768" s="4">
        <v>1020.95</v>
      </c>
    </row>
    <row r="3769" spans="1:2">
      <c r="A3769" s="3">
        <v>41869</v>
      </c>
      <c r="B3769" s="4">
        <v>1017.35</v>
      </c>
    </row>
    <row r="3770" spans="1:2">
      <c r="A3770" s="3">
        <v>41870</v>
      </c>
      <c r="B3770" s="4">
        <v>1017.7</v>
      </c>
    </row>
    <row r="3771" spans="1:2">
      <c r="A3771" s="3">
        <v>41871</v>
      </c>
      <c r="B3771" s="4">
        <v>1022.6</v>
      </c>
    </row>
    <row r="3772" spans="1:2">
      <c r="A3772" s="3">
        <v>41872</v>
      </c>
      <c r="B3772" s="4">
        <v>1023.4</v>
      </c>
    </row>
    <row r="3773" spans="1:2">
      <c r="A3773" s="3">
        <v>41873</v>
      </c>
      <c r="B3773" s="4">
        <v>1017.7</v>
      </c>
    </row>
    <row r="3774" spans="1:2">
      <c r="A3774" s="3">
        <v>41876</v>
      </c>
      <c r="B3774" s="4">
        <v>1019.65</v>
      </c>
    </row>
    <row r="3775" spans="1:2">
      <c r="A3775" s="3">
        <v>41877</v>
      </c>
      <c r="B3775" s="4">
        <v>1016.25</v>
      </c>
    </row>
    <row r="3776" spans="1:2">
      <c r="A3776" s="3">
        <v>41878</v>
      </c>
      <c r="B3776" s="4">
        <v>1013.95</v>
      </c>
    </row>
    <row r="3777" spans="1:2">
      <c r="A3777" s="3">
        <v>41879</v>
      </c>
      <c r="B3777" s="4">
        <v>1014.85</v>
      </c>
    </row>
    <row r="3778" spans="1:2">
      <c r="A3778" s="3">
        <v>41880</v>
      </c>
      <c r="B3778" s="4">
        <v>1013.85</v>
      </c>
    </row>
    <row r="3779" spans="1:2">
      <c r="A3779" s="3">
        <v>41883</v>
      </c>
      <c r="B3779" s="4">
        <v>1012.8</v>
      </c>
    </row>
    <row r="3780" spans="1:2">
      <c r="A3780" s="3">
        <v>41884</v>
      </c>
      <c r="B3780" s="4">
        <v>1018.2</v>
      </c>
    </row>
    <row r="3781" spans="1:2">
      <c r="A3781" s="3">
        <v>41885</v>
      </c>
      <c r="B3781" s="4">
        <v>1019.55</v>
      </c>
    </row>
    <row r="3782" spans="1:2">
      <c r="A3782" s="3">
        <v>41886</v>
      </c>
      <c r="B3782" s="4">
        <v>1018.7</v>
      </c>
    </row>
    <row r="3783" spans="1:2">
      <c r="A3783" s="3">
        <v>41887</v>
      </c>
      <c r="B3783" s="4">
        <v>1024.25</v>
      </c>
    </row>
    <row r="3784" spans="1:2">
      <c r="A3784" s="3">
        <v>41890</v>
      </c>
      <c r="B3784" s="4">
        <v>1024</v>
      </c>
    </row>
    <row r="3785" spans="1:2">
      <c r="A3785" s="3">
        <v>41891</v>
      </c>
      <c r="B3785" s="4">
        <v>1034.25</v>
      </c>
    </row>
    <row r="3786" spans="1:2">
      <c r="A3786" s="3">
        <v>41892</v>
      </c>
      <c r="B3786" s="4">
        <v>1034.2</v>
      </c>
    </row>
    <row r="3787" spans="1:2">
      <c r="A3787" s="3">
        <v>41893</v>
      </c>
      <c r="B3787" s="4">
        <v>1035.73</v>
      </c>
    </row>
    <row r="3788" spans="1:2">
      <c r="A3788" s="3">
        <v>41894</v>
      </c>
      <c r="B3788" s="4">
        <v>1034.9000000000001</v>
      </c>
    </row>
    <row r="3789" spans="1:2">
      <c r="A3789" s="3">
        <v>41897</v>
      </c>
      <c r="B3789" s="4">
        <v>1038.0999999999999</v>
      </c>
    </row>
    <row r="3790" spans="1:2">
      <c r="A3790" s="3">
        <v>41898</v>
      </c>
      <c r="B3790" s="4">
        <v>1035.95</v>
      </c>
    </row>
    <row r="3791" spans="1:2">
      <c r="A3791" s="3">
        <v>41899</v>
      </c>
      <c r="B3791" s="4">
        <v>1034.7</v>
      </c>
    </row>
    <row r="3792" spans="1:2">
      <c r="A3792" s="3">
        <v>41900</v>
      </c>
      <c r="B3792" s="4">
        <v>1043.3</v>
      </c>
    </row>
    <row r="3793" spans="1:2">
      <c r="A3793" s="3">
        <v>41901</v>
      </c>
      <c r="B3793" s="4">
        <v>1043.55</v>
      </c>
    </row>
    <row r="3794" spans="1:2">
      <c r="A3794" s="3">
        <v>41904</v>
      </c>
      <c r="B3794" s="4">
        <v>1040</v>
      </c>
    </row>
    <row r="3795" spans="1:2">
      <c r="A3795" s="3">
        <v>41905</v>
      </c>
      <c r="B3795" s="4">
        <v>1039.9000000000001</v>
      </c>
    </row>
    <row r="3796" spans="1:2">
      <c r="A3796" s="3">
        <v>41906</v>
      </c>
      <c r="B3796" s="4">
        <v>1039.77</v>
      </c>
    </row>
    <row r="3797" spans="1:2">
      <c r="A3797" s="3">
        <v>41907</v>
      </c>
      <c r="B3797" s="4">
        <v>1043.3</v>
      </c>
    </row>
    <row r="3798" spans="1:2">
      <c r="A3798" s="3">
        <v>41908</v>
      </c>
      <c r="B3798" s="4">
        <v>1044.0999999999999</v>
      </c>
    </row>
    <row r="3799" spans="1:2">
      <c r="A3799" s="3">
        <v>41911</v>
      </c>
      <c r="B3799" s="4">
        <v>1053.1500000000001</v>
      </c>
    </row>
    <row r="3800" spans="1:2">
      <c r="A3800" s="3">
        <v>41912</v>
      </c>
      <c r="B3800" s="4">
        <v>1054.55</v>
      </c>
    </row>
    <row r="3801" spans="1:2">
      <c r="A3801" s="3">
        <v>41913</v>
      </c>
      <c r="B3801" s="4">
        <v>1062.7</v>
      </c>
    </row>
    <row r="3802" spans="1:2">
      <c r="A3802" s="3">
        <v>41914</v>
      </c>
      <c r="B3802" s="4">
        <v>1061.0999999999999</v>
      </c>
    </row>
    <row r="3803" spans="1:2">
      <c r="A3803" s="3">
        <v>41915</v>
      </c>
      <c r="B3803" s="4">
        <v>1061.0999999999999</v>
      </c>
    </row>
    <row r="3804" spans="1:2">
      <c r="A3804" s="3">
        <v>41918</v>
      </c>
      <c r="B3804" s="4">
        <v>1068.75</v>
      </c>
    </row>
    <row r="3805" spans="1:2">
      <c r="A3805" s="3">
        <v>41919</v>
      </c>
      <c r="B3805" s="4">
        <v>1069.4000000000001</v>
      </c>
    </row>
    <row r="3806" spans="1:2">
      <c r="A3806" s="3">
        <v>41920</v>
      </c>
      <c r="B3806" s="4">
        <v>1074.4000000000001</v>
      </c>
    </row>
    <row r="3807" spans="1:2">
      <c r="A3807" s="3">
        <v>41921</v>
      </c>
      <c r="B3807" s="4">
        <v>1062.5999999999999</v>
      </c>
    </row>
    <row r="3808" spans="1:2">
      <c r="A3808" s="3">
        <v>41922</v>
      </c>
      <c r="B3808" s="4">
        <v>1073.0999999999999</v>
      </c>
    </row>
    <row r="3809" spans="1:2">
      <c r="A3809" s="3">
        <v>41925</v>
      </c>
      <c r="B3809" s="4">
        <v>1066.0999999999999</v>
      </c>
    </row>
    <row r="3810" spans="1:2">
      <c r="A3810" s="3">
        <v>41926</v>
      </c>
      <c r="B3810" s="4">
        <v>1064.78</v>
      </c>
    </row>
    <row r="3811" spans="1:2">
      <c r="A3811" s="3">
        <v>41927</v>
      </c>
      <c r="B3811" s="4">
        <v>1059.97</v>
      </c>
    </row>
    <row r="3812" spans="1:2">
      <c r="A3812" s="3">
        <v>41928</v>
      </c>
      <c r="B3812" s="4">
        <v>1060.52</v>
      </c>
    </row>
    <row r="3813" spans="1:2">
      <c r="A3813" s="3">
        <v>41929</v>
      </c>
      <c r="B3813" s="4">
        <v>1062.3699999999999</v>
      </c>
    </row>
    <row r="3814" spans="1:2">
      <c r="A3814" s="3">
        <v>41932</v>
      </c>
      <c r="B3814" s="4">
        <v>1055.2</v>
      </c>
    </row>
    <row r="3815" spans="1:2">
      <c r="A3815" s="3">
        <v>41933</v>
      </c>
      <c r="B3815" s="4">
        <v>1054.3</v>
      </c>
    </row>
    <row r="3816" spans="1:2">
      <c r="A3816" s="3">
        <v>41934</v>
      </c>
      <c r="B3816" s="4">
        <v>1052.74</v>
      </c>
    </row>
    <row r="3817" spans="1:2">
      <c r="A3817" s="3">
        <v>41935</v>
      </c>
      <c r="B3817" s="4">
        <v>1059.5</v>
      </c>
    </row>
    <row r="3818" spans="1:2">
      <c r="A3818" s="3">
        <v>41936</v>
      </c>
      <c r="B3818" s="4">
        <v>1056.5</v>
      </c>
    </row>
    <row r="3819" spans="1:2">
      <c r="A3819" s="3">
        <v>41939</v>
      </c>
      <c r="B3819" s="4">
        <v>1050.03</v>
      </c>
    </row>
    <row r="3820" spans="1:2">
      <c r="A3820" s="3">
        <v>41940</v>
      </c>
      <c r="B3820" s="4">
        <v>1047.03</v>
      </c>
    </row>
    <row r="3821" spans="1:2">
      <c r="A3821" s="3">
        <v>41941</v>
      </c>
      <c r="B3821" s="4">
        <v>1053.19</v>
      </c>
    </row>
    <row r="3822" spans="1:2">
      <c r="A3822" s="3">
        <v>41942</v>
      </c>
      <c r="B3822" s="4">
        <v>1053.67</v>
      </c>
    </row>
    <row r="3823" spans="1:2">
      <c r="A3823" s="3">
        <v>41943</v>
      </c>
      <c r="B3823" s="4">
        <v>1072.5999999999999</v>
      </c>
    </row>
    <row r="3824" spans="1:2">
      <c r="A3824" s="3">
        <v>41946</v>
      </c>
      <c r="B3824" s="4">
        <v>1082.5999999999999</v>
      </c>
    </row>
    <row r="3825" spans="1:2">
      <c r="A3825" s="3">
        <v>41947</v>
      </c>
      <c r="B3825" s="4">
        <v>1077.0899999999999</v>
      </c>
    </row>
    <row r="3826" spans="1:2">
      <c r="A3826" s="3">
        <v>41948</v>
      </c>
      <c r="B3826" s="4">
        <v>1089.54</v>
      </c>
    </row>
    <row r="3827" spans="1:2">
      <c r="A3827" s="3">
        <v>41949</v>
      </c>
      <c r="B3827" s="4">
        <v>1090</v>
      </c>
    </row>
    <row r="3828" spans="1:2">
      <c r="A3828" s="3">
        <v>41950</v>
      </c>
      <c r="B3828" s="4">
        <v>1086.32</v>
      </c>
    </row>
    <row r="3829" spans="1:2">
      <c r="A3829" s="3">
        <v>41953</v>
      </c>
      <c r="B3829" s="4">
        <v>1089.71</v>
      </c>
    </row>
    <row r="3830" spans="1:2">
      <c r="A3830" s="3">
        <v>41954</v>
      </c>
      <c r="B3830" s="4">
        <v>1094.1500000000001</v>
      </c>
    </row>
    <row r="3831" spans="1:2">
      <c r="A3831" s="3">
        <v>41955</v>
      </c>
      <c r="B3831" s="4">
        <v>1094.6600000000001</v>
      </c>
    </row>
    <row r="3832" spans="1:2">
      <c r="A3832" s="3">
        <v>41956</v>
      </c>
      <c r="B3832" s="4">
        <v>1095.68</v>
      </c>
    </row>
    <row r="3833" spans="1:2">
      <c r="A3833" s="3">
        <v>41957</v>
      </c>
      <c r="B3833" s="4">
        <v>1100.19</v>
      </c>
    </row>
    <row r="3834" spans="1:2">
      <c r="A3834" s="3">
        <v>41960</v>
      </c>
      <c r="B3834" s="4">
        <v>1100.1600000000001</v>
      </c>
    </row>
    <row r="3835" spans="1:2">
      <c r="A3835" s="3">
        <v>41961</v>
      </c>
      <c r="B3835" s="4">
        <v>1099.8499999999999</v>
      </c>
    </row>
    <row r="3836" spans="1:2">
      <c r="A3836" s="3">
        <v>41962</v>
      </c>
      <c r="B3836" s="4">
        <v>1113.08</v>
      </c>
    </row>
    <row r="3837" spans="1:2">
      <c r="A3837" s="3">
        <v>41963</v>
      </c>
      <c r="B3837" s="4">
        <v>1110.9100000000001</v>
      </c>
    </row>
    <row r="3838" spans="1:2">
      <c r="A3838" s="3">
        <v>41964</v>
      </c>
      <c r="B3838" s="4">
        <v>1110.6500000000001</v>
      </c>
    </row>
    <row r="3839" spans="1:2">
      <c r="A3839" s="3">
        <v>41967</v>
      </c>
      <c r="B3839" s="4">
        <v>1113.02</v>
      </c>
    </row>
    <row r="3840" spans="1:2">
      <c r="A3840" s="3">
        <v>41968</v>
      </c>
      <c r="B3840" s="4">
        <v>1109.22</v>
      </c>
    </row>
    <row r="3841" spans="1:2">
      <c r="A3841" s="3">
        <v>41969</v>
      </c>
      <c r="B3841" s="4">
        <v>1102.74</v>
      </c>
    </row>
    <row r="3842" spans="1:2">
      <c r="A3842" s="3">
        <v>41970</v>
      </c>
      <c r="B3842" s="4">
        <v>1099.32</v>
      </c>
    </row>
    <row r="3843" spans="1:2">
      <c r="A3843" s="3">
        <v>41971</v>
      </c>
      <c r="B3843" s="4">
        <v>1112.45</v>
      </c>
    </row>
    <row r="3844" spans="1:2">
      <c r="A3844" s="3">
        <v>41974</v>
      </c>
      <c r="B3844" s="4">
        <v>1109.3599999999999</v>
      </c>
    </row>
    <row r="3845" spans="1:2">
      <c r="A3845" s="3">
        <v>41975</v>
      </c>
      <c r="B3845" s="4">
        <v>1114.32</v>
      </c>
    </row>
    <row r="3846" spans="1:2">
      <c r="A3846" s="3">
        <v>41976</v>
      </c>
      <c r="B3846" s="4">
        <v>1115.1099999999999</v>
      </c>
    </row>
    <row r="3847" spans="1:2">
      <c r="A3847" s="3">
        <v>41977</v>
      </c>
      <c r="B3847" s="4">
        <v>1111.3599999999999</v>
      </c>
    </row>
    <row r="3848" spans="1:2">
      <c r="A3848" s="3">
        <v>41978</v>
      </c>
      <c r="B3848" s="4">
        <v>1120.8800000000001</v>
      </c>
    </row>
    <row r="3849" spans="1:2">
      <c r="A3849" s="3">
        <v>41981</v>
      </c>
      <c r="B3849" s="4">
        <v>1111.06</v>
      </c>
    </row>
    <row r="3850" spans="1:2">
      <c r="A3850" s="3">
        <v>41982</v>
      </c>
      <c r="B3850" s="4">
        <v>1103.93</v>
      </c>
    </row>
    <row r="3851" spans="1:2">
      <c r="A3851" s="3">
        <v>41983</v>
      </c>
      <c r="B3851" s="4">
        <v>1100.6199999999999</v>
      </c>
    </row>
    <row r="3852" spans="1:2">
      <c r="A3852" s="3">
        <v>41984</v>
      </c>
      <c r="B3852" s="4">
        <v>1101.8499999999999</v>
      </c>
    </row>
    <row r="3853" spans="1:2">
      <c r="A3853" s="3">
        <v>41985</v>
      </c>
      <c r="B3853" s="4">
        <v>1103.6500000000001</v>
      </c>
    </row>
    <row r="3854" spans="1:2">
      <c r="A3854" s="3">
        <v>41988</v>
      </c>
      <c r="B3854" s="4">
        <v>1096.77</v>
      </c>
    </row>
    <row r="3855" spans="1:2">
      <c r="A3855" s="3">
        <v>41989</v>
      </c>
      <c r="B3855" s="4">
        <v>1080.01</v>
      </c>
    </row>
    <row r="3856" spans="1:2">
      <c r="A3856" s="3">
        <v>41990</v>
      </c>
      <c r="B3856" s="4">
        <v>1096.1600000000001</v>
      </c>
    </row>
    <row r="3857" spans="1:2">
      <c r="A3857" s="3">
        <v>41991</v>
      </c>
      <c r="B3857" s="4">
        <v>1098.74</v>
      </c>
    </row>
    <row r="3858" spans="1:2">
      <c r="A3858" s="3">
        <v>41992</v>
      </c>
      <c r="B3858" s="4">
        <v>1099.1099999999999</v>
      </c>
    </row>
    <row r="3859" spans="1:2">
      <c r="A3859" s="3">
        <v>41995</v>
      </c>
      <c r="B3859" s="4">
        <v>1099.1199999999999</v>
      </c>
    </row>
    <row r="3860" spans="1:2">
      <c r="A3860" s="3">
        <v>41996</v>
      </c>
      <c r="B3860" s="4">
        <v>1105.57</v>
      </c>
    </row>
    <row r="3861" spans="1:2">
      <c r="A3861" s="3">
        <v>41997</v>
      </c>
      <c r="B3861" s="4">
        <v>1103.3499999999999</v>
      </c>
    </row>
    <row r="3862" spans="1:2">
      <c r="A3862" s="3">
        <v>41998</v>
      </c>
      <c r="B3862" s="4">
        <v>1100.8499999999999</v>
      </c>
    </row>
    <row r="3863" spans="1:2">
      <c r="A3863" s="3">
        <v>41999</v>
      </c>
      <c r="B3863" s="4">
        <v>1098.9000000000001</v>
      </c>
    </row>
    <row r="3864" spans="1:2">
      <c r="A3864" s="3">
        <v>42002</v>
      </c>
      <c r="B3864" s="4">
        <v>1099.3</v>
      </c>
    </row>
    <row r="3865" spans="1:2">
      <c r="A3865" s="3">
        <v>42003</v>
      </c>
      <c r="B3865" s="4">
        <v>1095.92</v>
      </c>
    </row>
    <row r="3866" spans="1:2">
      <c r="A3866" s="3">
        <v>42004</v>
      </c>
      <c r="B3866" s="4">
        <v>1092.9000000000001</v>
      </c>
    </row>
    <row r="3867" spans="1:2">
      <c r="A3867" s="3">
        <v>42005</v>
      </c>
      <c r="B3867" s="4">
        <v>1091.45</v>
      </c>
    </row>
    <row r="3868" spans="1:2">
      <c r="A3868" s="3">
        <v>42006</v>
      </c>
      <c r="B3868" s="4">
        <v>1105.92</v>
      </c>
    </row>
    <row r="3869" spans="1:2">
      <c r="A3869" s="3">
        <v>42009</v>
      </c>
      <c r="B3869" s="4">
        <v>1108.93</v>
      </c>
    </row>
    <row r="3870" spans="1:2">
      <c r="A3870" s="3">
        <v>42010</v>
      </c>
      <c r="B3870" s="4">
        <v>1098</v>
      </c>
    </row>
    <row r="3871" spans="1:2">
      <c r="A3871" s="3">
        <v>42011</v>
      </c>
      <c r="B3871" s="4">
        <v>1097.74</v>
      </c>
    </row>
    <row r="3872" spans="1:2">
      <c r="A3872" s="3">
        <v>42012</v>
      </c>
      <c r="B3872" s="4">
        <v>1094.51</v>
      </c>
    </row>
    <row r="3873" spans="1:2">
      <c r="A3873" s="3">
        <v>42013</v>
      </c>
      <c r="B3873" s="4">
        <v>1084.82</v>
      </c>
    </row>
    <row r="3874" spans="1:2">
      <c r="A3874" s="3">
        <v>42016</v>
      </c>
      <c r="B3874" s="4">
        <v>1081.72</v>
      </c>
    </row>
    <row r="3875" spans="1:2">
      <c r="A3875" s="3">
        <v>42017</v>
      </c>
      <c r="B3875" s="4">
        <v>1077.78</v>
      </c>
    </row>
    <row r="3876" spans="1:2">
      <c r="A3876" s="3">
        <v>42018</v>
      </c>
      <c r="B3876" s="4">
        <v>1081.8499999999999</v>
      </c>
    </row>
    <row r="3877" spans="1:2">
      <c r="A3877" s="3">
        <v>42019</v>
      </c>
      <c r="B3877" s="4">
        <v>1074.69</v>
      </c>
    </row>
    <row r="3878" spans="1:2">
      <c r="A3878" s="3">
        <v>42020</v>
      </c>
      <c r="B3878" s="4">
        <v>1078.07</v>
      </c>
    </row>
    <row r="3879" spans="1:2">
      <c r="A3879" s="3">
        <v>42023</v>
      </c>
      <c r="B3879" s="4">
        <v>1078.4000000000001</v>
      </c>
    </row>
    <row r="3880" spans="1:2">
      <c r="A3880" s="3">
        <v>42024</v>
      </c>
      <c r="B3880" s="4">
        <v>1087.02</v>
      </c>
    </row>
    <row r="3881" spans="1:2">
      <c r="A3881" s="3">
        <v>42025</v>
      </c>
      <c r="B3881" s="4">
        <v>1081.3</v>
      </c>
    </row>
    <row r="3882" spans="1:2">
      <c r="A3882" s="3">
        <v>42026</v>
      </c>
      <c r="B3882" s="4">
        <v>1084.24</v>
      </c>
    </row>
    <row r="3883" spans="1:2">
      <c r="A3883" s="3">
        <v>42027</v>
      </c>
      <c r="B3883" s="4">
        <v>1076.51</v>
      </c>
    </row>
    <row r="3884" spans="1:2">
      <c r="A3884" s="3">
        <v>42030</v>
      </c>
      <c r="B3884" s="4">
        <v>1079.7</v>
      </c>
    </row>
    <row r="3885" spans="1:2">
      <c r="A3885" s="3">
        <v>42031</v>
      </c>
      <c r="B3885" s="4">
        <v>1077.01</v>
      </c>
    </row>
    <row r="3886" spans="1:2">
      <c r="A3886" s="3">
        <v>42032</v>
      </c>
      <c r="B3886" s="4">
        <v>1084.8699999999999</v>
      </c>
    </row>
    <row r="3887" spans="1:2">
      <c r="A3887" s="3">
        <v>42033</v>
      </c>
      <c r="B3887" s="4">
        <v>1098.96</v>
      </c>
    </row>
    <row r="3888" spans="1:2">
      <c r="A3888" s="3">
        <v>42034</v>
      </c>
      <c r="B3888" s="4">
        <v>1101.4000000000001</v>
      </c>
    </row>
    <row r="3889" spans="1:2">
      <c r="A3889" s="3">
        <v>42037</v>
      </c>
      <c r="B3889" s="4">
        <v>1098.45</v>
      </c>
    </row>
    <row r="3890" spans="1:2">
      <c r="A3890" s="3">
        <v>42038</v>
      </c>
      <c r="B3890" s="4">
        <v>1092.04</v>
      </c>
    </row>
    <row r="3891" spans="1:2">
      <c r="A3891" s="3">
        <v>42039</v>
      </c>
      <c r="B3891" s="4">
        <v>1087.0899999999999</v>
      </c>
    </row>
    <row r="3892" spans="1:2">
      <c r="A3892" s="3">
        <v>42040</v>
      </c>
      <c r="B3892" s="4">
        <v>1085.54</v>
      </c>
    </row>
    <row r="3893" spans="1:2">
      <c r="A3893" s="3">
        <v>42041</v>
      </c>
      <c r="B3893" s="4">
        <v>1097.01</v>
      </c>
    </row>
    <row r="3894" spans="1:2">
      <c r="A3894" s="3">
        <v>42044</v>
      </c>
      <c r="B3894" s="4">
        <v>1094.23</v>
      </c>
    </row>
    <row r="3895" spans="1:2">
      <c r="A3895" s="3">
        <v>42045</v>
      </c>
      <c r="B3895" s="4">
        <v>1098.3</v>
      </c>
    </row>
    <row r="3896" spans="1:2">
      <c r="A3896" s="3">
        <v>42046</v>
      </c>
      <c r="B3896" s="4">
        <v>1107.25</v>
      </c>
    </row>
    <row r="3897" spans="1:2">
      <c r="A3897" s="3">
        <v>42047</v>
      </c>
      <c r="B3897" s="4">
        <v>1100.56</v>
      </c>
    </row>
    <row r="3898" spans="1:2">
      <c r="A3898" s="3">
        <v>42048</v>
      </c>
      <c r="B3898" s="4">
        <v>1097.22</v>
      </c>
    </row>
    <row r="3899" spans="1:2">
      <c r="A3899" s="3">
        <v>42051</v>
      </c>
      <c r="B3899" s="4">
        <v>1100.77</v>
      </c>
    </row>
    <row r="3900" spans="1:2">
      <c r="A3900" s="3">
        <v>42052</v>
      </c>
      <c r="B3900" s="4">
        <v>1107.8699999999999</v>
      </c>
    </row>
    <row r="3901" spans="1:2">
      <c r="A3901" s="3">
        <v>42053</v>
      </c>
      <c r="B3901" s="4">
        <v>1107.6199999999999</v>
      </c>
    </row>
    <row r="3902" spans="1:2">
      <c r="A3902" s="3">
        <v>42054</v>
      </c>
      <c r="B3902" s="4">
        <v>1110.82</v>
      </c>
    </row>
    <row r="3903" spans="1:2">
      <c r="A3903" s="3">
        <v>42055</v>
      </c>
      <c r="B3903" s="4">
        <v>1109.6300000000001</v>
      </c>
    </row>
    <row r="3904" spans="1:2">
      <c r="A3904" s="3">
        <v>42058</v>
      </c>
      <c r="B3904" s="4">
        <v>1107.4000000000001</v>
      </c>
    </row>
    <row r="3905" spans="1:2">
      <c r="A3905" s="3">
        <v>42059</v>
      </c>
      <c r="B3905" s="4">
        <v>1104.83</v>
      </c>
    </row>
    <row r="3906" spans="1:2">
      <c r="A3906" s="3">
        <v>42060</v>
      </c>
      <c r="B3906" s="4">
        <v>1099.71</v>
      </c>
    </row>
    <row r="3907" spans="1:2">
      <c r="A3907" s="3">
        <v>42061</v>
      </c>
      <c r="B3907" s="4">
        <v>1101.6500000000001</v>
      </c>
    </row>
    <row r="3908" spans="1:2">
      <c r="A3908" s="3">
        <v>42062</v>
      </c>
      <c r="B3908" s="4">
        <v>1100.53</v>
      </c>
    </row>
    <row r="3909" spans="1:2">
      <c r="A3909" s="3">
        <v>42065</v>
      </c>
      <c r="B3909" s="4">
        <v>1102.05</v>
      </c>
    </row>
    <row r="3910" spans="1:2">
      <c r="A3910" s="3">
        <v>42066</v>
      </c>
      <c r="B3910" s="4">
        <v>1095.83</v>
      </c>
    </row>
    <row r="3911" spans="1:2">
      <c r="A3911" s="3">
        <v>42067</v>
      </c>
      <c r="B3911" s="4">
        <v>1100.52</v>
      </c>
    </row>
    <row r="3912" spans="1:2">
      <c r="A3912" s="3">
        <v>42068</v>
      </c>
      <c r="B3912" s="4">
        <v>1101.3499999999999</v>
      </c>
    </row>
    <row r="3913" spans="1:2">
      <c r="A3913" s="3">
        <v>42069</v>
      </c>
      <c r="B3913" s="4">
        <v>1110.19</v>
      </c>
    </row>
    <row r="3914" spans="1:2">
      <c r="A3914" s="3">
        <v>42072</v>
      </c>
      <c r="B3914" s="4">
        <v>1114</v>
      </c>
    </row>
    <row r="3915" spans="1:2">
      <c r="A3915" s="3">
        <v>42073</v>
      </c>
      <c r="B3915" s="4">
        <v>1126.4100000000001</v>
      </c>
    </row>
    <row r="3916" spans="1:2">
      <c r="A3916" s="3">
        <v>42074</v>
      </c>
      <c r="B3916" s="4">
        <v>1131.08</v>
      </c>
    </row>
    <row r="3917" spans="1:2">
      <c r="A3917" s="3">
        <v>42075</v>
      </c>
      <c r="B3917" s="4">
        <v>1124.6400000000001</v>
      </c>
    </row>
    <row r="3918" spans="1:2">
      <c r="A3918" s="3">
        <v>42076</v>
      </c>
      <c r="B3918" s="4">
        <v>1137.1199999999999</v>
      </c>
    </row>
    <row r="3919" spans="1:2">
      <c r="A3919" s="3">
        <v>42079</v>
      </c>
      <c r="B3919" s="4">
        <v>1130.9100000000001</v>
      </c>
    </row>
    <row r="3920" spans="1:2">
      <c r="A3920" s="3">
        <v>42080</v>
      </c>
      <c r="B3920" s="4">
        <v>1128.3</v>
      </c>
    </row>
    <row r="3921" spans="1:2">
      <c r="A3921" s="3">
        <v>42081</v>
      </c>
      <c r="B3921" s="4">
        <v>1110.6600000000001</v>
      </c>
    </row>
    <row r="3922" spans="1:2">
      <c r="A3922" s="3">
        <v>42082</v>
      </c>
      <c r="B3922" s="4">
        <v>1121.03</v>
      </c>
    </row>
    <row r="3923" spans="1:2">
      <c r="A3923" s="3">
        <v>42083</v>
      </c>
      <c r="B3923" s="4">
        <v>1112.51</v>
      </c>
    </row>
    <row r="3924" spans="1:2">
      <c r="A3924" s="3">
        <v>42086</v>
      </c>
      <c r="B3924" s="4">
        <v>1105.73</v>
      </c>
    </row>
    <row r="3925" spans="1:2">
      <c r="A3925" s="3">
        <v>42087</v>
      </c>
      <c r="B3925" s="4">
        <v>1102.69</v>
      </c>
    </row>
    <row r="3926" spans="1:2">
      <c r="A3926" s="3">
        <v>42088</v>
      </c>
      <c r="B3926" s="4">
        <v>1100.9000000000001</v>
      </c>
    </row>
    <row r="3927" spans="1:2">
      <c r="A3927" s="3">
        <v>42089</v>
      </c>
      <c r="B3927" s="4">
        <v>1104.07</v>
      </c>
    </row>
    <row r="3928" spans="1:2">
      <c r="A3928" s="3">
        <v>42090</v>
      </c>
      <c r="B3928" s="4">
        <v>1102.73</v>
      </c>
    </row>
    <row r="3929" spans="1:2">
      <c r="A3929" s="3">
        <v>42093</v>
      </c>
      <c r="B3929" s="4">
        <v>1106.49</v>
      </c>
    </row>
    <row r="3930" spans="1:2">
      <c r="A3930" s="3">
        <v>42094</v>
      </c>
      <c r="B3930" s="4">
        <v>1107.99</v>
      </c>
    </row>
    <row r="3931" spans="1:2">
      <c r="A3931" s="3">
        <v>42095</v>
      </c>
      <c r="B3931" s="4">
        <v>1097.3</v>
      </c>
    </row>
    <row r="3932" spans="1:2">
      <c r="A3932" s="3">
        <v>42096</v>
      </c>
      <c r="B3932" s="4">
        <v>1090.29</v>
      </c>
    </row>
    <row r="3933" spans="1:2">
      <c r="A3933" s="3">
        <v>42097</v>
      </c>
      <c r="B3933" s="4">
        <v>1085.48</v>
      </c>
    </row>
    <row r="3934" spans="1:2">
      <c r="A3934" s="3">
        <v>42100</v>
      </c>
      <c r="B3934" s="4">
        <v>1085.1300000000001</v>
      </c>
    </row>
    <row r="3935" spans="1:2">
      <c r="A3935" s="3">
        <v>42101</v>
      </c>
      <c r="B3935" s="4">
        <v>1094.57</v>
      </c>
    </row>
    <row r="3936" spans="1:2">
      <c r="A3936" s="3">
        <v>42102</v>
      </c>
      <c r="B3936" s="4">
        <v>1091.93</v>
      </c>
    </row>
    <row r="3937" spans="1:2">
      <c r="A3937" s="3">
        <v>42103</v>
      </c>
      <c r="B3937" s="4">
        <v>1095.74</v>
      </c>
    </row>
    <row r="3938" spans="1:2">
      <c r="A3938" s="3">
        <v>42104</v>
      </c>
      <c r="B3938" s="4">
        <v>1092.96</v>
      </c>
    </row>
    <row r="3939" spans="1:2">
      <c r="A3939" s="3">
        <v>42107</v>
      </c>
      <c r="B3939" s="4">
        <v>1100.6400000000001</v>
      </c>
    </row>
    <row r="3940" spans="1:2">
      <c r="A3940" s="3">
        <v>42108</v>
      </c>
      <c r="B3940" s="4">
        <v>1091.06</v>
      </c>
    </row>
    <row r="3941" spans="1:2">
      <c r="A3941" s="3">
        <v>42109</v>
      </c>
      <c r="B3941" s="4">
        <v>1091.3399999999999</v>
      </c>
    </row>
    <row r="3942" spans="1:2">
      <c r="A3942" s="3">
        <v>42110</v>
      </c>
      <c r="B3942" s="4">
        <v>1083.45</v>
      </c>
    </row>
    <row r="3943" spans="1:2">
      <c r="A3943" s="3">
        <v>42111</v>
      </c>
      <c r="B3943" s="4">
        <v>1082.79</v>
      </c>
    </row>
    <row r="3944" spans="1:2">
      <c r="A3944" s="3">
        <v>42114</v>
      </c>
      <c r="B3944" s="4">
        <v>1082.25</v>
      </c>
    </row>
    <row r="3945" spans="1:2">
      <c r="A3945" s="3">
        <v>42115</v>
      </c>
      <c r="B3945" s="4">
        <v>1082.02</v>
      </c>
    </row>
    <row r="3946" spans="1:2">
      <c r="A3946" s="3">
        <v>42116</v>
      </c>
      <c r="B3946" s="4">
        <v>1083.07</v>
      </c>
    </row>
    <row r="3947" spans="1:2">
      <c r="A3947" s="3">
        <v>42117</v>
      </c>
      <c r="B3947" s="4">
        <v>1079.97</v>
      </c>
    </row>
    <row r="3948" spans="1:2">
      <c r="A3948" s="3">
        <v>42118</v>
      </c>
      <c r="B3948" s="4">
        <v>1075.3900000000001</v>
      </c>
    </row>
    <row r="3949" spans="1:2">
      <c r="A3949" s="3">
        <v>42121</v>
      </c>
      <c r="B3949" s="4">
        <v>1068.01</v>
      </c>
    </row>
    <row r="3950" spans="1:2">
      <c r="A3950" s="3">
        <v>42122</v>
      </c>
      <c r="B3950" s="4">
        <v>1063.3800000000001</v>
      </c>
    </row>
    <row r="3951" spans="1:2">
      <c r="A3951" s="3">
        <v>42123</v>
      </c>
      <c r="B3951" s="4">
        <v>1069.32</v>
      </c>
    </row>
    <row r="3952" spans="1:2">
      <c r="A3952" s="3">
        <v>42124</v>
      </c>
      <c r="B3952" s="4">
        <v>1076.3399999999999</v>
      </c>
    </row>
    <row r="3953" spans="1:2">
      <c r="A3953" s="3">
        <v>42125</v>
      </c>
      <c r="B3953" s="4">
        <v>1080.6199999999999</v>
      </c>
    </row>
    <row r="3954" spans="1:2">
      <c r="A3954" s="3">
        <v>42128</v>
      </c>
      <c r="B3954" s="4">
        <v>1080.83</v>
      </c>
    </row>
    <row r="3955" spans="1:2">
      <c r="A3955" s="3">
        <v>42129</v>
      </c>
      <c r="B3955" s="4">
        <v>1080.49</v>
      </c>
    </row>
    <row r="3956" spans="1:2">
      <c r="A3956" s="3">
        <v>42130</v>
      </c>
      <c r="B3956" s="4">
        <v>1079.3499999999999</v>
      </c>
    </row>
    <row r="3957" spans="1:2">
      <c r="A3957" s="3">
        <v>42131</v>
      </c>
      <c r="B3957" s="4">
        <v>1093.01</v>
      </c>
    </row>
    <row r="3958" spans="1:2">
      <c r="A3958" s="3">
        <v>42132</v>
      </c>
      <c r="B3958" s="4">
        <v>1086.99</v>
      </c>
    </row>
    <row r="3959" spans="1:2">
      <c r="A3959" s="3">
        <v>42135</v>
      </c>
      <c r="B3959" s="4">
        <v>1096.1400000000001</v>
      </c>
    </row>
    <row r="3960" spans="1:2">
      <c r="A3960" s="3">
        <v>42136</v>
      </c>
      <c r="B3960" s="4">
        <v>1092.24</v>
      </c>
    </row>
    <row r="3961" spans="1:2">
      <c r="A3961" s="3">
        <v>42137</v>
      </c>
      <c r="B3961" s="4">
        <v>1091.97</v>
      </c>
    </row>
    <row r="3962" spans="1:2">
      <c r="A3962" s="3">
        <v>42138</v>
      </c>
      <c r="B3962" s="4">
        <v>1087.6099999999999</v>
      </c>
    </row>
    <row r="3963" spans="1:2">
      <c r="A3963" s="3">
        <v>42139</v>
      </c>
      <c r="B3963" s="4">
        <v>1082.72</v>
      </c>
    </row>
    <row r="3964" spans="1:2">
      <c r="A3964" s="3">
        <v>42142</v>
      </c>
      <c r="B3964" s="4">
        <v>1089.45</v>
      </c>
    </row>
    <row r="3965" spans="1:2">
      <c r="A3965" s="3">
        <v>42143</v>
      </c>
      <c r="B3965" s="4">
        <v>1094.3699999999999</v>
      </c>
    </row>
    <row r="3966" spans="1:2">
      <c r="A3966" s="3">
        <v>42144</v>
      </c>
      <c r="B3966" s="4">
        <v>1095.28</v>
      </c>
    </row>
    <row r="3967" spans="1:2">
      <c r="A3967" s="3">
        <v>42145</v>
      </c>
      <c r="B3967" s="4">
        <v>1092.32</v>
      </c>
    </row>
    <row r="3968" spans="1:2">
      <c r="A3968" s="3">
        <v>42146</v>
      </c>
      <c r="B3968" s="4">
        <v>1095.68</v>
      </c>
    </row>
    <row r="3969" spans="1:2">
      <c r="A3969" s="3">
        <v>42149</v>
      </c>
      <c r="B3969" s="4">
        <v>1095.96</v>
      </c>
    </row>
    <row r="3970" spans="1:2">
      <c r="A3970" s="3">
        <v>42150</v>
      </c>
      <c r="B3970" s="4">
        <v>1106.92</v>
      </c>
    </row>
    <row r="3971" spans="1:2">
      <c r="A3971" s="3">
        <v>42151</v>
      </c>
      <c r="B3971" s="4">
        <v>1108.43</v>
      </c>
    </row>
    <row r="3972" spans="1:2">
      <c r="A3972" s="3">
        <v>42152</v>
      </c>
      <c r="B3972" s="4">
        <v>1107.68</v>
      </c>
    </row>
    <row r="3973" spans="1:2">
      <c r="A3973" s="3">
        <v>42153</v>
      </c>
      <c r="B3973" s="4">
        <v>1112.01</v>
      </c>
    </row>
    <row r="3974" spans="1:2">
      <c r="A3974" s="3">
        <v>42156</v>
      </c>
      <c r="B3974" s="4">
        <v>1115.2</v>
      </c>
    </row>
    <row r="3975" spans="1:2">
      <c r="A3975" s="3">
        <v>42157</v>
      </c>
      <c r="B3975" s="4">
        <v>1106.58</v>
      </c>
    </row>
    <row r="3976" spans="1:2">
      <c r="A3976" s="3">
        <v>42158</v>
      </c>
      <c r="B3976" s="4">
        <v>1106.51</v>
      </c>
    </row>
    <row r="3977" spans="1:2">
      <c r="A3977" s="3">
        <v>42159</v>
      </c>
      <c r="B3977" s="4">
        <v>1112.6500000000001</v>
      </c>
    </row>
    <row r="3978" spans="1:2">
      <c r="A3978" s="3">
        <v>42160</v>
      </c>
      <c r="B3978" s="4">
        <v>1123.54</v>
      </c>
    </row>
    <row r="3979" spans="1:2">
      <c r="A3979" s="3">
        <v>42163</v>
      </c>
      <c r="B3979" s="4">
        <v>1117.8699999999999</v>
      </c>
    </row>
    <row r="3980" spans="1:2">
      <c r="A3980" s="3">
        <v>42164</v>
      </c>
      <c r="B3980" s="4">
        <v>1120.45</v>
      </c>
    </row>
    <row r="3981" spans="1:2">
      <c r="A3981" s="3">
        <v>42165</v>
      </c>
      <c r="B3981" s="4">
        <v>1109.8599999999999</v>
      </c>
    </row>
    <row r="3982" spans="1:2">
      <c r="A3982" s="3">
        <v>42166</v>
      </c>
      <c r="B3982" s="4">
        <v>1112.44</v>
      </c>
    </row>
    <row r="3983" spans="1:2">
      <c r="A3983" s="3">
        <v>42167</v>
      </c>
      <c r="B3983" s="4">
        <v>1111.17</v>
      </c>
    </row>
    <row r="3984" spans="1:2">
      <c r="A3984" s="3">
        <v>42170</v>
      </c>
      <c r="B3984" s="4">
        <v>1115.6199999999999</v>
      </c>
    </row>
    <row r="3985" spans="1:2">
      <c r="A3985" s="3">
        <v>42171</v>
      </c>
      <c r="B3985" s="4">
        <v>1117.74</v>
      </c>
    </row>
    <row r="3986" spans="1:2">
      <c r="A3986" s="3">
        <v>42172</v>
      </c>
      <c r="B3986" s="4">
        <v>1114.1500000000001</v>
      </c>
    </row>
    <row r="3987" spans="1:2">
      <c r="A3987" s="3">
        <v>42173</v>
      </c>
      <c r="B3987" s="4">
        <v>1104.58</v>
      </c>
    </row>
    <row r="3988" spans="1:2">
      <c r="A3988" s="3">
        <v>42174</v>
      </c>
      <c r="B3988" s="4">
        <v>1102.2</v>
      </c>
    </row>
    <row r="3989" spans="1:2">
      <c r="A3989" s="3">
        <v>42177</v>
      </c>
      <c r="B3989" s="4">
        <v>1100.3800000000001</v>
      </c>
    </row>
    <row r="3990" spans="1:2">
      <c r="A3990" s="3">
        <v>42178</v>
      </c>
      <c r="B3990" s="4">
        <v>1105.73</v>
      </c>
    </row>
    <row r="3991" spans="1:2">
      <c r="A3991" s="3">
        <v>42179</v>
      </c>
      <c r="B3991" s="4">
        <v>1109.18</v>
      </c>
    </row>
    <row r="3992" spans="1:2">
      <c r="A3992" s="3">
        <v>42180</v>
      </c>
      <c r="B3992" s="4">
        <v>1110.98</v>
      </c>
    </row>
    <row r="3993" spans="1:2">
      <c r="A3993" s="3">
        <v>42181</v>
      </c>
      <c r="B3993" s="4">
        <v>1121.95</v>
      </c>
    </row>
    <row r="3994" spans="1:2">
      <c r="A3994" s="3">
        <v>42184</v>
      </c>
      <c r="B3994" s="4">
        <v>1119.1600000000001</v>
      </c>
    </row>
    <row r="3995" spans="1:2">
      <c r="A3995" s="3">
        <v>42185</v>
      </c>
      <c r="B3995" s="4">
        <v>1119.03</v>
      </c>
    </row>
    <row r="3996" spans="1:2">
      <c r="A3996" s="3">
        <v>42186</v>
      </c>
      <c r="B3996" s="4">
        <v>1124.21</v>
      </c>
    </row>
    <row r="3997" spans="1:2">
      <c r="A3997" s="3">
        <v>42187</v>
      </c>
      <c r="B3997" s="4">
        <v>1122.5</v>
      </c>
    </row>
    <row r="3998" spans="1:2">
      <c r="A3998" s="3">
        <v>42188</v>
      </c>
      <c r="B3998" s="4">
        <v>1121.5999999999999</v>
      </c>
    </row>
    <row r="3999" spans="1:2">
      <c r="A3999" s="3">
        <v>42191</v>
      </c>
      <c r="B3999" s="4">
        <v>1125.0899999999999</v>
      </c>
    </row>
    <row r="4000" spans="1:2">
      <c r="A4000" s="3">
        <v>42192</v>
      </c>
      <c r="B4000" s="4">
        <v>1133.8</v>
      </c>
    </row>
    <row r="4001" spans="1:2">
      <c r="A4001" s="3">
        <v>42193</v>
      </c>
      <c r="B4001" s="4">
        <v>1134.53</v>
      </c>
    </row>
    <row r="4002" spans="1:2">
      <c r="A4002" s="3">
        <v>42194</v>
      </c>
      <c r="B4002" s="4">
        <v>1131.22</v>
      </c>
    </row>
    <row r="4003" spans="1:2">
      <c r="A4003" s="3">
        <v>42195</v>
      </c>
      <c r="B4003" s="4">
        <v>1130.2</v>
      </c>
    </row>
    <row r="4004" spans="1:2">
      <c r="A4004" s="3">
        <v>42198</v>
      </c>
      <c r="B4004" s="4">
        <v>1135.5899999999999</v>
      </c>
    </row>
    <row r="4005" spans="1:2">
      <c r="A4005" s="3">
        <v>42199</v>
      </c>
      <c r="B4005" s="4">
        <v>1142.21</v>
      </c>
    </row>
    <row r="4006" spans="1:2">
      <c r="A4006" s="3">
        <v>42200</v>
      </c>
      <c r="B4006" s="4">
        <v>1146.51</v>
      </c>
    </row>
    <row r="4007" spans="1:2">
      <c r="A4007" s="3">
        <v>42201</v>
      </c>
      <c r="B4007" s="4">
        <v>1145.79</v>
      </c>
    </row>
    <row r="4008" spans="1:2">
      <c r="A4008" s="3">
        <v>42202</v>
      </c>
      <c r="B4008" s="4">
        <v>1149.18</v>
      </c>
    </row>
    <row r="4009" spans="1:2">
      <c r="A4009" s="3">
        <v>42205</v>
      </c>
      <c r="B4009" s="4">
        <v>1155.7</v>
      </c>
    </row>
    <row r="4010" spans="1:2">
      <c r="A4010" s="3">
        <v>42206</v>
      </c>
      <c r="B4010" s="4">
        <v>1147.8399999999999</v>
      </c>
    </row>
    <row r="4011" spans="1:2">
      <c r="A4011" s="3">
        <v>42207</v>
      </c>
      <c r="B4011" s="4">
        <v>1156.04</v>
      </c>
    </row>
    <row r="4012" spans="1:2">
      <c r="A4012" s="3">
        <v>42208</v>
      </c>
      <c r="B4012" s="4">
        <v>1161.1300000000001</v>
      </c>
    </row>
    <row r="4013" spans="1:2">
      <c r="A4013" s="3">
        <v>42209</v>
      </c>
      <c r="B4013" s="4">
        <v>1169.3499999999999</v>
      </c>
    </row>
    <row r="4014" spans="1:2">
      <c r="A4014" s="3">
        <v>42212</v>
      </c>
      <c r="B4014" s="4">
        <v>1166.56</v>
      </c>
    </row>
    <row r="4015" spans="1:2">
      <c r="A4015" s="3">
        <v>42213</v>
      </c>
      <c r="B4015" s="4">
        <v>1159.46</v>
      </c>
    </row>
    <row r="4016" spans="1:2">
      <c r="A4016" s="3">
        <v>42214</v>
      </c>
      <c r="B4016" s="4">
        <v>1161.04</v>
      </c>
    </row>
    <row r="4017" spans="1:2">
      <c r="A4017" s="3">
        <v>42215</v>
      </c>
      <c r="B4017" s="4">
        <v>1172.17</v>
      </c>
    </row>
    <row r="4018" spans="1:2">
      <c r="A4018" s="3">
        <v>42216</v>
      </c>
      <c r="B4018" s="4">
        <v>1165.67</v>
      </c>
    </row>
    <row r="4019" spans="1:2">
      <c r="A4019" s="3">
        <v>42219</v>
      </c>
      <c r="B4019" s="4">
        <v>1170.04</v>
      </c>
    </row>
    <row r="4020" spans="1:2">
      <c r="A4020" s="3">
        <v>42220</v>
      </c>
      <c r="B4020" s="4">
        <v>1168.3699999999999</v>
      </c>
    </row>
    <row r="4021" spans="1:2">
      <c r="A4021" s="3">
        <v>42221</v>
      </c>
      <c r="B4021" s="4">
        <v>1172.9100000000001</v>
      </c>
    </row>
    <row r="4022" spans="1:2">
      <c r="A4022" s="3">
        <v>42222</v>
      </c>
      <c r="B4022" s="4">
        <v>1162.68</v>
      </c>
    </row>
    <row r="4023" spans="1:2">
      <c r="A4023" s="3">
        <v>42223</v>
      </c>
      <c r="B4023" s="4">
        <v>1163.7</v>
      </c>
    </row>
    <row r="4024" spans="1:2">
      <c r="A4024" s="3">
        <v>42226</v>
      </c>
      <c r="B4024" s="4">
        <v>1158.2</v>
      </c>
    </row>
    <row r="4025" spans="1:2">
      <c r="A4025" s="3">
        <v>42227</v>
      </c>
      <c r="B4025" s="4">
        <v>1178.23</v>
      </c>
    </row>
    <row r="4026" spans="1:2">
      <c r="A4026" s="3">
        <v>42228</v>
      </c>
      <c r="B4026" s="4">
        <v>1172.58</v>
      </c>
    </row>
    <row r="4027" spans="1:2">
      <c r="A4027" s="3">
        <v>42229</v>
      </c>
      <c r="B4027" s="4">
        <v>1177.51</v>
      </c>
    </row>
    <row r="4028" spans="1:2">
      <c r="A4028" s="3">
        <v>42230</v>
      </c>
      <c r="B4028" s="4">
        <v>1178.33</v>
      </c>
    </row>
    <row r="4029" spans="1:2">
      <c r="A4029" s="3">
        <v>42233</v>
      </c>
      <c r="B4029" s="4">
        <v>1182.3599999999999</v>
      </c>
    </row>
    <row r="4030" spans="1:2">
      <c r="A4030" s="3">
        <v>42234</v>
      </c>
      <c r="B4030" s="4">
        <v>1185.07</v>
      </c>
    </row>
    <row r="4031" spans="1:2">
      <c r="A4031" s="3">
        <v>42235</v>
      </c>
      <c r="B4031" s="4">
        <v>1183.1600000000001</v>
      </c>
    </row>
    <row r="4032" spans="1:2">
      <c r="A4032" s="3">
        <v>42236</v>
      </c>
      <c r="B4032" s="4">
        <v>1183.93</v>
      </c>
    </row>
    <row r="4033" spans="1:2">
      <c r="A4033" s="3">
        <v>42237</v>
      </c>
      <c r="B4033" s="4">
        <v>1194.8499999999999</v>
      </c>
    </row>
    <row r="4034" spans="1:2">
      <c r="A4034" s="3">
        <v>42240</v>
      </c>
      <c r="B4034" s="4">
        <v>1189.94</v>
      </c>
    </row>
    <row r="4035" spans="1:2">
      <c r="A4035" s="3">
        <v>42241</v>
      </c>
      <c r="B4035" s="4">
        <v>1189.95</v>
      </c>
    </row>
    <row r="4036" spans="1:2">
      <c r="A4036" s="3">
        <v>42242</v>
      </c>
      <c r="B4036" s="4">
        <v>1182.2</v>
      </c>
    </row>
    <row r="4037" spans="1:2">
      <c r="A4037" s="3">
        <v>42243</v>
      </c>
      <c r="B4037" s="4">
        <v>1173.1300000000001</v>
      </c>
    </row>
    <row r="4038" spans="1:2">
      <c r="A4038" s="3">
        <v>42244</v>
      </c>
      <c r="B4038" s="4">
        <v>1178.8699999999999</v>
      </c>
    </row>
    <row r="4039" spans="1:2">
      <c r="A4039" s="3">
        <v>42247</v>
      </c>
      <c r="B4039" s="4">
        <v>1181.82</v>
      </c>
    </row>
    <row r="4040" spans="1:2">
      <c r="A4040" s="3">
        <v>42248</v>
      </c>
      <c r="B4040" s="4">
        <v>1179.05</v>
      </c>
    </row>
    <row r="4041" spans="1:2">
      <c r="A4041" s="3">
        <v>42249</v>
      </c>
      <c r="B4041" s="4">
        <v>1183.08</v>
      </c>
    </row>
    <row r="4042" spans="1:2">
      <c r="A4042" s="3">
        <v>42250</v>
      </c>
      <c r="B4042" s="4">
        <v>1190.04</v>
      </c>
    </row>
    <row r="4043" spans="1:2">
      <c r="A4043" s="3">
        <v>42251</v>
      </c>
      <c r="B4043" s="4">
        <v>1200.33</v>
      </c>
    </row>
    <row r="4044" spans="1:2">
      <c r="A4044" s="3">
        <v>42254</v>
      </c>
      <c r="B4044" s="4">
        <v>1202.4000000000001</v>
      </c>
    </row>
    <row r="4045" spans="1:2">
      <c r="A4045" s="3">
        <v>42255</v>
      </c>
      <c r="B4045" s="4">
        <v>1193.96</v>
      </c>
    </row>
    <row r="4046" spans="1:2">
      <c r="A4046" s="3">
        <v>42256</v>
      </c>
      <c r="B4046" s="4">
        <v>1190.51</v>
      </c>
    </row>
    <row r="4047" spans="1:2">
      <c r="A4047" s="3">
        <v>42257</v>
      </c>
      <c r="B4047" s="4">
        <v>1181.93</v>
      </c>
    </row>
    <row r="4048" spans="1:2">
      <c r="A4048" s="3">
        <v>42258</v>
      </c>
      <c r="B4048" s="4">
        <v>1181.69</v>
      </c>
    </row>
    <row r="4049" spans="1:2">
      <c r="A4049" s="3">
        <v>42261</v>
      </c>
      <c r="B4049" s="4">
        <v>1181.83</v>
      </c>
    </row>
    <row r="4050" spans="1:2">
      <c r="A4050" s="3">
        <v>42262</v>
      </c>
      <c r="B4050" s="4">
        <v>1178.1300000000001</v>
      </c>
    </row>
    <row r="4051" spans="1:2">
      <c r="A4051" s="3">
        <v>42263</v>
      </c>
      <c r="B4051" s="4">
        <v>1169.22</v>
      </c>
    </row>
    <row r="4052" spans="1:2">
      <c r="A4052" s="3">
        <v>42264</v>
      </c>
      <c r="B4052" s="4">
        <v>1165.8900000000001</v>
      </c>
    </row>
    <row r="4053" spans="1:2">
      <c r="A4053" s="3">
        <v>42265</v>
      </c>
      <c r="B4053" s="4">
        <v>1172.04</v>
      </c>
    </row>
    <row r="4054" spans="1:2">
      <c r="A4054" s="3">
        <v>42268</v>
      </c>
      <c r="B4054" s="4">
        <v>1177.45</v>
      </c>
    </row>
    <row r="4055" spans="1:2">
      <c r="A4055" s="3">
        <v>42269</v>
      </c>
      <c r="B4055" s="4">
        <v>1184.56</v>
      </c>
    </row>
    <row r="4056" spans="1:2">
      <c r="A4056" s="3">
        <v>42270</v>
      </c>
      <c r="B4056" s="4">
        <v>1193.94</v>
      </c>
    </row>
    <row r="4057" spans="1:2">
      <c r="A4057" s="3">
        <v>42271</v>
      </c>
      <c r="B4057" s="4">
        <v>1190.1400000000001</v>
      </c>
    </row>
    <row r="4058" spans="1:2">
      <c r="A4058" s="3">
        <v>42272</v>
      </c>
      <c r="B4058" s="4">
        <v>1192.07</v>
      </c>
    </row>
    <row r="4059" spans="1:2">
      <c r="A4059" s="3">
        <v>42275</v>
      </c>
      <c r="B4059" s="4">
        <v>1195.04</v>
      </c>
    </row>
    <row r="4060" spans="1:2">
      <c r="A4060" s="3">
        <v>42276</v>
      </c>
      <c r="B4060" s="4">
        <v>1195.02</v>
      </c>
    </row>
    <row r="4061" spans="1:2">
      <c r="A4061" s="3">
        <v>42277</v>
      </c>
      <c r="B4061" s="4">
        <v>1184.44</v>
      </c>
    </row>
    <row r="4062" spans="1:2">
      <c r="A4062" s="3">
        <v>42278</v>
      </c>
      <c r="B4062" s="4">
        <v>1177.71</v>
      </c>
    </row>
    <row r="4063" spans="1:2">
      <c r="A4063" s="3">
        <v>42279</v>
      </c>
      <c r="B4063" s="4">
        <v>1172.0999999999999</v>
      </c>
    </row>
    <row r="4064" spans="1:2">
      <c r="A4064" s="3">
        <v>42282</v>
      </c>
      <c r="B4064" s="4">
        <v>1160.01</v>
      </c>
    </row>
    <row r="4065" spans="1:2">
      <c r="A4065" s="3">
        <v>42283</v>
      </c>
      <c r="B4065" s="4">
        <v>1160.58</v>
      </c>
    </row>
    <row r="4066" spans="1:2">
      <c r="A4066" s="3">
        <v>42284</v>
      </c>
      <c r="B4066" s="4">
        <v>1157.81</v>
      </c>
    </row>
    <row r="4067" spans="1:2">
      <c r="A4067" s="3">
        <v>42285</v>
      </c>
      <c r="B4067" s="4">
        <v>1151.98</v>
      </c>
    </row>
    <row r="4068" spans="1:2">
      <c r="A4068" s="3">
        <v>42286</v>
      </c>
      <c r="B4068" s="4">
        <v>1147.05</v>
      </c>
    </row>
    <row r="4069" spans="1:2">
      <c r="A4069" s="3">
        <v>42289</v>
      </c>
      <c r="B4069" s="4">
        <v>1143.1600000000001</v>
      </c>
    </row>
    <row r="4070" spans="1:2">
      <c r="A4070" s="3">
        <v>42290</v>
      </c>
      <c r="B4070" s="4">
        <v>1149.29</v>
      </c>
    </row>
    <row r="4071" spans="1:2">
      <c r="A4071" s="3">
        <v>42291</v>
      </c>
      <c r="B4071" s="4">
        <v>1136.01</v>
      </c>
    </row>
    <row r="4072" spans="1:2">
      <c r="A4072" s="3">
        <v>42292</v>
      </c>
      <c r="B4072" s="4">
        <v>1122.04</v>
      </c>
    </row>
    <row r="4073" spans="1:2">
      <c r="A4073" s="3">
        <v>42293</v>
      </c>
      <c r="B4073" s="4">
        <v>1130.44</v>
      </c>
    </row>
    <row r="4074" spans="1:2">
      <c r="A4074" s="3">
        <v>42296</v>
      </c>
      <c r="B4074" s="4">
        <v>1131.06</v>
      </c>
    </row>
    <row r="4075" spans="1:2">
      <c r="A4075" s="3">
        <v>42297</v>
      </c>
      <c r="B4075" s="4">
        <v>1130.49</v>
      </c>
    </row>
    <row r="4076" spans="1:2">
      <c r="A4076" s="3">
        <v>42298</v>
      </c>
      <c r="B4076" s="4">
        <v>1139.07</v>
      </c>
    </row>
    <row r="4077" spans="1:2">
      <c r="A4077" s="3">
        <v>42299</v>
      </c>
      <c r="B4077" s="4">
        <v>1129.3599999999999</v>
      </c>
    </row>
    <row r="4078" spans="1:2">
      <c r="A4078" s="3">
        <v>42300</v>
      </c>
      <c r="B4078" s="4">
        <v>1135.01</v>
      </c>
    </row>
    <row r="4079" spans="1:2">
      <c r="A4079" s="3">
        <v>42303</v>
      </c>
      <c r="B4079" s="4">
        <v>1128.6300000000001</v>
      </c>
    </row>
    <row r="4080" spans="1:2">
      <c r="A4080" s="3">
        <v>42304</v>
      </c>
      <c r="B4080" s="4">
        <v>1135.1400000000001</v>
      </c>
    </row>
    <row r="4081" spans="1:2">
      <c r="A4081" s="3">
        <v>42305</v>
      </c>
      <c r="B4081" s="4">
        <v>1145.03</v>
      </c>
    </row>
    <row r="4082" spans="1:2">
      <c r="A4082" s="3">
        <v>42306</v>
      </c>
      <c r="B4082" s="4">
        <v>1141.19</v>
      </c>
    </row>
    <row r="4083" spans="1:2">
      <c r="A4083" s="3">
        <v>42307</v>
      </c>
      <c r="B4083" s="4">
        <v>1140.1600000000001</v>
      </c>
    </row>
    <row r="4084" spans="1:2">
      <c r="A4084" s="3">
        <v>42310</v>
      </c>
      <c r="B4084" s="4">
        <v>1137.3800000000001</v>
      </c>
    </row>
    <row r="4085" spans="1:2">
      <c r="A4085" s="3">
        <v>42311</v>
      </c>
      <c r="B4085" s="4">
        <v>1128.9100000000001</v>
      </c>
    </row>
    <row r="4086" spans="1:2">
      <c r="A4086" s="3">
        <v>42312</v>
      </c>
      <c r="B4086" s="4">
        <v>1134.25</v>
      </c>
    </row>
    <row r="4087" spans="1:2">
      <c r="A4087" s="3">
        <v>42313</v>
      </c>
      <c r="B4087" s="4">
        <v>1136.9100000000001</v>
      </c>
    </row>
    <row r="4088" spans="1:2">
      <c r="A4088" s="3">
        <v>42314</v>
      </c>
      <c r="B4088" s="4">
        <v>1151.78</v>
      </c>
    </row>
    <row r="4089" spans="1:2">
      <c r="A4089" s="3">
        <v>42317</v>
      </c>
      <c r="B4089" s="4">
        <v>1157.79</v>
      </c>
    </row>
    <row r="4090" spans="1:2">
      <c r="A4090" s="3">
        <v>42318</v>
      </c>
      <c r="B4090" s="4">
        <v>1157.93</v>
      </c>
    </row>
    <row r="4091" spans="1:2">
      <c r="A4091" s="3">
        <v>42319</v>
      </c>
      <c r="B4091" s="4">
        <v>1154.23</v>
      </c>
    </row>
    <row r="4092" spans="1:2">
      <c r="A4092" s="3">
        <v>42320</v>
      </c>
      <c r="B4092" s="4">
        <v>1158.28</v>
      </c>
    </row>
    <row r="4093" spans="1:2">
      <c r="A4093" s="3">
        <v>42321</v>
      </c>
      <c r="B4093" s="4">
        <v>1169.73</v>
      </c>
    </row>
    <row r="4094" spans="1:2">
      <c r="A4094" s="3">
        <v>42324</v>
      </c>
      <c r="B4094" s="4">
        <v>1168.6400000000001</v>
      </c>
    </row>
    <row r="4095" spans="1:2">
      <c r="A4095" s="3">
        <v>42325</v>
      </c>
      <c r="B4095" s="4">
        <v>1168.77</v>
      </c>
    </row>
    <row r="4096" spans="1:2">
      <c r="A4096" s="3">
        <v>42326</v>
      </c>
      <c r="B4096" s="4">
        <v>1165.45</v>
      </c>
    </row>
    <row r="4097" spans="1:2">
      <c r="A4097" s="3">
        <v>42327</v>
      </c>
      <c r="B4097" s="4">
        <v>1154.6600000000001</v>
      </c>
    </row>
    <row r="4098" spans="1:2">
      <c r="A4098" s="3">
        <v>42328</v>
      </c>
      <c r="B4098" s="4">
        <v>1153.6199999999999</v>
      </c>
    </row>
    <row r="4099" spans="1:2">
      <c r="A4099" s="3">
        <v>42331</v>
      </c>
      <c r="B4099" s="4">
        <v>1157.8599999999999</v>
      </c>
    </row>
    <row r="4100" spans="1:2">
      <c r="A4100" s="3">
        <v>42332</v>
      </c>
      <c r="B4100" s="4">
        <v>1145.72</v>
      </c>
    </row>
    <row r="4101" spans="1:2">
      <c r="A4101" s="3">
        <v>42333</v>
      </c>
      <c r="B4101" s="4">
        <v>1143.21</v>
      </c>
    </row>
    <row r="4102" spans="1:2">
      <c r="A4102" s="3">
        <v>42334</v>
      </c>
      <c r="B4102" s="4">
        <v>1147.8800000000001</v>
      </c>
    </row>
    <row r="4103" spans="1:2">
      <c r="A4103" s="3">
        <v>42335</v>
      </c>
      <c r="B4103" s="4">
        <v>1155.83</v>
      </c>
    </row>
    <row r="4104" spans="1:2">
      <c r="A4104" s="3">
        <v>42338</v>
      </c>
      <c r="B4104" s="4">
        <v>1159.6099999999999</v>
      </c>
    </row>
    <row r="4105" spans="1:2">
      <c r="A4105" s="3">
        <v>42339</v>
      </c>
      <c r="B4105" s="4">
        <v>1154.69</v>
      </c>
    </row>
    <row r="4106" spans="1:2">
      <c r="A4106" s="3">
        <v>42340</v>
      </c>
      <c r="B4106" s="4">
        <v>1162.01</v>
      </c>
    </row>
    <row r="4107" spans="1:2">
      <c r="A4107" s="3">
        <v>42341</v>
      </c>
      <c r="B4107" s="4">
        <v>1153.02</v>
      </c>
    </row>
    <row r="4108" spans="1:2">
      <c r="A4108" s="3">
        <v>42342</v>
      </c>
      <c r="B4108" s="4">
        <v>1162.6400000000001</v>
      </c>
    </row>
    <row r="4109" spans="1:2">
      <c r="A4109" s="3">
        <v>42345</v>
      </c>
      <c r="B4109" s="4">
        <v>1175.3499999999999</v>
      </c>
    </row>
    <row r="4110" spans="1:2">
      <c r="A4110" s="3">
        <v>42346</v>
      </c>
      <c r="B4110" s="4">
        <v>1179.49</v>
      </c>
    </row>
    <row r="4111" spans="1:2">
      <c r="A4111" s="3">
        <v>42347</v>
      </c>
      <c r="B4111" s="4">
        <v>1180.96</v>
      </c>
    </row>
    <row r="4112" spans="1:2">
      <c r="A4112" s="3">
        <v>42348</v>
      </c>
      <c r="B4112" s="4">
        <v>1178.06</v>
      </c>
    </row>
    <row r="4113" spans="1:2">
      <c r="A4113" s="3">
        <v>42349</v>
      </c>
      <c r="B4113" s="4">
        <v>1186.58</v>
      </c>
    </row>
    <row r="4114" spans="1:2">
      <c r="A4114" s="3">
        <v>42352</v>
      </c>
      <c r="B4114" s="4">
        <v>1183.32</v>
      </c>
    </row>
    <row r="4115" spans="1:2">
      <c r="A4115" s="3">
        <v>42353</v>
      </c>
      <c r="B4115" s="4">
        <v>1173.69</v>
      </c>
    </row>
    <row r="4116" spans="1:2">
      <c r="A4116" s="3">
        <v>42354</v>
      </c>
      <c r="B4116" s="4">
        <v>1171.22</v>
      </c>
    </row>
    <row r="4117" spans="1:2">
      <c r="A4117" s="3">
        <v>42355</v>
      </c>
      <c r="B4117" s="4">
        <v>1184.04</v>
      </c>
    </row>
    <row r="4118" spans="1:2">
      <c r="A4118" s="3">
        <v>42356</v>
      </c>
      <c r="B4118" s="4">
        <v>1181.43</v>
      </c>
    </row>
    <row r="4119" spans="1:2">
      <c r="A4119" s="3">
        <v>42359</v>
      </c>
      <c r="B4119" s="4">
        <v>1173.46</v>
      </c>
    </row>
    <row r="4120" spans="1:2">
      <c r="A4120" s="3">
        <v>42360</v>
      </c>
      <c r="B4120" s="4">
        <v>1170.72</v>
      </c>
    </row>
    <row r="4121" spans="1:2">
      <c r="A4121" s="3">
        <v>42361</v>
      </c>
      <c r="B4121" s="4">
        <v>1173.02</v>
      </c>
    </row>
    <row r="4122" spans="1:2">
      <c r="A4122" s="3">
        <v>42362</v>
      </c>
      <c r="B4122" s="4">
        <v>1169.03</v>
      </c>
    </row>
    <row r="4123" spans="1:2">
      <c r="A4123" s="3">
        <v>42363</v>
      </c>
      <c r="B4123" s="4">
        <v>1169.95</v>
      </c>
    </row>
    <row r="4124" spans="1:2">
      <c r="A4124" s="3">
        <v>42366</v>
      </c>
      <c r="B4124" s="4">
        <v>1167.8499999999999</v>
      </c>
    </row>
    <row r="4125" spans="1:2">
      <c r="A4125" s="3">
        <v>42367</v>
      </c>
      <c r="B4125" s="4">
        <v>1170.56</v>
      </c>
    </row>
    <row r="4126" spans="1:2">
      <c r="A4126" s="3">
        <v>42368</v>
      </c>
      <c r="B4126" s="4">
        <v>1176.51</v>
      </c>
    </row>
    <row r="4127" spans="1:2">
      <c r="A4127" s="3">
        <v>42369</v>
      </c>
      <c r="B4127" s="4">
        <v>1174.95</v>
      </c>
    </row>
    <row r="4128" spans="1:2">
      <c r="A4128" s="3">
        <v>42370</v>
      </c>
      <c r="B4128" s="4">
        <v>1174.45</v>
      </c>
    </row>
    <row r="4129" spans="1:2">
      <c r="A4129" s="3">
        <v>42373</v>
      </c>
      <c r="B4129" s="4">
        <v>1189.3499999999999</v>
      </c>
    </row>
    <row r="4130" spans="1:2">
      <c r="A4130" s="3">
        <v>42374</v>
      </c>
      <c r="B4130" s="4">
        <v>1189.81</v>
      </c>
    </row>
    <row r="4131" spans="1:2">
      <c r="A4131" s="3">
        <v>42375</v>
      </c>
      <c r="B4131" s="4">
        <v>1199.52</v>
      </c>
    </row>
    <row r="4132" spans="1:2">
      <c r="A4132" s="3">
        <v>42376</v>
      </c>
      <c r="B4132" s="4">
        <v>1196.29</v>
      </c>
    </row>
    <row r="4133" spans="1:2">
      <c r="A4133" s="3">
        <v>42377</v>
      </c>
      <c r="B4133" s="4">
        <v>1206.94</v>
      </c>
    </row>
    <row r="4134" spans="1:2">
      <c r="A4134" s="3">
        <v>42380</v>
      </c>
      <c r="B4134" s="4">
        <v>1203.76</v>
      </c>
    </row>
    <row r="4135" spans="1:2">
      <c r="A4135" s="3">
        <v>42381</v>
      </c>
      <c r="B4135" s="4">
        <v>1209.33</v>
      </c>
    </row>
    <row r="4136" spans="1:2">
      <c r="A4136" s="3">
        <v>42382</v>
      </c>
      <c r="B4136" s="4">
        <v>1209.24</v>
      </c>
    </row>
    <row r="4137" spans="1:2">
      <c r="A4137" s="3">
        <v>42383</v>
      </c>
      <c r="B4137" s="4">
        <v>1206.74</v>
      </c>
    </row>
    <row r="4138" spans="1:2">
      <c r="A4138" s="3">
        <v>42384</v>
      </c>
      <c r="B4138" s="4">
        <v>1213.81</v>
      </c>
    </row>
    <row r="4139" spans="1:2">
      <c r="A4139" s="3">
        <v>42387</v>
      </c>
      <c r="B4139" s="4">
        <v>1210.57</v>
      </c>
    </row>
    <row r="4140" spans="1:2">
      <c r="A4140" s="3">
        <v>42388</v>
      </c>
      <c r="B4140" s="4">
        <v>1206.49</v>
      </c>
    </row>
    <row r="4141" spans="1:2">
      <c r="A4141" s="3">
        <v>42389</v>
      </c>
      <c r="B4141" s="4">
        <v>1208.25</v>
      </c>
    </row>
    <row r="4142" spans="1:2">
      <c r="A4142" s="3">
        <v>42390</v>
      </c>
      <c r="B4142" s="4">
        <v>1203.55</v>
      </c>
    </row>
    <row r="4143" spans="1:2">
      <c r="A4143" s="3">
        <v>42391</v>
      </c>
      <c r="B4143" s="4">
        <v>1196.57</v>
      </c>
    </row>
    <row r="4144" spans="1:2">
      <c r="A4144" s="3">
        <v>42394</v>
      </c>
      <c r="B4144" s="4">
        <v>1198.7</v>
      </c>
    </row>
    <row r="4145" spans="1:2">
      <c r="A4145" s="3">
        <v>42395</v>
      </c>
      <c r="B4145" s="4">
        <v>1197.2</v>
      </c>
    </row>
    <row r="4146" spans="1:2">
      <c r="A4146" s="3">
        <v>42396</v>
      </c>
      <c r="B4146" s="4">
        <v>1207.79</v>
      </c>
    </row>
    <row r="4147" spans="1:2">
      <c r="A4147" s="3">
        <v>42397</v>
      </c>
      <c r="B4147" s="4">
        <v>1206.74</v>
      </c>
    </row>
    <row r="4148" spans="1:2">
      <c r="A4148" s="3">
        <v>42398</v>
      </c>
      <c r="B4148" s="4">
        <v>1207.1099999999999</v>
      </c>
    </row>
    <row r="4149" spans="1:2">
      <c r="A4149" s="3">
        <v>42401</v>
      </c>
      <c r="B4149" s="4">
        <v>1201.79</v>
      </c>
    </row>
    <row r="4150" spans="1:2">
      <c r="A4150" s="3">
        <v>42402</v>
      </c>
      <c r="B4150" s="4">
        <v>1211.48</v>
      </c>
    </row>
    <row r="4151" spans="1:2">
      <c r="A4151" s="3">
        <v>42403</v>
      </c>
      <c r="B4151" s="4">
        <v>1199.79</v>
      </c>
    </row>
    <row r="4152" spans="1:2">
      <c r="A4152" s="3">
        <v>42404</v>
      </c>
      <c r="B4152" s="4">
        <v>1190.5899999999999</v>
      </c>
    </row>
    <row r="4153" spans="1:2">
      <c r="A4153" s="3">
        <v>42405</v>
      </c>
      <c r="B4153" s="4">
        <v>1204.99</v>
      </c>
    </row>
    <row r="4154" spans="1:2">
      <c r="A4154" s="3">
        <v>42408</v>
      </c>
      <c r="B4154" s="4">
        <v>1202.69</v>
      </c>
    </row>
    <row r="4155" spans="1:2">
      <c r="A4155" s="3">
        <v>42409</v>
      </c>
      <c r="B4155" s="4">
        <v>1197.3900000000001</v>
      </c>
    </row>
    <row r="4156" spans="1:2">
      <c r="A4156" s="3">
        <v>42410</v>
      </c>
      <c r="B4156" s="4">
        <v>1187.69</v>
      </c>
    </row>
    <row r="4157" spans="1:2">
      <c r="A4157" s="3">
        <v>42411</v>
      </c>
      <c r="B4157" s="4">
        <v>1199.6500000000001</v>
      </c>
    </row>
    <row r="4158" spans="1:2">
      <c r="A4158" s="3">
        <v>42412</v>
      </c>
      <c r="B4158" s="4">
        <v>1206</v>
      </c>
    </row>
    <row r="4159" spans="1:2">
      <c r="A4159" s="3">
        <v>42415</v>
      </c>
      <c r="B4159" s="4">
        <v>1213.3900000000001</v>
      </c>
    </row>
    <row r="4160" spans="1:2">
      <c r="A4160" s="3">
        <v>42416</v>
      </c>
      <c r="B4160" s="4">
        <v>1217.9100000000001</v>
      </c>
    </row>
    <row r="4161" spans="1:2">
      <c r="A4161" s="3">
        <v>42417</v>
      </c>
      <c r="B4161" s="4">
        <v>1222.8900000000001</v>
      </c>
    </row>
    <row r="4162" spans="1:2">
      <c r="A4162" s="3">
        <v>42418</v>
      </c>
      <c r="B4162" s="4">
        <v>1227.5899999999999</v>
      </c>
    </row>
    <row r="4163" spans="1:2">
      <c r="A4163" s="3">
        <v>42419</v>
      </c>
      <c r="B4163" s="4">
        <v>1232.8699999999999</v>
      </c>
    </row>
    <row r="4164" spans="1:2">
      <c r="A4164" s="3">
        <v>42422</v>
      </c>
      <c r="B4164" s="4">
        <v>1223.0899999999999</v>
      </c>
    </row>
    <row r="4165" spans="1:2">
      <c r="A4165" s="3">
        <v>42423</v>
      </c>
      <c r="B4165" s="4">
        <v>1231.04</v>
      </c>
    </row>
    <row r="4166" spans="1:2">
      <c r="A4166" s="3">
        <v>42424</v>
      </c>
      <c r="B4166" s="4">
        <v>1231.71</v>
      </c>
    </row>
    <row r="4167" spans="1:2">
      <c r="A4167" s="3">
        <v>42425</v>
      </c>
      <c r="B4167" s="4">
        <v>1233.8900000000001</v>
      </c>
    </row>
    <row r="4168" spans="1:2">
      <c r="A4168" s="3">
        <v>42426</v>
      </c>
      <c r="B4168" s="4">
        <v>1242.1300000000001</v>
      </c>
    </row>
    <row r="4169" spans="1:2">
      <c r="A4169" s="3">
        <v>42429</v>
      </c>
      <c r="B4169" s="4">
        <v>1237.24</v>
      </c>
    </row>
    <row r="4170" spans="1:2">
      <c r="A4170" s="3">
        <v>42430</v>
      </c>
      <c r="B4170" s="4">
        <v>1227.99</v>
      </c>
    </row>
    <row r="4171" spans="1:2">
      <c r="A4171" s="3">
        <v>42431</v>
      </c>
      <c r="B4171" s="4">
        <v>1223.69</v>
      </c>
    </row>
    <row r="4172" spans="1:2">
      <c r="A4172" s="3">
        <v>42432</v>
      </c>
      <c r="B4172" s="4">
        <v>1211.07</v>
      </c>
    </row>
    <row r="4173" spans="1:2">
      <c r="A4173" s="3">
        <v>42433</v>
      </c>
      <c r="B4173" s="4">
        <v>1198</v>
      </c>
    </row>
    <row r="4174" spans="1:2">
      <c r="A4174" s="3">
        <v>42436</v>
      </c>
      <c r="B4174" s="4">
        <v>1198.49</v>
      </c>
    </row>
    <row r="4175" spans="1:2">
      <c r="A4175" s="3">
        <v>42437</v>
      </c>
      <c r="B4175" s="4">
        <v>1208.8900000000001</v>
      </c>
    </row>
    <row r="4176" spans="1:2">
      <c r="A4176" s="3">
        <v>42438</v>
      </c>
      <c r="B4176" s="4">
        <v>1208.49</v>
      </c>
    </row>
    <row r="4177" spans="1:2">
      <c r="A4177" s="3">
        <v>42439</v>
      </c>
      <c r="B4177" s="4">
        <v>1204.0899999999999</v>
      </c>
    </row>
    <row r="4178" spans="1:2">
      <c r="A4178" s="3">
        <v>42440</v>
      </c>
      <c r="B4178" s="4">
        <v>1186.9000000000001</v>
      </c>
    </row>
    <row r="4179" spans="1:2">
      <c r="A4179" s="3">
        <v>42443</v>
      </c>
      <c r="B4179" s="4">
        <v>1187.69</v>
      </c>
    </row>
    <row r="4180" spans="1:2">
      <c r="A4180" s="3">
        <v>42444</v>
      </c>
      <c r="B4180" s="4">
        <v>1193.5899999999999</v>
      </c>
    </row>
    <row r="4181" spans="1:2">
      <c r="A4181" s="3">
        <v>42445</v>
      </c>
      <c r="B4181" s="4">
        <v>1177.5899999999999</v>
      </c>
    </row>
    <row r="4182" spans="1:2">
      <c r="A4182" s="3">
        <v>42446</v>
      </c>
      <c r="B4182" s="4">
        <v>1153.5899999999999</v>
      </c>
    </row>
    <row r="4183" spans="1:2">
      <c r="A4183" s="3">
        <v>42447</v>
      </c>
      <c r="B4183" s="4">
        <v>1163.3</v>
      </c>
    </row>
    <row r="4184" spans="1:2">
      <c r="A4184" s="3">
        <v>42450</v>
      </c>
      <c r="B4184" s="4">
        <v>1159.99</v>
      </c>
    </row>
    <row r="4185" spans="1:2">
      <c r="A4185" s="3">
        <v>42451</v>
      </c>
      <c r="B4185" s="4">
        <v>1156.27</v>
      </c>
    </row>
    <row r="4186" spans="1:2">
      <c r="A4186" s="3">
        <v>42452</v>
      </c>
      <c r="B4186" s="4">
        <v>1167.49</v>
      </c>
    </row>
    <row r="4187" spans="1:2">
      <c r="A4187" s="3">
        <v>42453</v>
      </c>
      <c r="B4187" s="4">
        <v>1167.19</v>
      </c>
    </row>
    <row r="4188" spans="1:2">
      <c r="A4188" s="3">
        <v>42454</v>
      </c>
      <c r="B4188" s="4">
        <v>1167.69</v>
      </c>
    </row>
    <row r="4189" spans="1:2">
      <c r="A4189" s="3">
        <v>42457</v>
      </c>
      <c r="B4189" s="4">
        <v>1164.69</v>
      </c>
    </row>
    <row r="4190" spans="1:2">
      <c r="A4190" s="3">
        <v>42458</v>
      </c>
      <c r="B4190" s="4">
        <v>1154.3900000000001</v>
      </c>
    </row>
    <row r="4191" spans="1:2">
      <c r="A4191" s="3">
        <v>42459</v>
      </c>
      <c r="B4191" s="4">
        <v>1142.95</v>
      </c>
    </row>
    <row r="4192" spans="1:2">
      <c r="A4192" s="3">
        <v>42460</v>
      </c>
      <c r="B4192" s="4">
        <v>1143.97</v>
      </c>
    </row>
    <row r="4193" spans="1:2">
      <c r="A4193" s="3">
        <v>42461</v>
      </c>
      <c r="B4193" s="4">
        <v>1146.5899999999999</v>
      </c>
    </row>
    <row r="4194" spans="1:2">
      <c r="A4194" s="3">
        <v>42464</v>
      </c>
      <c r="B4194" s="4">
        <v>1151.1600000000001</v>
      </c>
    </row>
    <row r="4195" spans="1:2">
      <c r="A4195" s="3">
        <v>42465</v>
      </c>
      <c r="B4195" s="4">
        <v>1159.81</v>
      </c>
    </row>
    <row r="4196" spans="1:2">
      <c r="A4196" s="3">
        <v>42466</v>
      </c>
      <c r="B4196" s="4">
        <v>1154.8399999999999</v>
      </c>
    </row>
    <row r="4197" spans="1:2">
      <c r="A4197" s="3">
        <v>42467</v>
      </c>
      <c r="B4197" s="4">
        <v>1159.49</v>
      </c>
    </row>
    <row r="4198" spans="1:2">
      <c r="A4198" s="3">
        <v>42468</v>
      </c>
      <c r="B4198" s="4">
        <v>1150.29</v>
      </c>
    </row>
    <row r="4199" spans="1:2">
      <c r="A4199" s="3">
        <v>42471</v>
      </c>
      <c r="B4199" s="4">
        <v>1141.29</v>
      </c>
    </row>
    <row r="4200" spans="1:2">
      <c r="A4200" s="3">
        <v>42472</v>
      </c>
      <c r="B4200" s="4">
        <v>1142.8900000000001</v>
      </c>
    </row>
    <row r="4201" spans="1:2">
      <c r="A4201" s="3">
        <v>42473</v>
      </c>
      <c r="B4201" s="4">
        <v>1144.8900000000001</v>
      </c>
    </row>
    <row r="4202" spans="1:2">
      <c r="A4202" s="3">
        <v>42474</v>
      </c>
      <c r="B4202" s="4">
        <v>1152.3900000000001</v>
      </c>
    </row>
    <row r="4203" spans="1:2">
      <c r="A4203" s="3">
        <v>42475</v>
      </c>
      <c r="B4203" s="4">
        <v>1145.69</v>
      </c>
    </row>
    <row r="4204" spans="1:2">
      <c r="A4204" s="3">
        <v>42478</v>
      </c>
      <c r="B4204" s="4">
        <v>1143.3800000000001</v>
      </c>
    </row>
    <row r="4205" spans="1:2">
      <c r="A4205" s="3">
        <v>42479</v>
      </c>
      <c r="B4205" s="4">
        <v>1127.69</v>
      </c>
    </row>
    <row r="4206" spans="1:2">
      <c r="A4206" s="3">
        <v>42480</v>
      </c>
      <c r="B4206" s="4">
        <v>1132.3900000000001</v>
      </c>
    </row>
    <row r="4207" spans="1:2">
      <c r="A4207" s="3">
        <v>42481</v>
      </c>
      <c r="B4207" s="4">
        <v>1140.0899999999999</v>
      </c>
    </row>
    <row r="4208" spans="1:2">
      <c r="A4208" s="3">
        <v>42482</v>
      </c>
      <c r="B4208" s="4">
        <v>1148.69</v>
      </c>
    </row>
    <row r="4209" spans="1:2">
      <c r="A4209" s="3">
        <v>42485</v>
      </c>
      <c r="B4209" s="4">
        <v>1150.21</v>
      </c>
    </row>
    <row r="4210" spans="1:2">
      <c r="A4210" s="3">
        <v>42486</v>
      </c>
      <c r="B4210" s="4">
        <v>1146.9000000000001</v>
      </c>
    </row>
    <row r="4211" spans="1:2">
      <c r="A4211" s="3">
        <v>42487</v>
      </c>
      <c r="B4211" s="4">
        <v>1148.01</v>
      </c>
    </row>
    <row r="4212" spans="1:2">
      <c r="A4212" s="3">
        <v>42488</v>
      </c>
      <c r="B4212" s="4">
        <v>1136.29</v>
      </c>
    </row>
    <row r="4213" spans="1:2">
      <c r="A4213" s="3">
        <v>42489</v>
      </c>
      <c r="B4213" s="4">
        <v>1143.83</v>
      </c>
    </row>
    <row r="4214" spans="1:2">
      <c r="A4214" s="3">
        <v>42492</v>
      </c>
      <c r="B4214" s="4">
        <v>1135.79</v>
      </c>
    </row>
    <row r="4215" spans="1:2">
      <c r="A4215" s="3">
        <v>42493</v>
      </c>
      <c r="B4215" s="4">
        <v>1150.49</v>
      </c>
    </row>
    <row r="4216" spans="1:2">
      <c r="A4216" s="3">
        <v>42494</v>
      </c>
      <c r="B4216" s="4">
        <v>1165.79</v>
      </c>
    </row>
    <row r="4217" spans="1:2">
      <c r="A4217" s="3">
        <v>42495</v>
      </c>
      <c r="B4217" s="4">
        <v>1166.5899999999999</v>
      </c>
    </row>
    <row r="4218" spans="1:2">
      <c r="A4218" s="3">
        <v>42496</v>
      </c>
      <c r="B4218" s="4">
        <v>1168.3</v>
      </c>
    </row>
    <row r="4219" spans="1:2">
      <c r="A4219" s="3">
        <v>42499</v>
      </c>
      <c r="B4219" s="4">
        <v>1174.29</v>
      </c>
    </row>
    <row r="4220" spans="1:2">
      <c r="A4220" s="3">
        <v>42500</v>
      </c>
      <c r="B4220" s="4">
        <v>1169.5899999999999</v>
      </c>
    </row>
    <row r="4221" spans="1:2">
      <c r="A4221" s="3">
        <v>42501</v>
      </c>
      <c r="B4221" s="4">
        <v>1164.19</v>
      </c>
    </row>
    <row r="4222" spans="1:2">
      <c r="A4222" s="3">
        <v>42502</v>
      </c>
      <c r="B4222" s="4">
        <v>1169.19</v>
      </c>
    </row>
    <row r="4223" spans="1:2">
      <c r="A4223" s="3">
        <v>42503</v>
      </c>
      <c r="B4223" s="4">
        <v>1175.49</v>
      </c>
    </row>
    <row r="4224" spans="1:2">
      <c r="A4224" s="3">
        <v>42506</v>
      </c>
      <c r="B4224" s="4">
        <v>1177.2</v>
      </c>
    </row>
    <row r="4225" spans="1:2">
      <c r="A4225" s="3">
        <v>42507</v>
      </c>
      <c r="B4225" s="4">
        <v>1176.24</v>
      </c>
    </row>
    <row r="4226" spans="1:2">
      <c r="A4226" s="3">
        <v>42508</v>
      </c>
      <c r="B4226" s="4">
        <v>1188.19</v>
      </c>
    </row>
    <row r="4227" spans="1:2">
      <c r="A4227" s="3">
        <v>42509</v>
      </c>
      <c r="B4227" s="4">
        <v>1186.48</v>
      </c>
    </row>
    <row r="4228" spans="1:2">
      <c r="A4228" s="3">
        <v>42510</v>
      </c>
      <c r="B4228" s="4">
        <v>1185.2</v>
      </c>
    </row>
    <row r="4229" spans="1:2">
      <c r="A4229" s="3">
        <v>42513</v>
      </c>
      <c r="B4229" s="4">
        <v>1181.8900000000001</v>
      </c>
    </row>
    <row r="4230" spans="1:2">
      <c r="A4230" s="3">
        <v>42514</v>
      </c>
      <c r="B4230" s="4">
        <v>1186.8900000000001</v>
      </c>
    </row>
    <row r="4231" spans="1:2">
      <c r="A4231" s="3">
        <v>42515</v>
      </c>
      <c r="B4231" s="4">
        <v>1180.49</v>
      </c>
    </row>
    <row r="4232" spans="1:2">
      <c r="A4232" s="3">
        <v>42516</v>
      </c>
      <c r="B4232" s="4">
        <v>1178.69</v>
      </c>
    </row>
    <row r="4233" spans="1:2">
      <c r="A4233" s="3">
        <v>42517</v>
      </c>
      <c r="B4233" s="4">
        <v>1185.25</v>
      </c>
    </row>
    <row r="4234" spans="1:2">
      <c r="A4234" s="3">
        <v>42520</v>
      </c>
      <c r="B4234" s="4">
        <v>1191.99</v>
      </c>
    </row>
    <row r="4235" spans="1:2">
      <c r="A4235" s="3">
        <v>42521</v>
      </c>
      <c r="B4235" s="4">
        <v>1188.3900000000001</v>
      </c>
    </row>
    <row r="4236" spans="1:2">
      <c r="A4236" s="3">
        <v>42522</v>
      </c>
      <c r="B4236" s="4">
        <v>1191.3699999999999</v>
      </c>
    </row>
    <row r="4237" spans="1:2">
      <c r="A4237" s="3">
        <v>42523</v>
      </c>
      <c r="B4237" s="4">
        <v>1185.81</v>
      </c>
    </row>
    <row r="4238" spans="1:2">
      <c r="A4238" s="3">
        <v>42524</v>
      </c>
      <c r="B4238" s="4">
        <v>1162.19</v>
      </c>
    </row>
    <row r="4239" spans="1:2">
      <c r="A4239" s="3">
        <v>42527</v>
      </c>
      <c r="B4239" s="4">
        <v>1161.69</v>
      </c>
    </row>
    <row r="4240" spans="1:2">
      <c r="A4240" s="3">
        <v>42528</v>
      </c>
      <c r="B4240" s="4">
        <v>1154.99</v>
      </c>
    </row>
    <row r="4241" spans="1:2">
      <c r="A4241" s="3">
        <v>42529</v>
      </c>
      <c r="B4241" s="4">
        <v>1153.25</v>
      </c>
    </row>
    <row r="4242" spans="1:2">
      <c r="A4242" s="3">
        <v>42530</v>
      </c>
      <c r="B4242" s="4">
        <v>1157.99</v>
      </c>
    </row>
    <row r="4243" spans="1:2">
      <c r="A4243" s="3">
        <v>42531</v>
      </c>
      <c r="B4243" s="4">
        <v>1170.53</v>
      </c>
    </row>
    <row r="4244" spans="1:2">
      <c r="A4244" s="3">
        <v>42534</v>
      </c>
      <c r="B4244" s="4">
        <v>1171.44</v>
      </c>
    </row>
    <row r="4245" spans="1:2">
      <c r="A4245" s="3">
        <v>42535</v>
      </c>
      <c r="B4245" s="4">
        <v>1175.3499999999999</v>
      </c>
    </row>
    <row r="4246" spans="1:2">
      <c r="A4246" s="3">
        <v>42536</v>
      </c>
      <c r="B4246" s="4">
        <v>1167.79</v>
      </c>
    </row>
    <row r="4247" spans="1:2">
      <c r="A4247" s="3">
        <v>42537</v>
      </c>
      <c r="B4247" s="4">
        <v>1171.6500000000001</v>
      </c>
    </row>
    <row r="4248" spans="1:2">
      <c r="A4248" s="3">
        <v>42538</v>
      </c>
      <c r="B4248" s="4">
        <v>1169.46</v>
      </c>
    </row>
    <row r="4249" spans="1:2">
      <c r="A4249" s="3">
        <v>42541</v>
      </c>
      <c r="B4249" s="4">
        <v>1158.5899999999999</v>
      </c>
    </row>
    <row r="4250" spans="1:2">
      <c r="A4250" s="3">
        <v>42542</v>
      </c>
      <c r="B4250" s="4">
        <v>1152.19</v>
      </c>
    </row>
    <row r="4251" spans="1:2">
      <c r="A4251" s="3">
        <v>42543</v>
      </c>
      <c r="B4251" s="4">
        <v>1148.28</v>
      </c>
    </row>
    <row r="4252" spans="1:2">
      <c r="A4252" s="3">
        <v>42544</v>
      </c>
      <c r="B4252" s="4">
        <v>1140.75</v>
      </c>
    </row>
    <row r="4253" spans="1:2">
      <c r="A4253" s="3">
        <v>42545</v>
      </c>
      <c r="B4253" s="4">
        <v>1170.95</v>
      </c>
    </row>
    <row r="4254" spans="1:2">
      <c r="A4254" s="3">
        <v>42548</v>
      </c>
      <c r="B4254" s="4">
        <v>1179.19</v>
      </c>
    </row>
    <row r="4255" spans="1:2">
      <c r="A4255" s="3">
        <v>42549</v>
      </c>
      <c r="B4255" s="4">
        <v>1166.07</v>
      </c>
    </row>
    <row r="4256" spans="1:2">
      <c r="A4256" s="3">
        <v>42550</v>
      </c>
      <c r="B4256" s="4">
        <v>1153.32</v>
      </c>
    </row>
    <row r="4257" spans="1:2">
      <c r="A4257" s="3">
        <v>42551</v>
      </c>
      <c r="B4257" s="4">
        <v>1150.99</v>
      </c>
    </row>
    <row r="4258" spans="1:2">
      <c r="A4258" s="3">
        <v>42552</v>
      </c>
      <c r="B4258" s="4">
        <v>1149</v>
      </c>
    </row>
    <row r="4259" spans="1:2">
      <c r="A4259" s="3">
        <v>42555</v>
      </c>
      <c r="B4259" s="4">
        <v>1150.79</v>
      </c>
    </row>
    <row r="4260" spans="1:2">
      <c r="A4260" s="3">
        <v>42556</v>
      </c>
      <c r="B4260" s="4">
        <v>1158.05</v>
      </c>
    </row>
    <row r="4261" spans="1:2">
      <c r="A4261" s="3">
        <v>42557</v>
      </c>
      <c r="B4261" s="4">
        <v>1158.45</v>
      </c>
    </row>
    <row r="4262" spans="1:2">
      <c r="A4262" s="3">
        <v>42558</v>
      </c>
      <c r="B4262" s="4">
        <v>1157.25</v>
      </c>
    </row>
    <row r="4263" spans="1:2">
      <c r="A4263" s="3">
        <v>42559</v>
      </c>
      <c r="B4263" s="4">
        <v>1148.8</v>
      </c>
    </row>
    <row r="4264" spans="1:2">
      <c r="A4264" s="3">
        <v>42562</v>
      </c>
      <c r="B4264" s="4">
        <v>1149.98</v>
      </c>
    </row>
    <row r="4265" spans="1:2">
      <c r="A4265" s="3">
        <v>42563</v>
      </c>
      <c r="B4265" s="4">
        <v>1142.29</v>
      </c>
    </row>
    <row r="4266" spans="1:2">
      <c r="A4266" s="3">
        <v>42564</v>
      </c>
      <c r="B4266" s="4">
        <v>1144.8699999999999</v>
      </c>
    </row>
    <row r="4267" spans="1:2">
      <c r="A4267" s="3">
        <v>42565</v>
      </c>
      <c r="B4267" s="4">
        <v>1131.19</v>
      </c>
    </row>
    <row r="4268" spans="1:2">
      <c r="A4268" s="3">
        <v>42566</v>
      </c>
      <c r="B4268" s="4">
        <v>1138.3900000000001</v>
      </c>
    </row>
    <row r="4269" spans="1:2">
      <c r="A4269" s="3">
        <v>42569</v>
      </c>
      <c r="B4269" s="4">
        <v>1133.8900000000001</v>
      </c>
    </row>
    <row r="4270" spans="1:2">
      <c r="A4270" s="3">
        <v>42570</v>
      </c>
      <c r="B4270" s="4">
        <v>1140.29</v>
      </c>
    </row>
    <row r="4271" spans="1:2">
      <c r="A4271" s="3">
        <v>42571</v>
      </c>
      <c r="B4271" s="4">
        <v>1142.53</v>
      </c>
    </row>
    <row r="4272" spans="1:2">
      <c r="A4272" s="3">
        <v>42572</v>
      </c>
      <c r="B4272" s="4">
        <v>1137.01</v>
      </c>
    </row>
    <row r="4273" spans="1:2">
      <c r="A4273" s="3">
        <v>42573</v>
      </c>
      <c r="B4273" s="4">
        <v>1134.99</v>
      </c>
    </row>
    <row r="4274" spans="1:2">
      <c r="A4274" s="3">
        <v>42576</v>
      </c>
      <c r="B4274" s="4">
        <v>1141.0899999999999</v>
      </c>
    </row>
    <row r="4275" spans="1:2">
      <c r="A4275" s="3">
        <v>42577</v>
      </c>
      <c r="B4275" s="4">
        <v>1136.3900000000001</v>
      </c>
    </row>
    <row r="4276" spans="1:2">
      <c r="A4276" s="3">
        <v>42578</v>
      </c>
      <c r="B4276" s="4">
        <v>1130.6300000000001</v>
      </c>
    </row>
    <row r="4277" spans="1:2">
      <c r="A4277" s="3">
        <v>42579</v>
      </c>
      <c r="B4277" s="4">
        <v>1123.5999999999999</v>
      </c>
    </row>
    <row r="4278" spans="1:2">
      <c r="A4278" s="3">
        <v>42580</v>
      </c>
      <c r="B4278" s="4">
        <v>1110.8900000000001</v>
      </c>
    </row>
    <row r="4279" spans="1:2">
      <c r="A4279" s="3">
        <v>42583</v>
      </c>
      <c r="B4279" s="4">
        <v>1107.0899999999999</v>
      </c>
    </row>
    <row r="4280" spans="1:2">
      <c r="A4280" s="3">
        <v>42584</v>
      </c>
      <c r="B4280" s="4">
        <v>1110.75</v>
      </c>
    </row>
    <row r="4281" spans="1:2">
      <c r="A4281" s="3">
        <v>42585</v>
      </c>
      <c r="B4281" s="4">
        <v>1116</v>
      </c>
    </row>
    <row r="4282" spans="1:2">
      <c r="A4282" s="3">
        <v>42586</v>
      </c>
      <c r="B4282" s="4">
        <v>1112.5899999999999</v>
      </c>
    </row>
    <row r="4283" spans="1:2">
      <c r="A4283" s="3">
        <v>42587</v>
      </c>
      <c r="B4283" s="4">
        <v>1114.27</v>
      </c>
    </row>
    <row r="4284" spans="1:2">
      <c r="A4284" s="3">
        <v>42590</v>
      </c>
      <c r="B4284" s="4">
        <v>1106.55</v>
      </c>
    </row>
    <row r="4285" spans="1:2">
      <c r="A4285" s="3">
        <v>42591</v>
      </c>
      <c r="B4285" s="4">
        <v>1101.69</v>
      </c>
    </row>
    <row r="4286" spans="1:2">
      <c r="A4286" s="3">
        <v>42592</v>
      </c>
      <c r="B4286" s="4">
        <v>1095.0899999999999</v>
      </c>
    </row>
    <row r="4287" spans="1:2">
      <c r="A4287" s="3">
        <v>42593</v>
      </c>
      <c r="B4287" s="4">
        <v>1096.49</v>
      </c>
    </row>
    <row r="4288" spans="1:2">
      <c r="A4288" s="3">
        <v>42594</v>
      </c>
      <c r="B4288" s="4">
        <v>1102.19</v>
      </c>
    </row>
    <row r="4289" spans="1:2">
      <c r="A4289" s="3">
        <v>42597</v>
      </c>
      <c r="B4289" s="4">
        <v>1096.9100000000001</v>
      </c>
    </row>
    <row r="4290" spans="1:2">
      <c r="A4290" s="3">
        <v>42598</v>
      </c>
      <c r="B4290" s="4">
        <v>1094.8499999999999</v>
      </c>
    </row>
    <row r="4291" spans="1:2">
      <c r="A4291" s="3">
        <v>42599</v>
      </c>
      <c r="B4291" s="4">
        <v>1107.07</v>
      </c>
    </row>
    <row r="4292" spans="1:2">
      <c r="A4292" s="3">
        <v>42600</v>
      </c>
      <c r="B4292" s="4">
        <v>1107.1300000000001</v>
      </c>
    </row>
    <row r="4293" spans="1:2">
      <c r="A4293" s="3">
        <v>42601</v>
      </c>
      <c r="B4293" s="4">
        <v>1114.57</v>
      </c>
    </row>
    <row r="4294" spans="1:2">
      <c r="A4294" s="3">
        <v>42604</v>
      </c>
      <c r="B4294" s="4">
        <v>1122.73</v>
      </c>
    </row>
    <row r="4295" spans="1:2">
      <c r="A4295" s="3">
        <v>42605</v>
      </c>
      <c r="B4295" s="4">
        <v>1119.58</v>
      </c>
    </row>
    <row r="4296" spans="1:2">
      <c r="A4296" s="3">
        <v>42606</v>
      </c>
      <c r="B4296" s="4">
        <v>1120.3900000000001</v>
      </c>
    </row>
    <row r="4297" spans="1:2">
      <c r="A4297" s="3">
        <v>42607</v>
      </c>
      <c r="B4297" s="4">
        <v>1114.81</v>
      </c>
    </row>
    <row r="4298" spans="1:2">
      <c r="A4298" s="3">
        <v>42608</v>
      </c>
      <c r="B4298" s="4">
        <v>1121.51</v>
      </c>
    </row>
    <row r="4299" spans="1:2">
      <c r="A4299" s="3">
        <v>42611</v>
      </c>
      <c r="B4299" s="4">
        <v>1119.08</v>
      </c>
    </row>
    <row r="4300" spans="1:2">
      <c r="A4300" s="3">
        <v>42612</v>
      </c>
      <c r="B4300" s="4">
        <v>1119.23</v>
      </c>
    </row>
    <row r="4301" spans="1:2">
      <c r="A4301" s="3">
        <v>42613</v>
      </c>
      <c r="B4301" s="4">
        <v>1115.29</v>
      </c>
    </row>
    <row r="4302" spans="1:2">
      <c r="A4302" s="3">
        <v>42614</v>
      </c>
      <c r="B4302" s="4">
        <v>1117.0899999999999</v>
      </c>
    </row>
    <row r="4303" spans="1:2">
      <c r="A4303" s="3">
        <v>42615</v>
      </c>
      <c r="B4303" s="4">
        <v>1115.45</v>
      </c>
    </row>
    <row r="4304" spans="1:2">
      <c r="A4304" s="3">
        <v>42618</v>
      </c>
      <c r="B4304" s="4">
        <v>1103.55</v>
      </c>
    </row>
    <row r="4305" spans="1:2">
      <c r="A4305" s="3">
        <v>42619</v>
      </c>
      <c r="B4305" s="4">
        <v>1093.6300000000001</v>
      </c>
    </row>
    <row r="4306" spans="1:2">
      <c r="A4306" s="3">
        <v>42620</v>
      </c>
      <c r="B4306" s="4">
        <v>1089.7</v>
      </c>
    </row>
    <row r="4307" spans="1:2">
      <c r="A4307" s="3">
        <v>42621</v>
      </c>
      <c r="B4307" s="4">
        <v>1097.6300000000001</v>
      </c>
    </row>
    <row r="4308" spans="1:2">
      <c r="A4308" s="3">
        <v>42622</v>
      </c>
      <c r="B4308" s="4">
        <v>1107.73</v>
      </c>
    </row>
    <row r="4309" spans="1:2">
      <c r="A4309" s="3">
        <v>42625</v>
      </c>
      <c r="B4309" s="4">
        <v>1106.67</v>
      </c>
    </row>
    <row r="4310" spans="1:2">
      <c r="A4310" s="3">
        <v>42626</v>
      </c>
      <c r="B4310" s="4">
        <v>1127.1500000000001</v>
      </c>
    </row>
    <row r="4311" spans="1:2">
      <c r="A4311" s="3">
        <v>42627</v>
      </c>
      <c r="B4311" s="4">
        <v>1125.57</v>
      </c>
    </row>
    <row r="4312" spans="1:2">
      <c r="A4312" s="3">
        <v>42628</v>
      </c>
      <c r="B4312" s="4">
        <v>1123.8900000000001</v>
      </c>
    </row>
    <row r="4313" spans="1:2">
      <c r="A4313" s="3">
        <v>42629</v>
      </c>
      <c r="B4313" s="4">
        <v>1125.05</v>
      </c>
    </row>
    <row r="4314" spans="1:2">
      <c r="A4314" s="3">
        <v>42632</v>
      </c>
      <c r="B4314" s="4">
        <v>1118.45</v>
      </c>
    </row>
    <row r="4315" spans="1:2">
      <c r="A4315" s="3">
        <v>42633</v>
      </c>
      <c r="B4315" s="4">
        <v>1116.19</v>
      </c>
    </row>
    <row r="4316" spans="1:2">
      <c r="A4316" s="3">
        <v>42634</v>
      </c>
      <c r="B4316" s="4">
        <v>1102.83</v>
      </c>
    </row>
    <row r="4317" spans="1:2">
      <c r="A4317" s="3">
        <v>42635</v>
      </c>
      <c r="B4317" s="4">
        <v>1102.33</v>
      </c>
    </row>
    <row r="4318" spans="1:2">
      <c r="A4318" s="3">
        <v>42636</v>
      </c>
      <c r="B4318" s="4">
        <v>1103.01</v>
      </c>
    </row>
    <row r="4319" spans="1:2">
      <c r="A4319" s="3">
        <v>42639</v>
      </c>
      <c r="B4319" s="4">
        <v>1107.9100000000001</v>
      </c>
    </row>
    <row r="4320" spans="1:2">
      <c r="A4320" s="3">
        <v>42640</v>
      </c>
      <c r="B4320" s="4">
        <v>1095.93</v>
      </c>
    </row>
    <row r="4321" spans="1:2">
      <c r="A4321" s="3">
        <v>42641</v>
      </c>
      <c r="B4321" s="4">
        <v>1091.29</v>
      </c>
    </row>
    <row r="4322" spans="1:2">
      <c r="A4322" s="3">
        <v>42642</v>
      </c>
      <c r="B4322" s="4">
        <v>1101.67</v>
      </c>
    </row>
    <row r="4323" spans="1:2">
      <c r="A4323" s="3">
        <v>42643</v>
      </c>
      <c r="B4323" s="4">
        <v>1100.9100000000001</v>
      </c>
    </row>
    <row r="4324" spans="1:2">
      <c r="A4324" s="3">
        <v>42646</v>
      </c>
      <c r="B4324" s="4">
        <v>1103.1300000000001</v>
      </c>
    </row>
    <row r="4325" spans="1:2">
      <c r="A4325" s="3">
        <v>42647</v>
      </c>
      <c r="B4325" s="4">
        <v>1115.57</v>
      </c>
    </row>
    <row r="4326" spans="1:2">
      <c r="A4326" s="3">
        <v>42648</v>
      </c>
      <c r="B4326" s="4">
        <v>1114.01</v>
      </c>
    </row>
    <row r="4327" spans="1:2">
      <c r="A4327" s="3">
        <v>42649</v>
      </c>
      <c r="B4327" s="4">
        <v>1114.3499999999999</v>
      </c>
    </row>
    <row r="4328" spans="1:2">
      <c r="A4328" s="3">
        <v>42650</v>
      </c>
      <c r="B4328" s="4">
        <v>1114.75</v>
      </c>
    </row>
    <row r="4329" spans="1:2">
      <c r="A4329" s="3">
        <v>42653</v>
      </c>
      <c r="B4329" s="4">
        <v>1107.6300000000001</v>
      </c>
    </row>
    <row r="4330" spans="1:2">
      <c r="A4330" s="3">
        <v>42654</v>
      </c>
      <c r="B4330" s="4">
        <v>1123.99</v>
      </c>
    </row>
    <row r="4331" spans="1:2">
      <c r="A4331" s="3">
        <v>42655</v>
      </c>
      <c r="B4331" s="4">
        <v>1124.51</v>
      </c>
    </row>
    <row r="4332" spans="1:2">
      <c r="A4332" s="3">
        <v>42656</v>
      </c>
      <c r="B4332" s="4">
        <v>1128.69</v>
      </c>
    </row>
    <row r="4333" spans="1:2">
      <c r="A4333" s="3">
        <v>42657</v>
      </c>
      <c r="B4333" s="4">
        <v>1135.4100000000001</v>
      </c>
    </row>
    <row r="4334" spans="1:2">
      <c r="A4334" s="3">
        <v>42660</v>
      </c>
      <c r="B4334" s="4">
        <v>1135.55</v>
      </c>
    </row>
    <row r="4335" spans="1:2">
      <c r="A4335" s="3">
        <v>42661</v>
      </c>
      <c r="B4335" s="4">
        <v>1124.1300000000001</v>
      </c>
    </row>
    <row r="4336" spans="1:2">
      <c r="A4336" s="3">
        <v>42662</v>
      </c>
      <c r="B4336" s="4">
        <v>1119.3499999999999</v>
      </c>
    </row>
    <row r="4337" spans="1:2">
      <c r="A4337" s="3">
        <v>42663</v>
      </c>
      <c r="B4337" s="4">
        <v>1130.1300000000001</v>
      </c>
    </row>
    <row r="4338" spans="1:2">
      <c r="A4338" s="3">
        <v>42664</v>
      </c>
      <c r="B4338" s="4">
        <v>1135.21</v>
      </c>
    </row>
    <row r="4339" spans="1:2">
      <c r="A4339" s="3">
        <v>42667</v>
      </c>
      <c r="B4339" s="4">
        <v>1134.5899999999999</v>
      </c>
    </row>
    <row r="4340" spans="1:2">
      <c r="A4340" s="3">
        <v>42668</v>
      </c>
      <c r="B4340" s="4">
        <v>1129.23</v>
      </c>
    </row>
    <row r="4341" spans="1:2">
      <c r="A4341" s="3">
        <v>42669</v>
      </c>
      <c r="B4341" s="4">
        <v>1137.75</v>
      </c>
    </row>
    <row r="4342" spans="1:2">
      <c r="A4342" s="3">
        <v>42670</v>
      </c>
      <c r="B4342" s="4">
        <v>1146.4100000000001</v>
      </c>
    </row>
    <row r="4343" spans="1:2">
      <c r="A4343" s="3">
        <v>42671</v>
      </c>
      <c r="B4343" s="4">
        <v>1146.31</v>
      </c>
    </row>
    <row r="4344" spans="1:2">
      <c r="A4344" s="3">
        <v>42674</v>
      </c>
      <c r="B4344" s="4">
        <v>1141.73</v>
      </c>
    </row>
    <row r="4345" spans="1:2">
      <c r="A4345" s="3">
        <v>42675</v>
      </c>
      <c r="B4345" s="4">
        <v>1144.8499999999999</v>
      </c>
    </row>
    <row r="4346" spans="1:2">
      <c r="A4346" s="3">
        <v>42676</v>
      </c>
      <c r="B4346" s="4">
        <v>1144.05</v>
      </c>
    </row>
    <row r="4347" spans="1:2">
      <c r="A4347" s="3">
        <v>42677</v>
      </c>
      <c r="B4347" s="4">
        <v>1143.47</v>
      </c>
    </row>
    <row r="4348" spans="1:2">
      <c r="A4348" s="3">
        <v>42678</v>
      </c>
      <c r="B4348" s="4">
        <v>1140.45</v>
      </c>
    </row>
    <row r="4349" spans="1:2">
      <c r="A4349" s="3">
        <v>42681</v>
      </c>
      <c r="B4349" s="4">
        <v>1140.67</v>
      </c>
    </row>
    <row r="4350" spans="1:2">
      <c r="A4350" s="3">
        <v>42682</v>
      </c>
      <c r="B4350" s="4">
        <v>1127.93</v>
      </c>
    </row>
    <row r="4351" spans="1:2">
      <c r="A4351" s="3">
        <v>42683</v>
      </c>
      <c r="B4351" s="4">
        <v>1156.49</v>
      </c>
    </row>
    <row r="4352" spans="1:2">
      <c r="A4352" s="3">
        <v>42684</v>
      </c>
      <c r="B4352" s="4">
        <v>1165.3900000000001</v>
      </c>
    </row>
    <row r="4353" spans="1:2">
      <c r="A4353" s="3">
        <v>42685</v>
      </c>
      <c r="B4353" s="4">
        <v>1164.57</v>
      </c>
    </row>
    <row r="4354" spans="1:2">
      <c r="A4354" s="3">
        <v>42688</v>
      </c>
      <c r="B4354" s="4">
        <v>1167.9100000000001</v>
      </c>
    </row>
    <row r="4355" spans="1:2">
      <c r="A4355" s="3">
        <v>42689</v>
      </c>
      <c r="B4355" s="4">
        <v>1166.6300000000001</v>
      </c>
    </row>
    <row r="4356" spans="1:2">
      <c r="A4356" s="3">
        <v>42690</v>
      </c>
      <c r="B4356" s="4">
        <v>1169.69</v>
      </c>
    </row>
    <row r="4357" spans="1:2">
      <c r="A4357" s="3">
        <v>42691</v>
      </c>
      <c r="B4357" s="4">
        <v>1179.01</v>
      </c>
    </row>
    <row r="4358" spans="1:2">
      <c r="A4358" s="3">
        <v>42692</v>
      </c>
      <c r="B4358" s="4">
        <v>1180.07</v>
      </c>
    </row>
    <row r="4359" spans="1:2">
      <c r="A4359" s="3">
        <v>42695</v>
      </c>
      <c r="B4359" s="4">
        <v>1179.19</v>
      </c>
    </row>
    <row r="4360" spans="1:2">
      <c r="A4360" s="3">
        <v>42696</v>
      </c>
      <c r="B4360" s="4">
        <v>1169.07</v>
      </c>
    </row>
    <row r="4361" spans="1:2">
      <c r="A4361" s="3">
        <v>42697</v>
      </c>
      <c r="B4361" s="4">
        <v>1180.49</v>
      </c>
    </row>
    <row r="4362" spans="1:2">
      <c r="A4362" s="3">
        <v>42698</v>
      </c>
      <c r="B4362" s="4">
        <v>1181.1400000000001</v>
      </c>
    </row>
    <row r="4363" spans="1:2">
      <c r="A4363" s="3">
        <v>42699</v>
      </c>
      <c r="B4363" s="4">
        <v>1174.77</v>
      </c>
    </row>
    <row r="4364" spans="1:2">
      <c r="A4364" s="3">
        <v>42702</v>
      </c>
      <c r="B4364" s="4">
        <v>1170.8900000000001</v>
      </c>
    </row>
    <row r="4365" spans="1:2">
      <c r="A4365" s="3">
        <v>42703</v>
      </c>
      <c r="B4365" s="4">
        <v>1166.75</v>
      </c>
    </row>
    <row r="4366" spans="1:2">
      <c r="A4366" s="3">
        <v>42704</v>
      </c>
      <c r="B4366" s="4">
        <v>1176.3900000000001</v>
      </c>
    </row>
    <row r="4367" spans="1:2">
      <c r="A4367" s="3">
        <v>42705</v>
      </c>
      <c r="B4367" s="4">
        <v>1166.73</v>
      </c>
    </row>
    <row r="4368" spans="1:2">
      <c r="A4368" s="3">
        <v>42706</v>
      </c>
      <c r="B4368" s="4">
        <v>1166.31</v>
      </c>
    </row>
    <row r="4369" spans="1:2">
      <c r="A4369" s="3">
        <v>42709</v>
      </c>
      <c r="B4369" s="4">
        <v>1166.1500000000001</v>
      </c>
    </row>
    <row r="4370" spans="1:2">
      <c r="A4370" s="3">
        <v>42710</v>
      </c>
      <c r="B4370" s="4">
        <v>1170.53</v>
      </c>
    </row>
    <row r="4371" spans="1:2">
      <c r="A4371" s="3">
        <v>42711</v>
      </c>
      <c r="B4371" s="4">
        <v>1157.27</v>
      </c>
    </row>
    <row r="4372" spans="1:2">
      <c r="A4372" s="3">
        <v>42712</v>
      </c>
      <c r="B4372" s="4">
        <v>1161.3699999999999</v>
      </c>
    </row>
    <row r="4373" spans="1:2">
      <c r="A4373" s="3">
        <v>42713</v>
      </c>
      <c r="B4373" s="4">
        <v>1171.8900000000001</v>
      </c>
    </row>
    <row r="4374" spans="1:2">
      <c r="A4374" s="3">
        <v>42716</v>
      </c>
      <c r="B4374" s="4">
        <v>1163.73</v>
      </c>
    </row>
    <row r="4375" spans="1:2">
      <c r="A4375" s="3">
        <v>42717</v>
      </c>
      <c r="B4375" s="4">
        <v>1163.3</v>
      </c>
    </row>
    <row r="4376" spans="1:2">
      <c r="A4376" s="3">
        <v>42718</v>
      </c>
      <c r="B4376" s="4">
        <v>1178.72</v>
      </c>
    </row>
    <row r="4377" spans="1:2">
      <c r="A4377" s="3">
        <v>42719</v>
      </c>
      <c r="B4377" s="4">
        <v>1182.3900000000001</v>
      </c>
    </row>
    <row r="4378" spans="1:2">
      <c r="A4378" s="3">
        <v>42720</v>
      </c>
      <c r="B4378" s="4">
        <v>1185.57</v>
      </c>
    </row>
    <row r="4379" spans="1:2">
      <c r="A4379" s="3">
        <v>42723</v>
      </c>
      <c r="B4379" s="4">
        <v>1186.69</v>
      </c>
    </row>
    <row r="4380" spans="1:2">
      <c r="A4380" s="3">
        <v>42724</v>
      </c>
      <c r="B4380" s="4">
        <v>1191.21</v>
      </c>
    </row>
    <row r="4381" spans="1:2">
      <c r="A4381" s="3">
        <v>42725</v>
      </c>
      <c r="B4381" s="4">
        <v>1193.19</v>
      </c>
    </row>
    <row r="4382" spans="1:2">
      <c r="A4382" s="3">
        <v>42726</v>
      </c>
      <c r="B4382" s="4">
        <v>1204.25</v>
      </c>
    </row>
    <row r="4383" spans="1:2">
      <c r="A4383" s="3">
        <v>42727</v>
      </c>
      <c r="B4383" s="4">
        <v>1199.3499999999999</v>
      </c>
    </row>
    <row r="4384" spans="1:2">
      <c r="A4384" s="3">
        <v>42730</v>
      </c>
      <c r="B4384" s="4">
        <v>1199.99</v>
      </c>
    </row>
    <row r="4385" spans="1:2">
      <c r="A4385" s="3">
        <v>42731</v>
      </c>
      <c r="B4385" s="4">
        <v>1206.67</v>
      </c>
    </row>
    <row r="4386" spans="1:2">
      <c r="A4386" s="3">
        <v>42732</v>
      </c>
      <c r="B4386" s="4">
        <v>1210.93</v>
      </c>
    </row>
    <row r="4387" spans="1:2">
      <c r="A4387" s="3">
        <v>42733</v>
      </c>
      <c r="B4387" s="4">
        <v>1205.3900000000001</v>
      </c>
    </row>
    <row r="4388" spans="1:2">
      <c r="A4388" s="3">
        <v>42734</v>
      </c>
      <c r="B4388" s="4">
        <v>1206.25</v>
      </c>
    </row>
    <row r="4389" spans="1:2">
      <c r="A4389" s="3">
        <v>42737</v>
      </c>
      <c r="B4389" s="4">
        <v>1202.93</v>
      </c>
    </row>
    <row r="4390" spans="1:2">
      <c r="A4390" s="3">
        <v>42738</v>
      </c>
      <c r="B4390" s="4">
        <v>1205.81</v>
      </c>
    </row>
    <row r="4391" spans="1:2">
      <c r="A4391" s="3">
        <v>42739</v>
      </c>
      <c r="B4391" s="4">
        <v>1195.1500000000001</v>
      </c>
    </row>
    <row r="4392" spans="1:2">
      <c r="A4392" s="3">
        <v>42740</v>
      </c>
      <c r="B4392" s="4">
        <v>1180.79</v>
      </c>
    </row>
    <row r="4393" spans="1:2">
      <c r="A4393" s="3">
        <v>42741</v>
      </c>
      <c r="B4393" s="4">
        <v>1201</v>
      </c>
    </row>
    <row r="4394" spans="1:2">
      <c r="A4394" s="3">
        <v>42744</v>
      </c>
      <c r="B4394" s="4">
        <v>1202.3499999999999</v>
      </c>
    </row>
    <row r="4395" spans="1:2">
      <c r="A4395" s="3">
        <v>42745</v>
      </c>
      <c r="B4395" s="4">
        <v>1200.79</v>
      </c>
    </row>
    <row r="4396" spans="1:2">
      <c r="A4396" s="3">
        <v>42746</v>
      </c>
      <c r="B4396" s="4">
        <v>1186.8699999999999</v>
      </c>
    </row>
    <row r="4397" spans="1:2">
      <c r="A4397" s="3">
        <v>42747</v>
      </c>
      <c r="B4397" s="4">
        <v>1174.9100000000001</v>
      </c>
    </row>
    <row r="4398" spans="1:2">
      <c r="A4398" s="3">
        <v>42748</v>
      </c>
      <c r="B4398" s="4">
        <v>1174</v>
      </c>
    </row>
    <row r="4399" spans="1:2">
      <c r="A4399" s="3">
        <v>42751</v>
      </c>
      <c r="B4399" s="4">
        <v>1182.3699999999999</v>
      </c>
    </row>
    <row r="4400" spans="1:2">
      <c r="A4400" s="3">
        <v>42752</v>
      </c>
      <c r="B4400" s="4">
        <v>1159.83</v>
      </c>
    </row>
    <row r="4401" spans="1:2">
      <c r="A4401" s="3">
        <v>42753</v>
      </c>
      <c r="B4401" s="4">
        <v>1177.3699999999999</v>
      </c>
    </row>
    <row r="4402" spans="1:2">
      <c r="A4402" s="3">
        <v>42754</v>
      </c>
      <c r="B4402" s="4">
        <v>1174.18</v>
      </c>
    </row>
    <row r="4403" spans="1:2">
      <c r="A4403" s="3">
        <v>42755</v>
      </c>
      <c r="B4403" s="4">
        <v>1174.3900000000001</v>
      </c>
    </row>
    <row r="4404" spans="1:2">
      <c r="A4404" s="3">
        <v>42758</v>
      </c>
      <c r="B4404" s="4">
        <v>1162.23</v>
      </c>
    </row>
    <row r="4405" spans="1:2">
      <c r="A4405" s="3">
        <v>42759</v>
      </c>
      <c r="B4405" s="4">
        <v>1169.23</v>
      </c>
    </row>
    <row r="4406" spans="1:2">
      <c r="A4406" s="3">
        <v>42760</v>
      </c>
      <c r="B4406" s="4">
        <v>1161.7</v>
      </c>
    </row>
    <row r="4407" spans="1:2">
      <c r="A4407" s="3">
        <v>42761</v>
      </c>
      <c r="B4407" s="4">
        <v>1170.99</v>
      </c>
    </row>
    <row r="4408" spans="1:2">
      <c r="A4408" s="3">
        <v>42762</v>
      </c>
      <c r="B4408" s="4">
        <v>1177.82</v>
      </c>
    </row>
    <row r="4409" spans="1:2">
      <c r="A4409" s="3">
        <v>42765</v>
      </c>
      <c r="B4409" s="4">
        <v>1169.71</v>
      </c>
    </row>
    <row r="4410" spans="1:2">
      <c r="A4410" s="3">
        <v>42766</v>
      </c>
      <c r="B4410" s="4">
        <v>1150.6500000000001</v>
      </c>
    </row>
    <row r="4411" spans="1:2">
      <c r="A4411" s="3">
        <v>42767</v>
      </c>
      <c r="B4411" s="4">
        <v>1152.71</v>
      </c>
    </row>
    <row r="4412" spans="1:2">
      <c r="A4412" s="3">
        <v>42768</v>
      </c>
      <c r="B4412" s="4">
        <v>1143.0899999999999</v>
      </c>
    </row>
    <row r="4413" spans="1:2">
      <c r="A4413" s="3">
        <v>42769</v>
      </c>
      <c r="B4413" s="4">
        <v>1137.51</v>
      </c>
    </row>
    <row r="4414" spans="1:2">
      <c r="A4414" s="3">
        <v>42772</v>
      </c>
      <c r="B4414" s="4">
        <v>1133.5899999999999</v>
      </c>
    </row>
    <row r="4415" spans="1:2">
      <c r="A4415" s="3">
        <v>42773</v>
      </c>
      <c r="B4415" s="4">
        <v>1142.3900000000001</v>
      </c>
    </row>
    <row r="4416" spans="1:2">
      <c r="A4416" s="3">
        <v>42774</v>
      </c>
      <c r="B4416" s="4">
        <v>1144.2</v>
      </c>
    </row>
    <row r="4417" spans="1:2">
      <c r="A4417" s="3">
        <v>42775</v>
      </c>
      <c r="B4417" s="4">
        <v>1150.02</v>
      </c>
    </row>
    <row r="4418" spans="1:2">
      <c r="A4418" s="3">
        <v>42776</v>
      </c>
      <c r="B4418" s="4">
        <v>1145.5899999999999</v>
      </c>
    </row>
    <row r="4419" spans="1:2">
      <c r="A4419" s="3">
        <v>42779</v>
      </c>
      <c r="B4419" s="4">
        <v>1148.71</v>
      </c>
    </row>
    <row r="4420" spans="1:2">
      <c r="A4420" s="3">
        <v>42780</v>
      </c>
      <c r="B4420" s="4">
        <v>1137.8900000000001</v>
      </c>
    </row>
    <row r="4421" spans="1:2">
      <c r="A4421" s="3">
        <v>42781</v>
      </c>
      <c r="B4421" s="4">
        <v>1134.27</v>
      </c>
    </row>
    <row r="4422" spans="1:2">
      <c r="A4422" s="3">
        <v>42782</v>
      </c>
      <c r="B4422" s="4">
        <v>1140.99</v>
      </c>
    </row>
    <row r="4423" spans="1:2">
      <c r="A4423" s="3">
        <v>42783</v>
      </c>
      <c r="B4423" s="4">
        <v>1149.77</v>
      </c>
    </row>
    <row r="4424" spans="1:2">
      <c r="A4424" s="3">
        <v>42786</v>
      </c>
      <c r="B4424" s="4">
        <v>1144.3699999999999</v>
      </c>
    </row>
    <row r="4425" spans="1:2">
      <c r="A4425" s="3">
        <v>42787</v>
      </c>
      <c r="B4425" s="4">
        <v>1141.8900000000001</v>
      </c>
    </row>
    <row r="4426" spans="1:2">
      <c r="A4426" s="3">
        <v>42788</v>
      </c>
      <c r="B4426" s="4">
        <v>1137.48</v>
      </c>
    </row>
    <row r="4427" spans="1:2">
      <c r="A4427" s="3">
        <v>42789</v>
      </c>
      <c r="B4427" s="4">
        <v>1132.0899999999999</v>
      </c>
    </row>
    <row r="4428" spans="1:2">
      <c r="A4428" s="3">
        <v>42790</v>
      </c>
      <c r="B4428" s="4">
        <v>1130</v>
      </c>
    </row>
    <row r="4429" spans="1:2">
      <c r="A4429" s="3">
        <v>42793</v>
      </c>
      <c r="B4429" s="4">
        <v>1133.6500000000001</v>
      </c>
    </row>
    <row r="4430" spans="1:2">
      <c r="A4430" s="3">
        <v>42794</v>
      </c>
      <c r="B4430" s="4">
        <v>1136.3900000000001</v>
      </c>
    </row>
    <row r="4431" spans="1:2">
      <c r="A4431" s="3">
        <v>42795</v>
      </c>
      <c r="B4431" s="4">
        <v>1139.23</v>
      </c>
    </row>
    <row r="4432" spans="1:2">
      <c r="A4432" s="3">
        <v>42796</v>
      </c>
      <c r="B4432" s="4">
        <v>1149.71</v>
      </c>
    </row>
    <row r="4433" spans="1:2">
      <c r="A4433" s="3">
        <v>42797</v>
      </c>
      <c r="B4433" s="4">
        <v>1151.31</v>
      </c>
    </row>
    <row r="4434" spans="1:2">
      <c r="A4434" s="3">
        <v>42800</v>
      </c>
      <c r="B4434" s="4">
        <v>1154.1500000000001</v>
      </c>
    </row>
    <row r="4435" spans="1:2">
      <c r="A4435" s="3">
        <v>42801</v>
      </c>
      <c r="B4435" s="4">
        <v>1149.67</v>
      </c>
    </row>
    <row r="4436" spans="1:2">
      <c r="A4436" s="3">
        <v>42802</v>
      </c>
      <c r="B4436" s="4">
        <v>1153.79</v>
      </c>
    </row>
    <row r="4437" spans="1:2">
      <c r="A4437" s="3">
        <v>42803</v>
      </c>
      <c r="B4437" s="4">
        <v>1159.0899999999999</v>
      </c>
    </row>
    <row r="4438" spans="1:2">
      <c r="A4438" s="3">
        <v>42804</v>
      </c>
      <c r="B4438" s="4">
        <v>1147.81</v>
      </c>
    </row>
    <row r="4439" spans="1:2">
      <c r="A4439" s="3">
        <v>42807</v>
      </c>
      <c r="B4439" s="4">
        <v>1146.5899999999999</v>
      </c>
    </row>
    <row r="4440" spans="1:2">
      <c r="A4440" s="3">
        <v>42808</v>
      </c>
      <c r="B4440" s="4">
        <v>1148.97</v>
      </c>
    </row>
    <row r="4441" spans="1:2">
      <c r="A4441" s="3">
        <v>42809</v>
      </c>
      <c r="B4441" s="4">
        <v>1127.6099999999999</v>
      </c>
    </row>
    <row r="4442" spans="1:2">
      <c r="A4442" s="3">
        <v>42810</v>
      </c>
      <c r="B4442" s="4">
        <v>1127.81</v>
      </c>
    </row>
    <row r="4443" spans="1:2">
      <c r="A4443" s="3">
        <v>42811</v>
      </c>
      <c r="B4443" s="4">
        <v>1128.03</v>
      </c>
    </row>
    <row r="4444" spans="1:2">
      <c r="A4444" s="3">
        <v>42814</v>
      </c>
      <c r="B4444" s="4">
        <v>1113.51</v>
      </c>
    </row>
    <row r="4445" spans="1:2">
      <c r="A4445" s="3">
        <v>42815</v>
      </c>
      <c r="B4445" s="4">
        <v>1122.03</v>
      </c>
    </row>
    <row r="4446" spans="1:2">
      <c r="A4446" s="3">
        <v>42816</v>
      </c>
      <c r="B4446" s="4">
        <v>1116.28</v>
      </c>
    </row>
    <row r="4447" spans="1:2">
      <c r="A4447" s="3">
        <v>42817</v>
      </c>
      <c r="B4447" s="4">
        <v>1121.68</v>
      </c>
    </row>
    <row r="4448" spans="1:2">
      <c r="A4448" s="3">
        <v>42818</v>
      </c>
      <c r="B4448" s="4">
        <v>1116.55</v>
      </c>
    </row>
    <row r="4449" spans="1:2">
      <c r="A4449" s="3">
        <v>42821</v>
      </c>
      <c r="B4449" s="4">
        <v>1110.31</v>
      </c>
    </row>
    <row r="4450" spans="1:2">
      <c r="A4450" s="3">
        <v>42822</v>
      </c>
      <c r="B4450" s="4">
        <v>1115.4100000000001</v>
      </c>
    </row>
    <row r="4451" spans="1:2">
      <c r="A4451" s="3">
        <v>42823</v>
      </c>
      <c r="B4451" s="4">
        <v>1110.47</v>
      </c>
    </row>
    <row r="4452" spans="1:2">
      <c r="A4452" s="3">
        <v>42824</v>
      </c>
      <c r="B4452" s="4">
        <v>1117.5899999999999</v>
      </c>
    </row>
    <row r="4453" spans="1:2">
      <c r="A4453" s="3">
        <v>42825</v>
      </c>
      <c r="B4453" s="4">
        <v>1116.6500000000001</v>
      </c>
    </row>
    <row r="4454" spans="1:2">
      <c r="A4454" s="3">
        <v>42828</v>
      </c>
      <c r="B4454" s="4">
        <v>1116.27</v>
      </c>
    </row>
    <row r="4455" spans="1:2">
      <c r="A4455" s="3">
        <v>42829</v>
      </c>
      <c r="B4455" s="4">
        <v>1124.0899999999999</v>
      </c>
    </row>
    <row r="4456" spans="1:2">
      <c r="A4456" s="3">
        <v>42830</v>
      </c>
      <c r="B4456" s="4">
        <v>1127.27</v>
      </c>
    </row>
    <row r="4457" spans="1:2">
      <c r="A4457" s="3">
        <v>42831</v>
      </c>
      <c r="B4457" s="4">
        <v>1130.29</v>
      </c>
    </row>
    <row r="4458" spans="1:2">
      <c r="A4458" s="3">
        <v>42832</v>
      </c>
      <c r="B4458" s="4">
        <v>1136.8900000000001</v>
      </c>
    </row>
    <row r="4459" spans="1:2">
      <c r="A4459" s="3">
        <v>42835</v>
      </c>
      <c r="B4459" s="4">
        <v>1142.47</v>
      </c>
    </row>
    <row r="4460" spans="1:2">
      <c r="A4460" s="3">
        <v>42836</v>
      </c>
      <c r="B4460" s="4">
        <v>1144.6300000000001</v>
      </c>
    </row>
    <row r="4461" spans="1:2">
      <c r="A4461" s="3">
        <v>42837</v>
      </c>
      <c r="B4461" s="4">
        <v>1133.95</v>
      </c>
    </row>
    <row r="4462" spans="1:2">
      <c r="A4462" s="3">
        <v>42838</v>
      </c>
      <c r="B4462" s="4">
        <v>1135.32</v>
      </c>
    </row>
    <row r="4463" spans="1:2">
      <c r="A4463" s="3">
        <v>42839</v>
      </c>
      <c r="B4463" s="4">
        <v>1135.45</v>
      </c>
    </row>
    <row r="4464" spans="1:2">
      <c r="A4464" s="3">
        <v>42842</v>
      </c>
      <c r="B4464" s="4">
        <v>1132.01</v>
      </c>
    </row>
    <row r="4465" spans="1:2">
      <c r="A4465" s="3">
        <v>42843</v>
      </c>
      <c r="B4465" s="4">
        <v>1141.6400000000001</v>
      </c>
    </row>
    <row r="4466" spans="1:2">
      <c r="A4466" s="3">
        <v>42844</v>
      </c>
      <c r="B4466" s="4">
        <v>1142.69</v>
      </c>
    </row>
    <row r="4467" spans="1:2">
      <c r="A4467" s="3">
        <v>42845</v>
      </c>
      <c r="B4467" s="4">
        <v>1137.1099999999999</v>
      </c>
    </row>
    <row r="4468" spans="1:2">
      <c r="A4468" s="3">
        <v>42846</v>
      </c>
      <c r="B4468" s="4">
        <v>1133.57</v>
      </c>
    </row>
    <row r="4469" spans="1:2">
      <c r="A4469" s="3">
        <v>42849</v>
      </c>
      <c r="B4469" s="4">
        <v>1133.3800000000001</v>
      </c>
    </row>
    <row r="4470" spans="1:2">
      <c r="A4470" s="3">
        <v>42850</v>
      </c>
      <c r="B4470" s="4">
        <v>1127.23</v>
      </c>
    </row>
    <row r="4471" spans="1:2">
      <c r="A4471" s="3">
        <v>42851</v>
      </c>
      <c r="B4471" s="4">
        <v>1132.03</v>
      </c>
    </row>
    <row r="4472" spans="1:2">
      <c r="A4472" s="3">
        <v>42852</v>
      </c>
      <c r="B4472" s="4">
        <v>1130.6500000000001</v>
      </c>
    </row>
    <row r="4473" spans="1:2">
      <c r="A4473" s="3">
        <v>42853</v>
      </c>
      <c r="B4473" s="4">
        <v>1136.8699999999999</v>
      </c>
    </row>
    <row r="4474" spans="1:2">
      <c r="A4474" s="3">
        <v>42856</v>
      </c>
      <c r="B4474" s="4">
        <v>1136.5999999999999</v>
      </c>
    </row>
    <row r="4475" spans="1:2">
      <c r="A4475" s="3">
        <v>42857</v>
      </c>
      <c r="B4475" s="4">
        <v>1128.2</v>
      </c>
    </row>
    <row r="4476" spans="1:2">
      <c r="A4476" s="3">
        <v>42858</v>
      </c>
      <c r="B4476" s="4">
        <v>1132.95</v>
      </c>
    </row>
    <row r="4477" spans="1:2">
      <c r="A4477" s="3">
        <v>42859</v>
      </c>
      <c r="B4477" s="4">
        <v>1134.5899999999999</v>
      </c>
    </row>
    <row r="4478" spans="1:2">
      <c r="A4478" s="3">
        <v>42860</v>
      </c>
      <c r="B4478" s="4">
        <v>1134.71</v>
      </c>
    </row>
    <row r="4479" spans="1:2">
      <c r="A4479" s="3">
        <v>42863</v>
      </c>
      <c r="B4479" s="4">
        <v>1132.69</v>
      </c>
    </row>
    <row r="4480" spans="1:2">
      <c r="A4480" s="3">
        <v>42864</v>
      </c>
      <c r="B4480" s="4">
        <v>1138.1500000000001</v>
      </c>
    </row>
    <row r="4481" spans="1:2">
      <c r="A4481" s="3">
        <v>42865</v>
      </c>
      <c r="B4481" s="4">
        <v>1131.05</v>
      </c>
    </row>
    <row r="4482" spans="1:2">
      <c r="A4482" s="3">
        <v>42866</v>
      </c>
      <c r="B4482" s="4">
        <v>1123.4100000000001</v>
      </c>
    </row>
    <row r="4483" spans="1:2">
      <c r="A4483" s="3">
        <v>42867</v>
      </c>
      <c r="B4483" s="4">
        <v>1122.4100000000001</v>
      </c>
    </row>
    <row r="4484" spans="1:2">
      <c r="A4484" s="3">
        <v>42870</v>
      </c>
      <c r="B4484" s="4">
        <v>1117.1099999999999</v>
      </c>
    </row>
    <row r="4485" spans="1:2">
      <c r="A4485" s="3">
        <v>42871</v>
      </c>
      <c r="B4485" s="4">
        <v>1115.06</v>
      </c>
    </row>
    <row r="4486" spans="1:2">
      <c r="A4486" s="3">
        <v>42872</v>
      </c>
      <c r="B4486" s="4">
        <v>1122.05</v>
      </c>
    </row>
    <row r="4487" spans="1:2">
      <c r="A4487" s="3">
        <v>42873</v>
      </c>
      <c r="B4487" s="4">
        <v>1128.19</v>
      </c>
    </row>
    <row r="4488" spans="1:2">
      <c r="A4488" s="3">
        <v>42874</v>
      </c>
      <c r="B4488" s="4">
        <v>1116.6099999999999</v>
      </c>
    </row>
    <row r="4489" spans="1:2">
      <c r="A4489" s="3">
        <v>42877</v>
      </c>
      <c r="B4489" s="4">
        <v>1115.03</v>
      </c>
    </row>
    <row r="4490" spans="1:2">
      <c r="A4490" s="3">
        <v>42878</v>
      </c>
      <c r="B4490" s="4">
        <v>1124.46</v>
      </c>
    </row>
    <row r="4491" spans="1:2">
      <c r="A4491" s="3">
        <v>42879</v>
      </c>
      <c r="B4491" s="4">
        <v>1118.23</v>
      </c>
    </row>
    <row r="4492" spans="1:2">
      <c r="A4492" s="3">
        <v>42880</v>
      </c>
      <c r="B4492" s="4">
        <v>1119.3499999999999</v>
      </c>
    </row>
    <row r="4493" spans="1:2">
      <c r="A4493" s="3">
        <v>42881</v>
      </c>
      <c r="B4493" s="4">
        <v>1117.83</v>
      </c>
    </row>
    <row r="4494" spans="1:2">
      <c r="A4494" s="3">
        <v>42884</v>
      </c>
      <c r="B4494" s="4">
        <v>1121.05</v>
      </c>
    </row>
    <row r="4495" spans="1:2">
      <c r="A4495" s="3">
        <v>42885</v>
      </c>
      <c r="B4495" s="4">
        <v>1123.49</v>
      </c>
    </row>
    <row r="4496" spans="1:2">
      <c r="A4496" s="3">
        <v>42886</v>
      </c>
      <c r="B4496" s="4">
        <v>1118.6500000000001</v>
      </c>
    </row>
    <row r="4497" spans="1:2">
      <c r="A4497" s="3">
        <v>42887</v>
      </c>
      <c r="B4497" s="4">
        <v>1121.1300000000001</v>
      </c>
    </row>
    <row r="4498" spans="1:2">
      <c r="A4498" s="3">
        <v>42888</v>
      </c>
      <c r="B4498" s="4">
        <v>1117.3900000000001</v>
      </c>
    </row>
    <row r="4499" spans="1:2">
      <c r="A4499" s="3">
        <v>42891</v>
      </c>
      <c r="B4499" s="4">
        <v>1117.31</v>
      </c>
    </row>
    <row r="4500" spans="1:2">
      <c r="A4500" s="3">
        <v>42892</v>
      </c>
      <c r="B4500" s="4">
        <v>1117.07</v>
      </c>
    </row>
    <row r="4501" spans="1:2">
      <c r="A4501" s="3">
        <v>42893</v>
      </c>
      <c r="B4501" s="4">
        <v>1123.28</v>
      </c>
    </row>
    <row r="4502" spans="1:2">
      <c r="A4502" s="3">
        <v>42894</v>
      </c>
      <c r="B4502" s="4">
        <v>1120.95</v>
      </c>
    </row>
    <row r="4503" spans="1:2">
      <c r="A4503" s="3">
        <v>42895</v>
      </c>
      <c r="B4503" s="4">
        <v>1124.29</v>
      </c>
    </row>
    <row r="4504" spans="1:2">
      <c r="A4504" s="3">
        <v>42898</v>
      </c>
      <c r="B4504" s="4">
        <v>1129.97</v>
      </c>
    </row>
    <row r="4505" spans="1:2">
      <c r="A4505" s="3">
        <v>42899</v>
      </c>
      <c r="B4505" s="4">
        <v>1126.73</v>
      </c>
    </row>
    <row r="4506" spans="1:2">
      <c r="A4506" s="3">
        <v>42900</v>
      </c>
      <c r="B4506" s="4">
        <v>1118.93</v>
      </c>
    </row>
    <row r="4507" spans="1:2">
      <c r="A4507" s="3">
        <v>42901</v>
      </c>
      <c r="B4507" s="4">
        <v>1129.83</v>
      </c>
    </row>
    <row r="4508" spans="1:2">
      <c r="A4508" s="3">
        <v>42902</v>
      </c>
      <c r="B4508" s="4">
        <v>1132.07</v>
      </c>
    </row>
    <row r="4509" spans="1:2">
      <c r="A4509" s="3">
        <v>42905</v>
      </c>
      <c r="B4509" s="4">
        <v>1135.77</v>
      </c>
    </row>
    <row r="4510" spans="1:2">
      <c r="A4510" s="3">
        <v>42906</v>
      </c>
      <c r="B4510" s="4">
        <v>1140.93</v>
      </c>
    </row>
    <row r="4511" spans="1:2">
      <c r="A4511" s="3">
        <v>42907</v>
      </c>
      <c r="B4511" s="4">
        <v>1142.32</v>
      </c>
    </row>
    <row r="4512" spans="1:2">
      <c r="A4512" s="3">
        <v>42908</v>
      </c>
      <c r="B4512" s="4">
        <v>1138.3</v>
      </c>
    </row>
    <row r="4513" spans="1:2">
      <c r="A4513" s="3">
        <v>42909</v>
      </c>
      <c r="B4513" s="4">
        <v>1133.8900000000001</v>
      </c>
    </row>
    <row r="4514" spans="1:2">
      <c r="A4514" s="3">
        <v>42912</v>
      </c>
      <c r="B4514" s="4">
        <v>1132.51</v>
      </c>
    </row>
    <row r="4515" spans="1:2">
      <c r="A4515" s="3">
        <v>42913</v>
      </c>
      <c r="B4515" s="4">
        <v>1139.55</v>
      </c>
    </row>
    <row r="4516" spans="1:2">
      <c r="A4516" s="3">
        <v>42914</v>
      </c>
      <c r="B4516" s="4">
        <v>1137.93</v>
      </c>
    </row>
    <row r="4517" spans="1:2">
      <c r="A4517" s="3">
        <v>42915</v>
      </c>
      <c r="B4517" s="4">
        <v>1146.29</v>
      </c>
    </row>
    <row r="4518" spans="1:2">
      <c r="A4518" s="3">
        <v>42916</v>
      </c>
      <c r="B4518" s="4">
        <v>1144.43</v>
      </c>
    </row>
    <row r="4519" spans="1:2">
      <c r="A4519" s="3">
        <v>42919</v>
      </c>
      <c r="B4519" s="4">
        <v>1149.27</v>
      </c>
    </row>
    <row r="4520" spans="1:2">
      <c r="A4520" s="3">
        <v>42920</v>
      </c>
      <c r="B4520" s="4">
        <v>1149.73</v>
      </c>
    </row>
    <row r="4521" spans="1:2">
      <c r="A4521" s="3">
        <v>42921</v>
      </c>
      <c r="B4521" s="4">
        <v>1152.33</v>
      </c>
    </row>
    <row r="4522" spans="1:2">
      <c r="A4522" s="3">
        <v>42922</v>
      </c>
      <c r="B4522" s="4">
        <v>1156.25</v>
      </c>
    </row>
    <row r="4523" spans="1:2">
      <c r="A4523" s="3">
        <v>42923</v>
      </c>
      <c r="B4523" s="4">
        <v>1152.74</v>
      </c>
    </row>
    <row r="4524" spans="1:2">
      <c r="A4524" s="3">
        <v>42926</v>
      </c>
      <c r="B4524" s="4">
        <v>1148.57</v>
      </c>
    </row>
    <row r="4525" spans="1:2">
      <c r="A4525" s="3">
        <v>42927</v>
      </c>
      <c r="B4525" s="4">
        <v>1148.17</v>
      </c>
    </row>
    <row r="4526" spans="1:2">
      <c r="A4526" s="3">
        <v>42928</v>
      </c>
      <c r="B4526" s="4">
        <v>1137.31</v>
      </c>
    </row>
    <row r="4527" spans="1:2">
      <c r="A4527" s="3">
        <v>42929</v>
      </c>
      <c r="B4527" s="4">
        <v>1136.8499999999999</v>
      </c>
    </row>
    <row r="4528" spans="1:2">
      <c r="A4528" s="3">
        <v>42930</v>
      </c>
      <c r="B4528" s="4">
        <v>1128.0899999999999</v>
      </c>
    </row>
    <row r="4529" spans="1:2">
      <c r="A4529" s="3">
        <v>42933</v>
      </c>
      <c r="B4529" s="4">
        <v>1127.3900000000001</v>
      </c>
    </row>
    <row r="4530" spans="1:2">
      <c r="A4530" s="3">
        <v>42934</v>
      </c>
      <c r="B4530" s="4">
        <v>1124.29</v>
      </c>
    </row>
    <row r="4531" spans="1:2">
      <c r="A4531" s="3">
        <v>42935</v>
      </c>
      <c r="B4531" s="4">
        <v>1123.5899999999999</v>
      </c>
    </row>
    <row r="4532" spans="1:2">
      <c r="A4532" s="3">
        <v>42936</v>
      </c>
      <c r="B4532" s="4">
        <v>1120.24</v>
      </c>
    </row>
    <row r="4533" spans="1:2">
      <c r="A4533" s="3">
        <v>42937</v>
      </c>
      <c r="B4533" s="4">
        <v>1117.83</v>
      </c>
    </row>
    <row r="4534" spans="1:2">
      <c r="A4534" s="3">
        <v>42940</v>
      </c>
      <c r="B4534" s="4">
        <v>1114.4000000000001</v>
      </c>
    </row>
    <row r="4535" spans="1:2">
      <c r="A4535" s="3">
        <v>42941</v>
      </c>
      <c r="B4535" s="4">
        <v>1119.01</v>
      </c>
    </row>
    <row r="4536" spans="1:2">
      <c r="A4536" s="3">
        <v>42942</v>
      </c>
      <c r="B4536" s="4">
        <v>1111.5999999999999</v>
      </c>
    </row>
    <row r="4537" spans="1:2">
      <c r="A4537" s="3">
        <v>42943</v>
      </c>
      <c r="B4537" s="4">
        <v>1116.3499999999999</v>
      </c>
    </row>
    <row r="4538" spans="1:2">
      <c r="A4538" s="3">
        <v>42944</v>
      </c>
      <c r="B4538" s="4">
        <v>1123.69</v>
      </c>
    </row>
    <row r="4539" spans="1:2">
      <c r="A4539" s="3">
        <v>42947</v>
      </c>
      <c r="B4539" s="4">
        <v>1118.4000000000001</v>
      </c>
    </row>
    <row r="4540" spans="1:2">
      <c r="A4540" s="3">
        <v>42948</v>
      </c>
      <c r="B4540" s="4">
        <v>1120.53</v>
      </c>
    </row>
    <row r="4541" spans="1:2">
      <c r="A4541" s="3">
        <v>42949</v>
      </c>
      <c r="B4541" s="4">
        <v>1121.97</v>
      </c>
    </row>
    <row r="4542" spans="1:2">
      <c r="A4542" s="3">
        <v>42950</v>
      </c>
      <c r="B4542" s="4">
        <v>1127.95</v>
      </c>
    </row>
    <row r="4543" spans="1:2">
      <c r="A4543" s="3">
        <v>42951</v>
      </c>
      <c r="B4543" s="4">
        <v>1127.77</v>
      </c>
    </row>
    <row r="4544" spans="1:2">
      <c r="A4544" s="3">
        <v>42954</v>
      </c>
      <c r="B4544" s="4">
        <v>1126.1500000000001</v>
      </c>
    </row>
    <row r="4545" spans="1:2">
      <c r="A4545" s="3">
        <v>42955</v>
      </c>
      <c r="B4545" s="4">
        <v>1128.18</v>
      </c>
    </row>
    <row r="4546" spans="1:2">
      <c r="A4546" s="3">
        <v>42956</v>
      </c>
      <c r="B4546" s="4">
        <v>1138.4000000000001</v>
      </c>
    </row>
    <row r="4547" spans="1:2">
      <c r="A4547" s="3">
        <v>42957</v>
      </c>
      <c r="B4547" s="4">
        <v>1143.17</v>
      </c>
    </row>
    <row r="4548" spans="1:2">
      <c r="A4548" s="3">
        <v>42958</v>
      </c>
      <c r="B4548" s="4">
        <v>1141.8599999999999</v>
      </c>
    </row>
    <row r="4549" spans="1:2">
      <c r="A4549" s="3">
        <v>42961</v>
      </c>
      <c r="B4549" s="4">
        <v>1138.4100000000001</v>
      </c>
    </row>
    <row r="4550" spans="1:2">
      <c r="A4550" s="3">
        <v>42962</v>
      </c>
      <c r="B4550" s="4">
        <v>1134.93</v>
      </c>
    </row>
    <row r="4551" spans="1:2">
      <c r="A4551" s="3">
        <v>42963</v>
      </c>
      <c r="B4551" s="4">
        <v>1134.5999999999999</v>
      </c>
    </row>
    <row r="4552" spans="1:2">
      <c r="A4552" s="3">
        <v>42964</v>
      </c>
      <c r="B4552" s="4">
        <v>1141.5</v>
      </c>
    </row>
    <row r="4553" spans="1:2">
      <c r="A4553" s="3">
        <v>42965</v>
      </c>
      <c r="B4553" s="4">
        <v>1138.77</v>
      </c>
    </row>
    <row r="4554" spans="1:2">
      <c r="A4554" s="3">
        <v>42968</v>
      </c>
      <c r="B4554" s="4">
        <v>1137.71</v>
      </c>
    </row>
    <row r="4555" spans="1:2">
      <c r="A4555" s="3">
        <v>42969</v>
      </c>
      <c r="B4555" s="4">
        <v>1131.3800000000001</v>
      </c>
    </row>
    <row r="4556" spans="1:2">
      <c r="A4556" s="3">
        <v>42970</v>
      </c>
      <c r="B4556" s="4">
        <v>1126.57</v>
      </c>
    </row>
    <row r="4557" spans="1:2">
      <c r="A4557" s="3">
        <v>42971</v>
      </c>
      <c r="B4557" s="4">
        <v>1127.23</v>
      </c>
    </row>
    <row r="4558" spans="1:2">
      <c r="A4558" s="3">
        <v>42972</v>
      </c>
      <c r="B4558" s="4">
        <v>1120.5899999999999</v>
      </c>
    </row>
    <row r="4559" spans="1:2">
      <c r="A4559" s="3">
        <v>42975</v>
      </c>
      <c r="B4559" s="4">
        <v>1117.47</v>
      </c>
    </row>
    <row r="4560" spans="1:2">
      <c r="A4560" s="3">
        <v>42976</v>
      </c>
      <c r="B4560" s="4">
        <v>1123.51</v>
      </c>
    </row>
    <row r="4561" spans="1:2">
      <c r="A4561" s="3">
        <v>42977</v>
      </c>
      <c r="B4561" s="4">
        <v>1123.18</v>
      </c>
    </row>
    <row r="4562" spans="1:2">
      <c r="A4562" s="3">
        <v>42978</v>
      </c>
      <c r="B4562" s="4">
        <v>1123.8499999999999</v>
      </c>
    </row>
    <row r="4563" spans="1:2">
      <c r="A4563" s="3">
        <v>42979</v>
      </c>
      <c r="B4563" s="4">
        <v>1120.69</v>
      </c>
    </row>
    <row r="4564" spans="1:2">
      <c r="A4564" s="3">
        <v>42982</v>
      </c>
      <c r="B4564" s="4">
        <v>1132.3900000000001</v>
      </c>
    </row>
    <row r="4565" spans="1:2">
      <c r="A4565" s="3">
        <v>42983</v>
      </c>
      <c r="B4565" s="4">
        <v>1131.52</v>
      </c>
    </row>
    <row r="4566" spans="1:2">
      <c r="A4566" s="3">
        <v>42984</v>
      </c>
      <c r="B4566" s="4">
        <v>1131.8499999999999</v>
      </c>
    </row>
    <row r="4567" spans="1:2">
      <c r="A4567" s="3">
        <v>42985</v>
      </c>
      <c r="B4567" s="4">
        <v>1126.8900000000001</v>
      </c>
    </row>
    <row r="4568" spans="1:2">
      <c r="A4568" s="3">
        <v>42986</v>
      </c>
      <c r="B4568" s="4">
        <v>1130.97</v>
      </c>
    </row>
    <row r="4569" spans="1:2">
      <c r="A4569" s="3">
        <v>42989</v>
      </c>
      <c r="B4569" s="4">
        <v>1129.3399999999999</v>
      </c>
    </row>
    <row r="4570" spans="1:2">
      <c r="A4570" s="3">
        <v>42990</v>
      </c>
      <c r="B4570" s="4">
        <v>1127.69</v>
      </c>
    </row>
    <row r="4571" spans="1:2">
      <c r="A4571" s="3">
        <v>42991</v>
      </c>
      <c r="B4571" s="4">
        <v>1131.07</v>
      </c>
    </row>
    <row r="4572" spans="1:2">
      <c r="A4572" s="3">
        <v>42992</v>
      </c>
      <c r="B4572" s="4">
        <v>1133.31</v>
      </c>
    </row>
    <row r="4573" spans="1:2">
      <c r="A4573" s="3">
        <v>42993</v>
      </c>
      <c r="B4573" s="4">
        <v>1132.21</v>
      </c>
    </row>
    <row r="4574" spans="1:2">
      <c r="A4574" s="3">
        <v>42996</v>
      </c>
      <c r="B4574" s="4">
        <v>1128.8499999999999</v>
      </c>
    </row>
    <row r="4575" spans="1:2">
      <c r="A4575" s="3">
        <v>42997</v>
      </c>
      <c r="B4575" s="4">
        <v>1130.18</v>
      </c>
    </row>
    <row r="4576" spans="1:2">
      <c r="A4576" s="3">
        <v>42998</v>
      </c>
      <c r="B4576" s="4">
        <v>1130.79</v>
      </c>
    </row>
    <row r="4577" spans="1:2">
      <c r="A4577" s="3">
        <v>42999</v>
      </c>
      <c r="B4577" s="4">
        <v>1131.76</v>
      </c>
    </row>
    <row r="4578" spans="1:2">
      <c r="A4578" s="3">
        <v>43000</v>
      </c>
      <c r="B4578" s="4">
        <v>1132.1300000000001</v>
      </c>
    </row>
    <row r="4579" spans="1:2">
      <c r="A4579" s="3">
        <v>43003</v>
      </c>
      <c r="B4579" s="4">
        <v>1133.79</v>
      </c>
    </row>
    <row r="4580" spans="1:2">
      <c r="A4580" s="3">
        <v>43004</v>
      </c>
      <c r="B4580" s="4">
        <v>1136.6099999999999</v>
      </c>
    </row>
    <row r="4581" spans="1:2">
      <c r="A4581" s="3">
        <v>43005</v>
      </c>
      <c r="B4581" s="4">
        <v>1144.75</v>
      </c>
    </row>
    <row r="4582" spans="1:2">
      <c r="A4582" s="3">
        <v>43006</v>
      </c>
      <c r="B4582" s="4">
        <v>1145.58</v>
      </c>
    </row>
    <row r="4583" spans="1:2">
      <c r="A4583" s="3">
        <v>43007</v>
      </c>
      <c r="B4583" s="4">
        <v>1144.29</v>
      </c>
    </row>
    <row r="4584" spans="1:2">
      <c r="A4584" s="3">
        <v>43010</v>
      </c>
      <c r="B4584" s="4">
        <v>1145.6199999999999</v>
      </c>
    </row>
    <row r="4585" spans="1:2">
      <c r="A4585" s="3">
        <v>43011</v>
      </c>
      <c r="B4585" s="4">
        <v>1142.24</v>
      </c>
    </row>
    <row r="4586" spans="1:2">
      <c r="A4586" s="3">
        <v>43012</v>
      </c>
      <c r="B4586" s="4">
        <v>1141.99</v>
      </c>
    </row>
    <row r="4587" spans="1:2">
      <c r="A4587" s="3">
        <v>43013</v>
      </c>
      <c r="B4587" s="4">
        <v>1141.4100000000001</v>
      </c>
    </row>
    <row r="4588" spans="1:2">
      <c r="A4588" s="3">
        <v>43014</v>
      </c>
      <c r="B4588" s="4">
        <v>1144.31</v>
      </c>
    </row>
    <row r="4589" spans="1:2">
      <c r="A4589" s="3">
        <v>43017</v>
      </c>
      <c r="B4589" s="4">
        <v>1142.81</v>
      </c>
    </row>
    <row r="4590" spans="1:2">
      <c r="A4590" s="3">
        <v>43018</v>
      </c>
      <c r="B4590" s="4">
        <v>1134.31</v>
      </c>
    </row>
    <row r="4591" spans="1:2">
      <c r="A4591" s="3">
        <v>43019</v>
      </c>
      <c r="B4591" s="4">
        <v>1131.9100000000001</v>
      </c>
    </row>
    <row r="4592" spans="1:2">
      <c r="A4592" s="3">
        <v>43020</v>
      </c>
      <c r="B4592" s="4">
        <v>1131.8900000000001</v>
      </c>
    </row>
    <row r="4593" spans="1:2">
      <c r="A4593" s="3">
        <v>43021</v>
      </c>
      <c r="B4593" s="4">
        <v>1125.67</v>
      </c>
    </row>
    <row r="4594" spans="1:2">
      <c r="A4594" s="3">
        <v>43024</v>
      </c>
      <c r="B4594" s="4">
        <v>1127.28</v>
      </c>
    </row>
    <row r="4595" spans="1:2">
      <c r="A4595" s="3">
        <v>43025</v>
      </c>
      <c r="B4595" s="4">
        <v>1130.21</v>
      </c>
    </row>
    <row r="4596" spans="1:2">
      <c r="A4596" s="3">
        <v>43026</v>
      </c>
      <c r="B4596" s="4">
        <v>1131.8699999999999</v>
      </c>
    </row>
    <row r="4597" spans="1:2">
      <c r="A4597" s="3">
        <v>43027</v>
      </c>
      <c r="B4597" s="4">
        <v>1128.01</v>
      </c>
    </row>
    <row r="4598" spans="1:2">
      <c r="A4598" s="3">
        <v>43028</v>
      </c>
      <c r="B4598" s="4">
        <v>1131.31</v>
      </c>
    </row>
    <row r="4599" spans="1:2">
      <c r="A4599" s="3">
        <v>43031</v>
      </c>
      <c r="B4599" s="4">
        <v>1129.8499999999999</v>
      </c>
    </row>
    <row r="4600" spans="1:2">
      <c r="A4600" s="3">
        <v>43032</v>
      </c>
      <c r="B4600" s="4">
        <v>1129.93</v>
      </c>
    </row>
    <row r="4601" spans="1:2">
      <c r="A4601" s="3">
        <v>43033</v>
      </c>
      <c r="B4601" s="4">
        <v>1126.81</v>
      </c>
    </row>
    <row r="4602" spans="1:2">
      <c r="A4602" s="3">
        <v>43034</v>
      </c>
      <c r="B4602" s="4">
        <v>1127.75</v>
      </c>
    </row>
    <row r="4603" spans="1:2">
      <c r="A4603" s="3">
        <v>43035</v>
      </c>
      <c r="B4603" s="4">
        <v>1124.97</v>
      </c>
    </row>
    <row r="4604" spans="1:2">
      <c r="A4604" s="3">
        <v>43038</v>
      </c>
      <c r="B4604" s="4">
        <v>1123.78</v>
      </c>
    </row>
    <row r="4605" spans="1:2">
      <c r="A4605" s="3">
        <v>43039</v>
      </c>
      <c r="B4605" s="4">
        <v>1117.42</v>
      </c>
    </row>
    <row r="4606" spans="1:2">
      <c r="A4606" s="3">
        <v>43040</v>
      </c>
      <c r="B4606" s="4">
        <v>1110.51</v>
      </c>
    </row>
    <row r="4607" spans="1:2">
      <c r="A4607" s="3">
        <v>43041</v>
      </c>
      <c r="B4607" s="4">
        <v>1111.3499999999999</v>
      </c>
    </row>
    <row r="4608" spans="1:2">
      <c r="A4608" s="3">
        <v>43042</v>
      </c>
      <c r="B4608" s="4">
        <v>1115.29</v>
      </c>
    </row>
    <row r="4609" spans="1:2">
      <c r="A4609" s="3">
        <v>43045</v>
      </c>
      <c r="B4609" s="4">
        <v>1111.83</v>
      </c>
    </row>
    <row r="4610" spans="1:2">
      <c r="A4610" s="3">
        <v>43046</v>
      </c>
      <c r="B4610" s="4">
        <v>1112.93</v>
      </c>
    </row>
    <row r="4611" spans="1:2">
      <c r="A4611" s="3">
        <v>43047</v>
      </c>
      <c r="B4611" s="4">
        <v>1113.31</v>
      </c>
    </row>
    <row r="4612" spans="1:2">
      <c r="A4612" s="3">
        <v>43048</v>
      </c>
      <c r="B4612" s="4">
        <v>1117.44</v>
      </c>
    </row>
    <row r="4613" spans="1:2">
      <c r="A4613" s="3">
        <v>43049</v>
      </c>
      <c r="B4613" s="4">
        <v>1119.8699999999999</v>
      </c>
    </row>
    <row r="4614" spans="1:2">
      <c r="A4614" s="3">
        <v>43052</v>
      </c>
      <c r="B4614" s="4">
        <v>1118.8900000000001</v>
      </c>
    </row>
    <row r="4615" spans="1:2">
      <c r="A4615" s="3">
        <v>43053</v>
      </c>
      <c r="B4615" s="4">
        <v>1114.51</v>
      </c>
    </row>
    <row r="4616" spans="1:2">
      <c r="A4616" s="3">
        <v>43054</v>
      </c>
      <c r="B4616" s="4">
        <v>1104.69</v>
      </c>
    </row>
    <row r="4617" spans="1:2">
      <c r="A4617" s="3">
        <v>43055</v>
      </c>
      <c r="B4617" s="4">
        <v>1096.18</v>
      </c>
    </row>
    <row r="4618" spans="1:2">
      <c r="A4618" s="3">
        <v>43056</v>
      </c>
      <c r="B4618" s="4">
        <v>1093.32</v>
      </c>
    </row>
    <row r="4619" spans="1:2">
      <c r="A4619" s="3">
        <v>43059</v>
      </c>
      <c r="B4619" s="4">
        <v>1096.03</v>
      </c>
    </row>
    <row r="4620" spans="1:2">
      <c r="A4620" s="3">
        <v>43060</v>
      </c>
      <c r="B4620" s="4">
        <v>1090.1300000000001</v>
      </c>
    </row>
    <row r="4621" spans="1:2">
      <c r="A4621" s="3">
        <v>43061</v>
      </c>
      <c r="B4621" s="4">
        <v>1085.06</v>
      </c>
    </row>
    <row r="4622" spans="1:2">
      <c r="A4622" s="3">
        <v>43062</v>
      </c>
      <c r="B4622" s="4">
        <v>1082.99</v>
      </c>
    </row>
    <row r="4623" spans="1:2">
      <c r="A4623" s="3">
        <v>43063</v>
      </c>
      <c r="B4623" s="4">
        <v>1084.6099999999999</v>
      </c>
    </row>
    <row r="4624" spans="1:2">
      <c r="A4624" s="3">
        <v>43066</v>
      </c>
      <c r="B4624" s="4">
        <v>1090.69</v>
      </c>
    </row>
    <row r="4625" spans="1:2">
      <c r="A4625" s="3">
        <v>43067</v>
      </c>
      <c r="B4625" s="4">
        <v>1082.95</v>
      </c>
    </row>
    <row r="4626" spans="1:2">
      <c r="A4626" s="3">
        <v>43068</v>
      </c>
      <c r="B4626" s="4">
        <v>1081.0899999999999</v>
      </c>
    </row>
    <row r="4627" spans="1:2">
      <c r="A4627" s="3">
        <v>43069</v>
      </c>
      <c r="B4627" s="4">
        <v>1087.1300000000001</v>
      </c>
    </row>
    <row r="4628" spans="1:2">
      <c r="A4628" s="3">
        <v>43070</v>
      </c>
      <c r="B4628" s="4">
        <v>1082.47</v>
      </c>
    </row>
    <row r="4629" spans="1:2">
      <c r="A4629" s="3">
        <v>43073</v>
      </c>
      <c r="B4629" s="4">
        <v>1085.29</v>
      </c>
    </row>
    <row r="4630" spans="1:2">
      <c r="A4630" s="3">
        <v>43074</v>
      </c>
      <c r="B4630" s="4">
        <v>1086.6199999999999</v>
      </c>
    </row>
    <row r="4631" spans="1:2">
      <c r="A4631" s="3">
        <v>43075</v>
      </c>
      <c r="B4631" s="4">
        <v>1092.99</v>
      </c>
    </row>
    <row r="4632" spans="1:2">
      <c r="A4632" s="3">
        <v>43076</v>
      </c>
      <c r="B4632" s="4">
        <v>1092.5999999999999</v>
      </c>
    </row>
    <row r="4633" spans="1:2">
      <c r="A4633" s="3">
        <v>43077</v>
      </c>
      <c r="B4633" s="4">
        <v>1091.8499999999999</v>
      </c>
    </row>
    <row r="4634" spans="1:2">
      <c r="A4634" s="3">
        <v>43080</v>
      </c>
      <c r="B4634" s="4">
        <v>1087.8399999999999</v>
      </c>
    </row>
    <row r="4635" spans="1:2">
      <c r="A4635" s="3">
        <v>43081</v>
      </c>
      <c r="B4635" s="4">
        <v>1091.8900000000001</v>
      </c>
    </row>
    <row r="4636" spans="1:2">
      <c r="A4636" s="3">
        <v>43082</v>
      </c>
      <c r="B4636" s="4">
        <v>1083.55</v>
      </c>
    </row>
    <row r="4637" spans="1:2">
      <c r="A4637" s="3">
        <v>43083</v>
      </c>
      <c r="B4637" s="4">
        <v>1088.22</v>
      </c>
    </row>
    <row r="4638" spans="1:2">
      <c r="A4638" s="3">
        <v>43084</v>
      </c>
      <c r="B4638" s="4">
        <v>1087.95</v>
      </c>
    </row>
    <row r="4639" spans="1:2">
      <c r="A4639" s="3">
        <v>43087</v>
      </c>
      <c r="B4639" s="4">
        <v>1085.05</v>
      </c>
    </row>
    <row r="4640" spans="1:2">
      <c r="A4640" s="3">
        <v>43088</v>
      </c>
      <c r="B4640" s="4">
        <v>1084.67</v>
      </c>
    </row>
    <row r="4641" spans="1:2">
      <c r="A4641" s="3">
        <v>43089</v>
      </c>
      <c r="B4641" s="4">
        <v>1079.56</v>
      </c>
    </row>
    <row r="4642" spans="1:2">
      <c r="A4642" s="3">
        <v>43090</v>
      </c>
      <c r="B4642" s="4">
        <v>1079.54</v>
      </c>
    </row>
    <row r="4643" spans="1:2">
      <c r="A4643" s="3">
        <v>43091</v>
      </c>
      <c r="B4643" s="4">
        <v>1076.74</v>
      </c>
    </row>
    <row r="4644" spans="1:2">
      <c r="A4644" s="3">
        <v>43094</v>
      </c>
      <c r="B4644" s="4">
        <v>1075.56</v>
      </c>
    </row>
    <row r="4645" spans="1:2">
      <c r="A4645" s="3">
        <v>43095</v>
      </c>
      <c r="B4645" s="4">
        <v>1075.1199999999999</v>
      </c>
    </row>
    <row r="4646" spans="1:2">
      <c r="A4646" s="3">
        <v>43096</v>
      </c>
      <c r="B4646" s="4">
        <v>1074.22</v>
      </c>
    </row>
    <row r="4647" spans="1:2">
      <c r="A4647" s="3">
        <v>43097</v>
      </c>
      <c r="B4647" s="4">
        <v>1069.25</v>
      </c>
    </row>
    <row r="4648" spans="1:2">
      <c r="A4648" s="3">
        <v>43098</v>
      </c>
      <c r="B4648" s="4">
        <v>1066.3699999999999</v>
      </c>
    </row>
    <row r="4649" spans="1:2">
      <c r="A4649" s="3">
        <v>43101</v>
      </c>
      <c r="B4649" s="4">
        <v>1065.5899999999999</v>
      </c>
    </row>
    <row r="4650" spans="1:2">
      <c r="A4650" s="3">
        <v>43102</v>
      </c>
      <c r="B4650" s="4">
        <v>1062.21</v>
      </c>
    </row>
    <row r="4651" spans="1:2">
      <c r="A4651" s="3">
        <v>43103</v>
      </c>
      <c r="B4651" s="4">
        <v>1064.1300000000001</v>
      </c>
    </row>
    <row r="4652" spans="1:2">
      <c r="A4652" s="3">
        <v>43104</v>
      </c>
      <c r="B4652" s="4">
        <v>1061.27</v>
      </c>
    </row>
    <row r="4653" spans="1:2">
      <c r="A4653" s="3">
        <v>43105</v>
      </c>
      <c r="B4653" s="4">
        <v>1061.53</v>
      </c>
    </row>
    <row r="4654" spans="1:2">
      <c r="A4654" s="3">
        <v>43108</v>
      </c>
      <c r="B4654" s="4">
        <v>1067.8599999999999</v>
      </c>
    </row>
    <row r="4655" spans="1:2">
      <c r="A4655" s="3">
        <v>43109</v>
      </c>
      <c r="B4655" s="4">
        <v>1070.97</v>
      </c>
    </row>
    <row r="4656" spans="1:2">
      <c r="A4656" s="3">
        <v>43110</v>
      </c>
      <c r="B4656" s="4">
        <v>1069.1400000000001</v>
      </c>
    </row>
    <row r="4657" spans="1:2">
      <c r="A4657" s="3">
        <v>43111</v>
      </c>
      <c r="B4657" s="4">
        <v>1064.57</v>
      </c>
    </row>
    <row r="4658" spans="1:2">
      <c r="A4658" s="3">
        <v>43112</v>
      </c>
      <c r="B4658" s="4">
        <v>1058.99</v>
      </c>
    </row>
    <row r="4659" spans="1:2">
      <c r="A4659" s="3">
        <v>43115</v>
      </c>
      <c r="B4659" s="4">
        <v>1062.43</v>
      </c>
    </row>
    <row r="4660" spans="1:2">
      <c r="A4660" s="3">
        <v>43116</v>
      </c>
      <c r="B4660" s="4">
        <v>1063.6500000000001</v>
      </c>
    </row>
    <row r="4661" spans="1:2">
      <c r="A4661" s="3">
        <v>43117</v>
      </c>
      <c r="B4661" s="4">
        <v>1066.3599999999999</v>
      </c>
    </row>
    <row r="4662" spans="1:2">
      <c r="A4662" s="3">
        <v>43118</v>
      </c>
      <c r="B4662" s="4">
        <v>1069.69</v>
      </c>
    </row>
    <row r="4663" spans="1:2">
      <c r="A4663" s="3">
        <v>43119</v>
      </c>
      <c r="B4663" s="4">
        <v>1067.1099999999999</v>
      </c>
    </row>
    <row r="4664" spans="1:2">
      <c r="A4664" s="3">
        <v>43122</v>
      </c>
      <c r="B4664" s="4">
        <v>1068.4000000000001</v>
      </c>
    </row>
    <row r="4665" spans="1:2">
      <c r="A4665" s="3">
        <v>43123</v>
      </c>
      <c r="B4665" s="4">
        <v>1072.8900000000001</v>
      </c>
    </row>
    <row r="4666" spans="1:2">
      <c r="A4666" s="3">
        <v>43124</v>
      </c>
      <c r="B4666" s="4">
        <v>1063.98</v>
      </c>
    </row>
    <row r="4667" spans="1:2">
      <c r="A4667" s="3">
        <v>43125</v>
      </c>
      <c r="B4667" s="4">
        <v>1065.47</v>
      </c>
    </row>
    <row r="4668" spans="1:2">
      <c r="A4668" s="3">
        <v>43126</v>
      </c>
      <c r="B4668" s="4">
        <v>1063.67</v>
      </c>
    </row>
    <row r="4669" spans="1:2">
      <c r="A4669" s="3">
        <v>43129</v>
      </c>
      <c r="B4669" s="4">
        <v>1069.95</v>
      </c>
    </row>
    <row r="4670" spans="1:2">
      <c r="A4670" s="3">
        <v>43130</v>
      </c>
      <c r="B4670" s="4">
        <v>1072.23</v>
      </c>
    </row>
    <row r="4671" spans="1:2">
      <c r="A4671" s="3">
        <v>43131</v>
      </c>
      <c r="B4671" s="4">
        <v>1069.08</v>
      </c>
    </row>
    <row r="4672" spans="1:2">
      <c r="A4672" s="3">
        <v>43132</v>
      </c>
      <c r="B4672" s="4">
        <v>1069.94</v>
      </c>
    </row>
    <row r="4673" spans="1:2">
      <c r="A4673" s="3">
        <v>43133</v>
      </c>
      <c r="B4673" s="4">
        <v>1089.3699999999999</v>
      </c>
    </row>
    <row r="4674" spans="1:2">
      <c r="A4674" s="3">
        <v>43136</v>
      </c>
      <c r="B4674" s="4">
        <v>1094.1300000000001</v>
      </c>
    </row>
    <row r="4675" spans="1:2">
      <c r="A4675" s="3">
        <v>43137</v>
      </c>
      <c r="B4675" s="4">
        <v>1079.06</v>
      </c>
    </row>
    <row r="4676" spans="1:2">
      <c r="A4676" s="3">
        <v>43138</v>
      </c>
      <c r="B4676" s="4">
        <v>1089.24</v>
      </c>
    </row>
    <row r="4677" spans="1:2">
      <c r="A4677" s="3">
        <v>43139</v>
      </c>
      <c r="B4677" s="4">
        <v>1096.58</v>
      </c>
    </row>
    <row r="4678" spans="1:2">
      <c r="A4678" s="3">
        <v>43140</v>
      </c>
      <c r="B4678" s="4">
        <v>1084.67</v>
      </c>
    </row>
    <row r="4679" spans="1:2">
      <c r="A4679" s="3">
        <v>43143</v>
      </c>
      <c r="B4679" s="4">
        <v>1081.5999999999999</v>
      </c>
    </row>
    <row r="4680" spans="1:2">
      <c r="A4680" s="3">
        <v>43144</v>
      </c>
      <c r="B4680" s="4">
        <v>1084.05</v>
      </c>
    </row>
    <row r="4681" spans="1:2">
      <c r="A4681" s="3">
        <v>43145</v>
      </c>
      <c r="B4681" s="4">
        <v>1069.9100000000001</v>
      </c>
    </row>
    <row r="4682" spans="1:2">
      <c r="A4682" s="3">
        <v>43146</v>
      </c>
      <c r="B4682" s="4">
        <v>1063.1400000000001</v>
      </c>
    </row>
    <row r="4683" spans="1:2">
      <c r="A4683" s="3">
        <v>43147</v>
      </c>
      <c r="B4683" s="4">
        <v>1066.19</v>
      </c>
    </row>
    <row r="4684" spans="1:2">
      <c r="A4684" s="3">
        <v>43150</v>
      </c>
      <c r="B4684" s="4">
        <v>1066.4100000000001</v>
      </c>
    </row>
    <row r="4685" spans="1:2">
      <c r="A4685" s="3">
        <v>43151</v>
      </c>
      <c r="B4685" s="4">
        <v>1073.9100000000001</v>
      </c>
    </row>
    <row r="4686" spans="1:2">
      <c r="A4686" s="3">
        <v>43152</v>
      </c>
      <c r="B4686" s="4">
        <v>1075.01</v>
      </c>
    </row>
    <row r="4687" spans="1:2">
      <c r="A4687" s="3">
        <v>43153</v>
      </c>
      <c r="B4687" s="4">
        <v>1079.72</v>
      </c>
    </row>
    <row r="4688" spans="1:2">
      <c r="A4688" s="3">
        <v>43154</v>
      </c>
      <c r="B4688" s="4">
        <v>1076</v>
      </c>
    </row>
    <row r="4689" spans="1:2">
      <c r="A4689" s="3">
        <v>43157</v>
      </c>
      <c r="B4689" s="4">
        <v>1069.67</v>
      </c>
    </row>
    <row r="4690" spans="1:2">
      <c r="A4690" s="3">
        <v>43158</v>
      </c>
      <c r="B4690" s="4">
        <v>1080.45</v>
      </c>
    </row>
    <row r="4691" spans="1:2">
      <c r="A4691" s="3">
        <v>43159</v>
      </c>
      <c r="B4691" s="4">
        <v>1084.21</v>
      </c>
    </row>
    <row r="4692" spans="1:2">
      <c r="A4692" s="3">
        <v>43160</v>
      </c>
      <c r="B4692" s="4">
        <v>1081.83</v>
      </c>
    </row>
    <row r="4693" spans="1:2">
      <c r="A4693" s="3">
        <v>43161</v>
      </c>
      <c r="B4693" s="4">
        <v>1078.69</v>
      </c>
    </row>
    <row r="4694" spans="1:2">
      <c r="A4694" s="3">
        <v>43164</v>
      </c>
      <c r="B4694" s="4">
        <v>1076.67</v>
      </c>
    </row>
    <row r="4695" spans="1:2">
      <c r="A4695" s="3">
        <v>43165</v>
      </c>
      <c r="B4695" s="4">
        <v>1062.96</v>
      </c>
    </row>
    <row r="4696" spans="1:2">
      <c r="A4696" s="3">
        <v>43166</v>
      </c>
      <c r="B4696" s="4">
        <v>1066.43</v>
      </c>
    </row>
    <row r="4697" spans="1:2">
      <c r="A4697" s="3">
        <v>43167</v>
      </c>
      <c r="B4697" s="4">
        <v>1073.1099999999999</v>
      </c>
    </row>
    <row r="4698" spans="1:2">
      <c r="A4698" s="3">
        <v>43168</v>
      </c>
      <c r="B4698" s="4">
        <v>1064.3800000000001</v>
      </c>
    </row>
    <row r="4699" spans="1:2">
      <c r="A4699" s="3">
        <v>43171</v>
      </c>
      <c r="B4699" s="4">
        <v>1064.02</v>
      </c>
    </row>
    <row r="4700" spans="1:2">
      <c r="A4700" s="3">
        <v>43172</v>
      </c>
      <c r="B4700" s="4">
        <v>1065.8699999999999</v>
      </c>
    </row>
    <row r="4701" spans="1:2">
      <c r="A4701" s="3">
        <v>43173</v>
      </c>
      <c r="B4701" s="4">
        <v>1063.55</v>
      </c>
    </row>
    <row r="4702" spans="1:2">
      <c r="A4702" s="3">
        <v>43174</v>
      </c>
      <c r="B4702" s="4">
        <v>1068.77</v>
      </c>
    </row>
    <row r="4703" spans="1:2">
      <c r="A4703" s="3">
        <v>43175</v>
      </c>
      <c r="B4703" s="4">
        <v>1069.53</v>
      </c>
    </row>
    <row r="4704" spans="1:2">
      <c r="A4704" s="3">
        <v>43178</v>
      </c>
      <c r="B4704" s="4">
        <v>1072.49</v>
      </c>
    </row>
    <row r="4705" spans="1:2">
      <c r="A4705" s="3">
        <v>43179</v>
      </c>
      <c r="B4705" s="4">
        <v>1070.9100000000001</v>
      </c>
    </row>
    <row r="4706" spans="1:2">
      <c r="A4706" s="3">
        <v>43180</v>
      </c>
      <c r="B4706" s="4">
        <v>1064.1500000000001</v>
      </c>
    </row>
    <row r="4707" spans="1:2">
      <c r="A4707" s="3">
        <v>43181</v>
      </c>
      <c r="B4707" s="4">
        <v>1080.21</v>
      </c>
    </row>
    <row r="4708" spans="1:2">
      <c r="A4708" s="3">
        <v>43182</v>
      </c>
      <c r="B4708" s="4">
        <v>1082.8699999999999</v>
      </c>
    </row>
    <row r="4709" spans="1:2">
      <c r="A4709" s="3">
        <v>43185</v>
      </c>
      <c r="B4709" s="4">
        <v>1074.69</v>
      </c>
    </row>
    <row r="4710" spans="1:2">
      <c r="A4710" s="3">
        <v>43186</v>
      </c>
      <c r="B4710" s="4">
        <v>1074.1300000000001</v>
      </c>
    </row>
    <row r="4711" spans="1:2">
      <c r="A4711" s="3">
        <v>43187</v>
      </c>
      <c r="B4711" s="4">
        <v>1063.55</v>
      </c>
    </row>
    <row r="4712" spans="1:2">
      <c r="A4712" s="3">
        <v>43188</v>
      </c>
      <c r="B4712" s="4">
        <v>1062.07</v>
      </c>
    </row>
    <row r="4713" spans="1:2">
      <c r="A4713" s="3">
        <v>43189</v>
      </c>
      <c r="B4713" s="4">
        <v>1060.25</v>
      </c>
    </row>
    <row r="4714" spans="1:2">
      <c r="A4714" s="3">
        <v>43192</v>
      </c>
      <c r="B4714" s="4">
        <v>1056.1600000000001</v>
      </c>
    </row>
    <row r="4715" spans="1:2">
      <c r="A4715" s="3">
        <v>43193</v>
      </c>
      <c r="B4715" s="4">
        <v>1053.94</v>
      </c>
    </row>
    <row r="4716" spans="1:2">
      <c r="A4716" s="3">
        <v>43194</v>
      </c>
      <c r="B4716" s="4">
        <v>1057.28</v>
      </c>
    </row>
    <row r="4717" spans="1:2">
      <c r="A4717" s="3">
        <v>43195</v>
      </c>
      <c r="B4717" s="4">
        <v>1061.6300000000001</v>
      </c>
    </row>
    <row r="4718" spans="1:2">
      <c r="A4718" s="3">
        <v>43196</v>
      </c>
      <c r="B4718" s="4">
        <v>1069.75</v>
      </c>
    </row>
    <row r="4719" spans="1:2">
      <c r="A4719" s="3">
        <v>43199</v>
      </c>
      <c r="B4719" s="4">
        <v>1068.71</v>
      </c>
    </row>
    <row r="4720" spans="1:2">
      <c r="A4720" s="3">
        <v>43200</v>
      </c>
      <c r="B4720" s="4">
        <v>1063.81</v>
      </c>
    </row>
    <row r="4721" spans="1:2">
      <c r="A4721" s="3">
        <v>43201</v>
      </c>
      <c r="B4721" s="4">
        <v>1065.82</v>
      </c>
    </row>
    <row r="4722" spans="1:2">
      <c r="A4722" s="3">
        <v>43202</v>
      </c>
      <c r="B4722" s="4">
        <v>1070.03</v>
      </c>
    </row>
    <row r="4723" spans="1:2">
      <c r="A4723" s="3">
        <v>43203</v>
      </c>
      <c r="B4723" s="4">
        <v>1070.68</v>
      </c>
    </row>
    <row r="4724" spans="1:2">
      <c r="A4724" s="3">
        <v>43206</v>
      </c>
      <c r="B4724" s="4">
        <v>1069.68</v>
      </c>
    </row>
    <row r="4725" spans="1:2">
      <c r="A4725" s="3">
        <v>43207</v>
      </c>
      <c r="B4725" s="4">
        <v>1066.1099999999999</v>
      </c>
    </row>
    <row r="4726" spans="1:2">
      <c r="A4726" s="3">
        <v>43208</v>
      </c>
      <c r="B4726" s="4">
        <v>1064.1199999999999</v>
      </c>
    </row>
    <row r="4727" spans="1:2">
      <c r="A4727" s="3">
        <v>43209</v>
      </c>
      <c r="B4727" s="4">
        <v>1066.21</v>
      </c>
    </row>
    <row r="4728" spans="1:2">
      <c r="A4728" s="3">
        <v>43210</v>
      </c>
      <c r="B4728" s="4">
        <v>1070.0999999999999</v>
      </c>
    </row>
    <row r="4729" spans="1:2">
      <c r="A4729" s="3">
        <v>43213</v>
      </c>
      <c r="B4729" s="4">
        <v>1080.2</v>
      </c>
    </row>
    <row r="4730" spans="1:2">
      <c r="A4730" s="3">
        <v>43214</v>
      </c>
      <c r="B4730" s="4">
        <v>1076.27</v>
      </c>
    </row>
    <row r="4731" spans="1:2">
      <c r="A4731" s="3">
        <v>43215</v>
      </c>
      <c r="B4731" s="4">
        <v>1081.21</v>
      </c>
    </row>
    <row r="4732" spans="1:2">
      <c r="A4732" s="3">
        <v>43216</v>
      </c>
      <c r="B4732" s="4">
        <v>1076.57</v>
      </c>
    </row>
    <row r="4733" spans="1:2">
      <c r="A4733" s="3">
        <v>43217</v>
      </c>
      <c r="B4733" s="4">
        <v>1066.73</v>
      </c>
    </row>
    <row r="4734" spans="1:2">
      <c r="A4734" s="3">
        <v>43220</v>
      </c>
      <c r="B4734" s="4">
        <v>1069.33</v>
      </c>
    </row>
    <row r="4735" spans="1:2">
      <c r="A4735" s="3">
        <v>43221</v>
      </c>
      <c r="B4735" s="4">
        <v>1072.48</v>
      </c>
    </row>
    <row r="4736" spans="1:2">
      <c r="A4736" s="3">
        <v>43222</v>
      </c>
      <c r="B4736" s="4">
        <v>1078.8499999999999</v>
      </c>
    </row>
    <row r="4737" spans="1:2">
      <c r="A4737" s="3">
        <v>43223</v>
      </c>
      <c r="B4737" s="4">
        <v>1074.56</v>
      </c>
    </row>
    <row r="4738" spans="1:2">
      <c r="A4738" s="3">
        <v>43224</v>
      </c>
      <c r="B4738" s="4">
        <v>1073.1099999999999</v>
      </c>
    </row>
    <row r="4739" spans="1:2">
      <c r="A4739" s="3">
        <v>43227</v>
      </c>
      <c r="B4739" s="4">
        <v>1079.03</v>
      </c>
    </row>
    <row r="4740" spans="1:2">
      <c r="A4740" s="3">
        <v>43228</v>
      </c>
      <c r="B4740" s="4">
        <v>1077.43</v>
      </c>
    </row>
    <row r="4741" spans="1:2">
      <c r="A4741" s="3">
        <v>43229</v>
      </c>
      <c r="B4741" s="4">
        <v>1078.3800000000001</v>
      </c>
    </row>
    <row r="4742" spans="1:2">
      <c r="A4742" s="3">
        <v>43230</v>
      </c>
      <c r="B4742" s="4">
        <v>1064.69</v>
      </c>
    </row>
    <row r="4743" spans="1:2">
      <c r="A4743" s="3">
        <v>43231</v>
      </c>
      <c r="B4743" s="4">
        <v>1066.8900000000001</v>
      </c>
    </row>
    <row r="4744" spans="1:2">
      <c r="A4744" s="3">
        <v>43234</v>
      </c>
      <c r="B4744" s="4">
        <v>1070.1500000000001</v>
      </c>
    </row>
    <row r="4745" spans="1:2">
      <c r="A4745" s="3">
        <v>43235</v>
      </c>
      <c r="B4745" s="4">
        <v>1080.01</v>
      </c>
    </row>
    <row r="4746" spans="1:2">
      <c r="A4746" s="3">
        <v>43236</v>
      </c>
      <c r="B4746" s="4">
        <v>1076.74</v>
      </c>
    </row>
    <row r="4747" spans="1:2">
      <c r="A4747" s="3">
        <v>43237</v>
      </c>
      <c r="B4747" s="4">
        <v>1081.81</v>
      </c>
    </row>
    <row r="4748" spans="1:2">
      <c r="A4748" s="3">
        <v>43238</v>
      </c>
      <c r="B4748" s="4">
        <v>1080.57</v>
      </c>
    </row>
    <row r="4749" spans="1:2">
      <c r="A4749" s="3">
        <v>43241</v>
      </c>
      <c r="B4749" s="4">
        <v>1076.55</v>
      </c>
    </row>
    <row r="4750" spans="1:2">
      <c r="A4750" s="3">
        <v>43242</v>
      </c>
      <c r="B4750" s="4">
        <v>1075.54</v>
      </c>
    </row>
    <row r="4751" spans="1:2">
      <c r="A4751" s="3">
        <v>43243</v>
      </c>
      <c r="B4751" s="4">
        <v>1076.25</v>
      </c>
    </row>
    <row r="4752" spans="1:2">
      <c r="A4752" s="3">
        <v>43244</v>
      </c>
      <c r="B4752" s="4">
        <v>1080.69</v>
      </c>
    </row>
    <row r="4753" spans="1:2">
      <c r="A4753" s="3">
        <v>43245</v>
      </c>
      <c r="B4753" s="4">
        <v>1077.3699999999999</v>
      </c>
    </row>
    <row r="4754" spans="1:2">
      <c r="A4754" s="3">
        <v>43248</v>
      </c>
      <c r="B4754" s="4">
        <v>1074.4100000000001</v>
      </c>
    </row>
    <row r="4755" spans="1:2">
      <c r="A4755" s="3">
        <v>43249</v>
      </c>
      <c r="B4755" s="4">
        <v>1083.3699999999999</v>
      </c>
    </row>
    <row r="4756" spans="1:2">
      <c r="A4756" s="3">
        <v>43250</v>
      </c>
      <c r="B4756" s="4">
        <v>1075.79</v>
      </c>
    </row>
    <row r="4757" spans="1:2">
      <c r="A4757" s="3">
        <v>43251</v>
      </c>
      <c r="B4757" s="4">
        <v>1079.5899999999999</v>
      </c>
    </row>
    <row r="4758" spans="1:2">
      <c r="A4758" s="3">
        <v>43252</v>
      </c>
      <c r="B4758" s="4">
        <v>1070.73</v>
      </c>
    </row>
    <row r="4759" spans="1:2">
      <c r="A4759" s="3">
        <v>43255</v>
      </c>
      <c r="B4759" s="4">
        <v>1069.33</v>
      </c>
    </row>
    <row r="4760" spans="1:2">
      <c r="A4760" s="3">
        <v>43256</v>
      </c>
      <c r="B4760" s="4">
        <v>1070.95</v>
      </c>
    </row>
    <row r="4761" spans="1:2">
      <c r="A4761" s="3">
        <v>43257</v>
      </c>
      <c r="B4761" s="4">
        <v>1066.05</v>
      </c>
    </row>
    <row r="4762" spans="1:2">
      <c r="A4762" s="3">
        <v>43258</v>
      </c>
      <c r="B4762" s="4">
        <v>1071.6099999999999</v>
      </c>
    </row>
    <row r="4763" spans="1:2">
      <c r="A4763" s="3">
        <v>43259</v>
      </c>
      <c r="B4763" s="4">
        <v>1073.93</v>
      </c>
    </row>
    <row r="4764" spans="1:2">
      <c r="A4764" s="3">
        <v>43262</v>
      </c>
      <c r="B4764" s="4">
        <v>1075.8800000000001</v>
      </c>
    </row>
    <row r="4765" spans="1:2">
      <c r="A4765" s="3">
        <v>43263</v>
      </c>
      <c r="B4765" s="4">
        <v>1080.83</v>
      </c>
    </row>
    <row r="4766" spans="1:2">
      <c r="A4766" s="3">
        <v>43264</v>
      </c>
      <c r="B4766" s="4">
        <v>1085.17</v>
      </c>
    </row>
    <row r="4767" spans="1:2">
      <c r="A4767" s="3">
        <v>43265</v>
      </c>
      <c r="B4767" s="4">
        <v>1088.1500000000001</v>
      </c>
    </row>
    <row r="4768" spans="1:2">
      <c r="A4768" s="3">
        <v>43266</v>
      </c>
      <c r="B4768" s="4">
        <v>1102.42</v>
      </c>
    </row>
    <row r="4769" spans="1:2">
      <c r="A4769" s="3">
        <v>43269</v>
      </c>
      <c r="B4769" s="4">
        <v>1102.51</v>
      </c>
    </row>
    <row r="4770" spans="1:2">
      <c r="A4770" s="3">
        <v>43270</v>
      </c>
      <c r="B4770" s="4">
        <v>1110.8900000000001</v>
      </c>
    </row>
    <row r="4771" spans="1:2">
      <c r="A4771" s="3">
        <v>43271</v>
      </c>
      <c r="B4771" s="4">
        <v>1108.98</v>
      </c>
    </row>
    <row r="4772" spans="1:2">
      <c r="A4772" s="3">
        <v>43272</v>
      </c>
      <c r="B4772" s="4">
        <v>1109.55</v>
      </c>
    </row>
    <row r="4773" spans="1:2">
      <c r="A4773" s="3">
        <v>43273</v>
      </c>
      <c r="B4773" s="4">
        <v>1111</v>
      </c>
    </row>
    <row r="4774" spans="1:2">
      <c r="A4774" s="3">
        <v>43276</v>
      </c>
      <c r="B4774" s="4">
        <v>1114.47</v>
      </c>
    </row>
    <row r="4775" spans="1:2">
      <c r="A4775" s="3">
        <v>43277</v>
      </c>
      <c r="B4775" s="4">
        <v>1117.51</v>
      </c>
    </row>
    <row r="4776" spans="1:2">
      <c r="A4776" s="3">
        <v>43278</v>
      </c>
      <c r="B4776" s="4">
        <v>1122.4100000000001</v>
      </c>
    </row>
    <row r="4777" spans="1:2">
      <c r="A4777" s="3">
        <v>43279</v>
      </c>
      <c r="B4777" s="4">
        <v>1120.51</v>
      </c>
    </row>
    <row r="4778" spans="1:2">
      <c r="A4778" s="3">
        <v>43280</v>
      </c>
      <c r="B4778" s="4">
        <v>1113.9100000000001</v>
      </c>
    </row>
    <row r="4779" spans="1:2">
      <c r="A4779" s="3">
        <v>43283</v>
      </c>
      <c r="B4779" s="4">
        <v>1117.8800000000001</v>
      </c>
    </row>
    <row r="4780" spans="1:2">
      <c r="A4780" s="3">
        <v>43284</v>
      </c>
      <c r="B4780" s="4">
        <v>1113.99</v>
      </c>
    </row>
    <row r="4781" spans="1:2">
      <c r="A4781" s="3">
        <v>43285</v>
      </c>
      <c r="B4781" s="4">
        <v>1115.25</v>
      </c>
    </row>
    <row r="4782" spans="1:2">
      <c r="A4782" s="3">
        <v>43286</v>
      </c>
      <c r="B4782" s="4">
        <v>1118.33</v>
      </c>
    </row>
    <row r="4783" spans="1:2">
      <c r="A4783" s="3">
        <v>43287</v>
      </c>
      <c r="B4783" s="4">
        <v>1114.69</v>
      </c>
    </row>
    <row r="4784" spans="1:2">
      <c r="A4784" s="3">
        <v>43290</v>
      </c>
      <c r="B4784" s="4">
        <v>1112.32</v>
      </c>
    </row>
    <row r="4785" spans="1:2">
      <c r="A4785" s="3">
        <v>43291</v>
      </c>
      <c r="B4785" s="4">
        <v>1113.43</v>
      </c>
    </row>
    <row r="4786" spans="1:2">
      <c r="A4786" s="3">
        <v>43292</v>
      </c>
      <c r="B4786" s="4">
        <v>1127.23</v>
      </c>
    </row>
    <row r="4787" spans="1:2">
      <c r="A4787" s="3">
        <v>43293</v>
      </c>
      <c r="B4787" s="4">
        <v>1123.58</v>
      </c>
    </row>
    <row r="4788" spans="1:2">
      <c r="A4788" s="3">
        <v>43294</v>
      </c>
      <c r="B4788" s="4">
        <v>1129</v>
      </c>
    </row>
    <row r="4789" spans="1:2">
      <c r="A4789" s="3">
        <v>43297</v>
      </c>
      <c r="B4789" s="4">
        <v>1127.6400000000001</v>
      </c>
    </row>
    <row r="4790" spans="1:2">
      <c r="A4790" s="3">
        <v>43298</v>
      </c>
      <c r="B4790" s="4">
        <v>1126</v>
      </c>
    </row>
    <row r="4791" spans="1:2">
      <c r="A4791" s="3">
        <v>43299</v>
      </c>
      <c r="B4791" s="4">
        <v>1130.1600000000001</v>
      </c>
    </row>
    <row r="4792" spans="1:2">
      <c r="A4792" s="3">
        <v>43300</v>
      </c>
      <c r="B4792" s="4">
        <v>1134.3900000000001</v>
      </c>
    </row>
    <row r="4793" spans="1:2">
      <c r="A4793" s="3">
        <v>43301</v>
      </c>
      <c r="B4793" s="4">
        <v>1126.9000000000001</v>
      </c>
    </row>
    <row r="4794" spans="1:2">
      <c r="A4794" s="3">
        <v>43304</v>
      </c>
      <c r="B4794" s="4">
        <v>1133.0899999999999</v>
      </c>
    </row>
    <row r="4795" spans="1:2">
      <c r="A4795" s="3">
        <v>43305</v>
      </c>
      <c r="B4795" s="4">
        <v>1126.4100000000001</v>
      </c>
    </row>
    <row r="4796" spans="1:2">
      <c r="A4796" s="3">
        <v>43306</v>
      </c>
      <c r="B4796" s="4">
        <v>1116.6500000000001</v>
      </c>
    </row>
    <row r="4797" spans="1:2">
      <c r="A4797" s="3">
        <v>43307</v>
      </c>
      <c r="B4797" s="4">
        <v>1123.3800000000001</v>
      </c>
    </row>
    <row r="4798" spans="1:2">
      <c r="A4798" s="3">
        <v>43308</v>
      </c>
      <c r="B4798" s="4">
        <v>1114.6500000000001</v>
      </c>
    </row>
    <row r="4799" spans="1:2">
      <c r="A4799" s="3">
        <v>43311</v>
      </c>
      <c r="B4799" s="4">
        <v>1117.6300000000001</v>
      </c>
    </row>
    <row r="4800" spans="1:2">
      <c r="A4800" s="3">
        <v>43312</v>
      </c>
      <c r="B4800" s="4">
        <v>1112.25</v>
      </c>
    </row>
    <row r="4801" spans="1:2">
      <c r="A4801" s="3">
        <v>43313</v>
      </c>
      <c r="B4801" s="4">
        <v>1118.49</v>
      </c>
    </row>
    <row r="4802" spans="1:2">
      <c r="A4802" s="3">
        <v>43314</v>
      </c>
      <c r="B4802" s="4">
        <v>1127.21</v>
      </c>
    </row>
    <row r="4803" spans="1:2">
      <c r="A4803" s="3">
        <v>43315</v>
      </c>
      <c r="B4803" s="4">
        <v>1122.3399999999999</v>
      </c>
    </row>
    <row r="4804" spans="1:2">
      <c r="A4804" s="3">
        <v>43318</v>
      </c>
      <c r="B4804" s="4">
        <v>1125.7</v>
      </c>
    </row>
    <row r="4805" spans="1:2">
      <c r="A4805" s="3">
        <v>43319</v>
      </c>
      <c r="B4805" s="4">
        <v>1116.94</v>
      </c>
    </row>
    <row r="4806" spans="1:2">
      <c r="A4806" s="3">
        <v>43320</v>
      </c>
      <c r="B4806" s="4">
        <v>1117.08</v>
      </c>
    </row>
    <row r="4807" spans="1:2">
      <c r="A4807" s="3">
        <v>43321</v>
      </c>
      <c r="B4807" s="4">
        <v>1122.4000000000001</v>
      </c>
    </row>
    <row r="4808" spans="1:2">
      <c r="A4808" s="3">
        <v>43322</v>
      </c>
      <c r="B4808" s="4">
        <v>1129.17</v>
      </c>
    </row>
    <row r="4809" spans="1:2">
      <c r="A4809" s="3">
        <v>43325</v>
      </c>
      <c r="B4809" s="4">
        <v>1136</v>
      </c>
    </row>
    <row r="4810" spans="1:2">
      <c r="A4810" s="3">
        <v>43326</v>
      </c>
      <c r="B4810" s="4">
        <v>1127.21</v>
      </c>
    </row>
    <row r="4811" spans="1:2">
      <c r="A4811" s="3">
        <v>43327</v>
      </c>
      <c r="B4811" s="4">
        <v>1132.97</v>
      </c>
    </row>
    <row r="4812" spans="1:2">
      <c r="A4812" s="3">
        <v>43328</v>
      </c>
      <c r="B4812" s="4">
        <v>1126.25</v>
      </c>
    </row>
    <row r="4813" spans="1:2">
      <c r="A4813" s="3">
        <v>43329</v>
      </c>
      <c r="B4813" s="4">
        <v>1119.52</v>
      </c>
    </row>
    <row r="4814" spans="1:2">
      <c r="A4814" s="3">
        <v>43332</v>
      </c>
      <c r="B4814" s="4">
        <v>1117.17</v>
      </c>
    </row>
    <row r="4815" spans="1:2">
      <c r="A4815" s="3">
        <v>43333</v>
      </c>
      <c r="B4815" s="4">
        <v>1116.43</v>
      </c>
    </row>
    <row r="4816" spans="1:2">
      <c r="A4816" s="3">
        <v>43334</v>
      </c>
      <c r="B4816" s="4">
        <v>1116.76</v>
      </c>
    </row>
    <row r="4817" spans="1:2">
      <c r="A4817" s="3">
        <v>43335</v>
      </c>
      <c r="B4817" s="4">
        <v>1123.6199999999999</v>
      </c>
    </row>
    <row r="4818" spans="1:2">
      <c r="A4818" s="3">
        <v>43336</v>
      </c>
      <c r="B4818" s="4">
        <v>1114.33</v>
      </c>
    </row>
    <row r="4819" spans="1:2">
      <c r="A4819" s="3">
        <v>43339</v>
      </c>
      <c r="B4819" s="4">
        <v>1107.8</v>
      </c>
    </row>
    <row r="4820" spans="1:2">
      <c r="A4820" s="3">
        <v>43340</v>
      </c>
      <c r="B4820" s="4">
        <v>1107.3</v>
      </c>
    </row>
    <row r="4821" spans="1:2">
      <c r="A4821" s="3">
        <v>43341</v>
      </c>
      <c r="B4821" s="4">
        <v>1109.6400000000001</v>
      </c>
    </row>
    <row r="4822" spans="1:2">
      <c r="A4822" s="3">
        <v>43342</v>
      </c>
      <c r="B4822" s="4">
        <v>1113.79</v>
      </c>
    </row>
    <row r="4823" spans="1:2">
      <c r="A4823" s="3">
        <v>43343</v>
      </c>
      <c r="B4823" s="4">
        <v>1115.46</v>
      </c>
    </row>
    <row r="4824" spans="1:2">
      <c r="A4824" s="3">
        <v>43346</v>
      </c>
      <c r="B4824" s="4">
        <v>1111.0999999999999</v>
      </c>
    </row>
    <row r="4825" spans="1:2">
      <c r="A4825" s="3">
        <v>43347</v>
      </c>
      <c r="B4825" s="4">
        <v>1117.3599999999999</v>
      </c>
    </row>
    <row r="4826" spans="1:2">
      <c r="A4826" s="3">
        <v>43348</v>
      </c>
      <c r="B4826" s="4">
        <v>1118.8399999999999</v>
      </c>
    </row>
    <row r="4827" spans="1:2">
      <c r="A4827" s="3">
        <v>43349</v>
      </c>
      <c r="B4827" s="4">
        <v>1121.8800000000001</v>
      </c>
    </row>
    <row r="4828" spans="1:2">
      <c r="A4828" s="3">
        <v>43350</v>
      </c>
      <c r="B4828" s="4">
        <v>1127.57</v>
      </c>
    </row>
    <row r="4829" spans="1:2">
      <c r="A4829" s="3">
        <v>43353</v>
      </c>
      <c r="B4829" s="4">
        <v>1128.5999999999999</v>
      </c>
    </row>
    <row r="4830" spans="1:2">
      <c r="A4830" s="3">
        <v>43354</v>
      </c>
      <c r="B4830" s="4">
        <v>1122.99</v>
      </c>
    </row>
    <row r="4831" spans="1:2">
      <c r="A4831" s="3">
        <v>43355</v>
      </c>
      <c r="B4831" s="4">
        <v>1119.25</v>
      </c>
    </row>
    <row r="4832" spans="1:2">
      <c r="A4832" s="3">
        <v>43356</v>
      </c>
      <c r="B4832" s="4">
        <v>1119.83</v>
      </c>
    </row>
    <row r="4833" spans="1:2">
      <c r="A4833" s="3">
        <v>43357</v>
      </c>
      <c r="B4833" s="4">
        <v>1120.6600000000001</v>
      </c>
    </row>
    <row r="4834" spans="1:2">
      <c r="A4834" s="3">
        <v>43360</v>
      </c>
      <c r="B4834" s="4">
        <v>1125.33</v>
      </c>
    </row>
    <row r="4835" spans="1:2">
      <c r="A4835" s="3">
        <v>43361</v>
      </c>
      <c r="B4835" s="4">
        <v>1121.82</v>
      </c>
    </row>
    <row r="4836" spans="1:2">
      <c r="A4836" s="3">
        <v>43362</v>
      </c>
      <c r="B4836" s="4">
        <v>1117.95</v>
      </c>
    </row>
    <row r="4837" spans="1:2">
      <c r="A4837" s="3">
        <v>43363</v>
      </c>
      <c r="B4837" s="4">
        <v>1116.1300000000001</v>
      </c>
    </row>
    <row r="4838" spans="1:2">
      <c r="A4838" s="3">
        <v>43364</v>
      </c>
      <c r="B4838" s="4">
        <v>1113.95</v>
      </c>
    </row>
    <row r="4839" spans="1:2">
      <c r="A4839" s="3">
        <v>43367</v>
      </c>
      <c r="B4839" s="4">
        <v>1119.1199999999999</v>
      </c>
    </row>
    <row r="4840" spans="1:2">
      <c r="A4840" s="3">
        <v>43368</v>
      </c>
      <c r="B4840" s="4">
        <v>1116.8800000000001</v>
      </c>
    </row>
    <row r="4841" spans="1:2">
      <c r="A4841" s="3">
        <v>43369</v>
      </c>
      <c r="B4841" s="4">
        <v>1115.3699999999999</v>
      </c>
    </row>
    <row r="4842" spans="1:2">
      <c r="A4842" s="3">
        <v>43370</v>
      </c>
      <c r="B4842" s="4">
        <v>1113.82</v>
      </c>
    </row>
    <row r="4843" spans="1:2">
      <c r="A4843" s="3">
        <v>43371</v>
      </c>
      <c r="B4843" s="4">
        <v>1109.98</v>
      </c>
    </row>
    <row r="4844" spans="1:2">
      <c r="A4844" s="3">
        <v>43374</v>
      </c>
      <c r="B4844" s="4">
        <v>1112.76</v>
      </c>
    </row>
    <row r="4845" spans="1:2">
      <c r="A4845" s="3">
        <v>43375</v>
      </c>
      <c r="B4845" s="4">
        <v>1118.33</v>
      </c>
    </row>
    <row r="4846" spans="1:2">
      <c r="A4846" s="3">
        <v>43376</v>
      </c>
      <c r="B4846" s="4">
        <v>1124.5</v>
      </c>
    </row>
    <row r="4847" spans="1:2">
      <c r="A4847" s="3">
        <v>43377</v>
      </c>
      <c r="B4847" s="4">
        <v>1132.53</v>
      </c>
    </row>
    <row r="4848" spans="1:2">
      <c r="A4848" s="3">
        <v>43378</v>
      </c>
      <c r="B4848" s="4">
        <v>1131.1300000000001</v>
      </c>
    </row>
    <row r="4849" spans="1:2">
      <c r="A4849" s="3">
        <v>43381</v>
      </c>
      <c r="B4849" s="4">
        <v>1133.6300000000001</v>
      </c>
    </row>
    <row r="4850" spans="1:2">
      <c r="A4850" s="3">
        <v>43382</v>
      </c>
      <c r="B4850" s="4">
        <v>1131.1199999999999</v>
      </c>
    </row>
    <row r="4851" spans="1:2">
      <c r="A4851" s="3">
        <v>43383</v>
      </c>
      <c r="B4851" s="4">
        <v>1142.3</v>
      </c>
    </row>
    <row r="4852" spans="1:2">
      <c r="A4852" s="3">
        <v>43384</v>
      </c>
      <c r="B4852" s="4">
        <v>1134.55</v>
      </c>
    </row>
    <row r="4853" spans="1:2">
      <c r="A4853" s="3">
        <v>43385</v>
      </c>
      <c r="B4853" s="4">
        <v>1130.3</v>
      </c>
    </row>
    <row r="4854" spans="1:2">
      <c r="A4854" s="3">
        <v>43388</v>
      </c>
      <c r="B4854" s="4">
        <v>1130.8699999999999</v>
      </c>
    </row>
    <row r="4855" spans="1:2">
      <c r="A4855" s="3">
        <v>43389</v>
      </c>
      <c r="B4855" s="4">
        <v>1123.07</v>
      </c>
    </row>
    <row r="4856" spans="1:2">
      <c r="A4856" s="3">
        <v>43390</v>
      </c>
      <c r="B4856" s="4">
        <v>1127.53</v>
      </c>
    </row>
    <row r="4857" spans="1:2">
      <c r="A4857" s="3">
        <v>43391</v>
      </c>
      <c r="B4857" s="4">
        <v>1137.5999999999999</v>
      </c>
    </row>
    <row r="4858" spans="1:2">
      <c r="A4858" s="3">
        <v>43392</v>
      </c>
      <c r="B4858" s="4">
        <v>1131.1500000000001</v>
      </c>
    </row>
    <row r="4859" spans="1:2">
      <c r="A4859" s="3">
        <v>43395</v>
      </c>
      <c r="B4859" s="4">
        <v>1132.25</v>
      </c>
    </row>
    <row r="4860" spans="1:2">
      <c r="A4860" s="3">
        <v>43396</v>
      </c>
      <c r="B4860" s="4">
        <v>1134.78</v>
      </c>
    </row>
    <row r="4861" spans="1:2">
      <c r="A4861" s="3">
        <v>43397</v>
      </c>
      <c r="B4861" s="4">
        <v>1138.8599999999999</v>
      </c>
    </row>
    <row r="4862" spans="1:2">
      <c r="A4862" s="3">
        <v>43398</v>
      </c>
      <c r="B4862" s="4">
        <v>1136.3800000000001</v>
      </c>
    </row>
    <row r="4863" spans="1:2">
      <c r="A4863" s="3">
        <v>43399</v>
      </c>
      <c r="B4863" s="4">
        <v>1139.28</v>
      </c>
    </row>
    <row r="4864" spans="1:2">
      <c r="A4864" s="3">
        <v>43402</v>
      </c>
      <c r="B4864" s="4">
        <v>1142.74</v>
      </c>
    </row>
    <row r="4865" spans="1:2">
      <c r="A4865" s="3">
        <v>43403</v>
      </c>
      <c r="B4865" s="4">
        <v>1138.69</v>
      </c>
    </row>
    <row r="4866" spans="1:2">
      <c r="A4866" s="3">
        <v>43404</v>
      </c>
      <c r="B4866" s="4">
        <v>1141.02</v>
      </c>
    </row>
    <row r="4867" spans="1:2">
      <c r="A4867" s="3">
        <v>43405</v>
      </c>
      <c r="B4867" s="4">
        <v>1124.1600000000001</v>
      </c>
    </row>
    <row r="4868" spans="1:2">
      <c r="A4868" s="3">
        <v>43406</v>
      </c>
      <c r="B4868" s="4">
        <v>1117.0999999999999</v>
      </c>
    </row>
    <row r="4869" spans="1:2">
      <c r="A4869" s="3">
        <v>43409</v>
      </c>
      <c r="B4869" s="4">
        <v>1119.56</v>
      </c>
    </row>
    <row r="4870" spans="1:2">
      <c r="A4870" s="3">
        <v>43410</v>
      </c>
      <c r="B4870" s="4">
        <v>1120.93</v>
      </c>
    </row>
    <row r="4871" spans="1:2">
      <c r="A4871" s="3">
        <v>43411</v>
      </c>
      <c r="B4871" s="4">
        <v>1115.43</v>
      </c>
    </row>
    <row r="4872" spans="1:2">
      <c r="A4872" s="3">
        <v>43412</v>
      </c>
      <c r="B4872" s="4">
        <v>1120.68</v>
      </c>
    </row>
    <row r="4873" spans="1:2">
      <c r="A4873" s="3">
        <v>43413</v>
      </c>
      <c r="B4873" s="4">
        <v>1129.69</v>
      </c>
    </row>
    <row r="4874" spans="1:2">
      <c r="A4874" s="3">
        <v>43416</v>
      </c>
      <c r="B4874" s="4">
        <v>1138.3499999999999</v>
      </c>
    </row>
    <row r="4875" spans="1:2">
      <c r="A4875" s="3">
        <v>43417</v>
      </c>
      <c r="B4875" s="4">
        <v>1131.3399999999999</v>
      </c>
    </row>
    <row r="4876" spans="1:2">
      <c r="A4876" s="3">
        <v>43418</v>
      </c>
      <c r="B4876" s="4">
        <v>1131.7</v>
      </c>
    </row>
    <row r="4877" spans="1:2">
      <c r="A4877" s="3">
        <v>43419</v>
      </c>
      <c r="B4877" s="4">
        <v>1126.93</v>
      </c>
    </row>
    <row r="4878" spans="1:2">
      <c r="A4878" s="3">
        <v>43420</v>
      </c>
      <c r="B4878" s="4">
        <v>1120.4000000000001</v>
      </c>
    </row>
    <row r="4879" spans="1:2">
      <c r="A4879" s="3">
        <v>43423</v>
      </c>
      <c r="B4879" s="4">
        <v>1125.02</v>
      </c>
    </row>
    <row r="4880" spans="1:2">
      <c r="A4880" s="3">
        <v>43424</v>
      </c>
      <c r="B4880" s="4">
        <v>1129.25</v>
      </c>
    </row>
    <row r="4881" spans="1:2">
      <c r="A4881" s="3">
        <v>43425</v>
      </c>
      <c r="B4881" s="4">
        <v>1127.1199999999999</v>
      </c>
    </row>
    <row r="4882" spans="1:2">
      <c r="A4882" s="3">
        <v>43426</v>
      </c>
      <c r="B4882" s="4">
        <v>1130.8</v>
      </c>
    </row>
    <row r="4883" spans="1:2">
      <c r="A4883" s="3">
        <v>43427</v>
      </c>
      <c r="B4883" s="4">
        <v>1132.5</v>
      </c>
    </row>
    <row r="4884" spans="1:2">
      <c r="A4884" s="3">
        <v>43430</v>
      </c>
      <c r="B4884" s="4">
        <v>1128.79</v>
      </c>
    </row>
    <row r="4885" spans="1:2">
      <c r="A4885" s="3">
        <v>43431</v>
      </c>
      <c r="B4885" s="4">
        <v>1129.51</v>
      </c>
    </row>
    <row r="4886" spans="1:2">
      <c r="A4886" s="3">
        <v>43432</v>
      </c>
      <c r="B4886" s="4">
        <v>1122.48</v>
      </c>
    </row>
    <row r="4887" spans="1:2">
      <c r="A4887" s="3">
        <v>43433</v>
      </c>
      <c r="B4887" s="4">
        <v>1116.55</v>
      </c>
    </row>
    <row r="4888" spans="1:2">
      <c r="A4888" s="3">
        <v>43434</v>
      </c>
      <c r="B4888" s="4">
        <v>1119.44</v>
      </c>
    </row>
    <row r="4889" spans="1:2">
      <c r="A4889" s="3">
        <v>43437</v>
      </c>
      <c r="B4889" s="4">
        <v>1108.54</v>
      </c>
    </row>
    <row r="4890" spans="1:2">
      <c r="A4890" s="3">
        <v>43438</v>
      </c>
      <c r="B4890" s="4">
        <v>1110.51</v>
      </c>
    </row>
    <row r="4891" spans="1:2">
      <c r="A4891" s="3">
        <v>43439</v>
      </c>
      <c r="B4891" s="4">
        <v>1113.1600000000001</v>
      </c>
    </row>
    <row r="4892" spans="1:2">
      <c r="A4892" s="3">
        <v>43440</v>
      </c>
      <c r="B4892" s="4">
        <v>1117.7</v>
      </c>
    </row>
    <row r="4893" spans="1:2">
      <c r="A4893" s="3">
        <v>43441</v>
      </c>
      <c r="B4893" s="4">
        <v>1123.8499999999999</v>
      </c>
    </row>
    <row r="4894" spans="1:2">
      <c r="A4894" s="3">
        <v>43444</v>
      </c>
      <c r="B4894" s="4">
        <v>1127.3699999999999</v>
      </c>
    </row>
    <row r="4895" spans="1:2">
      <c r="A4895" s="3">
        <v>43445</v>
      </c>
      <c r="B4895" s="4">
        <v>1128.53</v>
      </c>
    </row>
    <row r="4896" spans="1:2">
      <c r="A4896" s="3">
        <v>43446</v>
      </c>
      <c r="B4896" s="4">
        <v>1123.82</v>
      </c>
    </row>
    <row r="4897" spans="1:2">
      <c r="A4897" s="3">
        <v>43447</v>
      </c>
      <c r="B4897" s="4">
        <v>1124.55</v>
      </c>
    </row>
    <row r="4898" spans="1:2">
      <c r="A4898" s="3">
        <v>43448</v>
      </c>
      <c r="B4898" s="4">
        <v>1131.7</v>
      </c>
    </row>
    <row r="4899" spans="1:2">
      <c r="A4899" s="3">
        <v>43451</v>
      </c>
      <c r="B4899" s="4">
        <v>1128.2</v>
      </c>
    </row>
    <row r="4900" spans="1:2">
      <c r="A4900" s="3">
        <v>43452</v>
      </c>
      <c r="B4900" s="4">
        <v>1126.53</v>
      </c>
    </row>
    <row r="4901" spans="1:2">
      <c r="A4901" s="3">
        <v>43453</v>
      </c>
      <c r="B4901" s="4">
        <v>1128.71</v>
      </c>
    </row>
    <row r="4902" spans="1:2">
      <c r="A4902" s="3">
        <v>43454</v>
      </c>
      <c r="B4902" s="4">
        <v>1121.78</v>
      </c>
    </row>
    <row r="4903" spans="1:2">
      <c r="A4903" s="3">
        <v>43455</v>
      </c>
      <c r="B4903" s="4">
        <v>1128.04</v>
      </c>
    </row>
    <row r="4904" spans="1:2">
      <c r="A4904" s="3">
        <v>43458</v>
      </c>
      <c r="B4904" s="4">
        <v>1123.8699999999999</v>
      </c>
    </row>
    <row r="4905" spans="1:2">
      <c r="A4905" s="3">
        <v>43459</v>
      </c>
      <c r="B4905" s="4">
        <v>1124.0999999999999</v>
      </c>
    </row>
    <row r="4906" spans="1:2">
      <c r="A4906" s="3">
        <v>43460</v>
      </c>
      <c r="B4906" s="4">
        <v>1123.6600000000001</v>
      </c>
    </row>
    <row r="4907" spans="1:2">
      <c r="A4907" s="3">
        <v>43461</v>
      </c>
      <c r="B4907" s="4">
        <v>1119.08</v>
      </c>
    </row>
    <row r="4908" spans="1:2">
      <c r="A4908" s="3">
        <v>43462</v>
      </c>
      <c r="B4908" s="4">
        <v>1116.05</v>
      </c>
    </row>
    <row r="4909" spans="1:2">
      <c r="A4909" s="3">
        <v>43465</v>
      </c>
      <c r="B4909" s="4">
        <v>1113.3</v>
      </c>
    </row>
    <row r="4910" spans="1:2">
      <c r="A4910" s="3">
        <v>43466</v>
      </c>
      <c r="B4910" s="4">
        <v>1111.83</v>
      </c>
    </row>
    <row r="4911" spans="1:2">
      <c r="A4911" s="3">
        <v>43467</v>
      </c>
      <c r="B4911" s="4">
        <v>1119.1199999999999</v>
      </c>
    </row>
    <row r="4912" spans="1:2">
      <c r="A4912" s="3">
        <v>43468</v>
      </c>
      <c r="B4912" s="4">
        <v>1124.8900000000001</v>
      </c>
    </row>
    <row r="4913" spans="1:2">
      <c r="A4913" s="3">
        <v>43469</v>
      </c>
      <c r="B4913" s="4">
        <v>1115.8499999999999</v>
      </c>
    </row>
    <row r="4914" spans="1:2">
      <c r="A4914" s="3">
        <v>43472</v>
      </c>
      <c r="B4914" s="4">
        <v>1116.6600000000001</v>
      </c>
    </row>
    <row r="4915" spans="1:2">
      <c r="A4915" s="3">
        <v>43473</v>
      </c>
      <c r="B4915" s="4">
        <v>1121.83</v>
      </c>
    </row>
    <row r="4916" spans="1:2">
      <c r="A4916" s="3">
        <v>43474</v>
      </c>
      <c r="B4916" s="4">
        <v>1117.18</v>
      </c>
    </row>
    <row r="4917" spans="1:2">
      <c r="A4917" s="3">
        <v>43475</v>
      </c>
      <c r="B4917" s="4">
        <v>1116.79</v>
      </c>
    </row>
    <row r="4918" spans="1:2">
      <c r="A4918" s="3">
        <v>43476</v>
      </c>
      <c r="B4918" s="4">
        <v>1117.23</v>
      </c>
    </row>
    <row r="4919" spans="1:2">
      <c r="A4919" s="3">
        <v>43479</v>
      </c>
      <c r="B4919" s="4">
        <v>1120.8</v>
      </c>
    </row>
    <row r="4920" spans="1:2">
      <c r="A4920" s="3">
        <v>43480</v>
      </c>
      <c r="B4920" s="4">
        <v>1121.5</v>
      </c>
    </row>
    <row r="4921" spans="1:2">
      <c r="A4921" s="3">
        <v>43481</v>
      </c>
      <c r="B4921" s="4">
        <v>1119.78</v>
      </c>
    </row>
    <row r="4922" spans="1:2">
      <c r="A4922" s="3">
        <v>43482</v>
      </c>
      <c r="B4922" s="4">
        <v>1121.7</v>
      </c>
    </row>
    <row r="4923" spans="1:2">
      <c r="A4923" s="3">
        <v>43483</v>
      </c>
      <c r="B4923" s="4">
        <v>1125.08</v>
      </c>
    </row>
    <row r="4924" spans="1:2">
      <c r="A4924" s="3">
        <v>43486</v>
      </c>
      <c r="B4924" s="4">
        <v>1133.0999999999999</v>
      </c>
    </row>
    <row r="4925" spans="1:2">
      <c r="A4925" s="3">
        <v>43487</v>
      </c>
      <c r="B4925" s="4">
        <v>1130.77</v>
      </c>
    </row>
    <row r="4926" spans="1:2">
      <c r="A4926" s="3">
        <v>43488</v>
      </c>
      <c r="B4926" s="4">
        <v>1125.46</v>
      </c>
    </row>
    <row r="4927" spans="1:2">
      <c r="A4927" s="3">
        <v>43489</v>
      </c>
      <c r="B4927" s="4">
        <v>1127.75</v>
      </c>
    </row>
    <row r="4928" spans="1:2">
      <c r="A4928" s="3">
        <v>43490</v>
      </c>
      <c r="B4928" s="4">
        <v>1117.78</v>
      </c>
    </row>
    <row r="4929" spans="1:2">
      <c r="A4929" s="3">
        <v>43493</v>
      </c>
      <c r="B4929" s="4">
        <v>1117.8699999999999</v>
      </c>
    </row>
    <row r="4930" spans="1:2">
      <c r="A4930" s="3">
        <v>43494</v>
      </c>
      <c r="B4930" s="4">
        <v>1117.01</v>
      </c>
    </row>
    <row r="4931" spans="1:2">
      <c r="A4931" s="3">
        <v>43495</v>
      </c>
      <c r="B4931" s="4">
        <v>1110.04</v>
      </c>
    </row>
    <row r="4932" spans="1:2">
      <c r="A4932" s="3">
        <v>43496</v>
      </c>
      <c r="B4932" s="4">
        <v>1111.4000000000001</v>
      </c>
    </row>
    <row r="4933" spans="1:2">
      <c r="A4933" s="3">
        <v>43497</v>
      </c>
      <c r="B4933" s="4">
        <v>1118.4000000000001</v>
      </c>
    </row>
    <row r="4934" spans="1:2">
      <c r="A4934" s="3">
        <v>43500</v>
      </c>
      <c r="B4934" s="4">
        <v>1118.8599999999999</v>
      </c>
    </row>
    <row r="4935" spans="1:2">
      <c r="A4935" s="3">
        <v>43501</v>
      </c>
      <c r="B4935" s="4">
        <v>1116.27</v>
      </c>
    </row>
    <row r="4936" spans="1:2">
      <c r="A4936" s="3">
        <v>43502</v>
      </c>
      <c r="B4936" s="4">
        <v>1120.5</v>
      </c>
    </row>
    <row r="4937" spans="1:2">
      <c r="A4937" s="3">
        <v>43503</v>
      </c>
      <c r="B4937" s="4">
        <v>1123.81</v>
      </c>
    </row>
    <row r="4938" spans="1:2">
      <c r="A4938" s="3">
        <v>43504</v>
      </c>
      <c r="B4938" s="4">
        <v>1123.5</v>
      </c>
    </row>
    <row r="4939" spans="1:2">
      <c r="A4939" s="3">
        <v>43507</v>
      </c>
      <c r="B4939" s="4">
        <v>1124.99</v>
      </c>
    </row>
    <row r="4940" spans="1:2">
      <c r="A4940" s="3">
        <v>43508</v>
      </c>
      <c r="B4940" s="4">
        <v>1120.29</v>
      </c>
    </row>
    <row r="4941" spans="1:2">
      <c r="A4941" s="3">
        <v>43509</v>
      </c>
      <c r="B4941" s="4">
        <v>1124.5899999999999</v>
      </c>
    </row>
    <row r="4942" spans="1:2">
      <c r="A4942" s="3">
        <v>43510</v>
      </c>
      <c r="B4942" s="4">
        <v>1125.4000000000001</v>
      </c>
    </row>
    <row r="4943" spans="1:2">
      <c r="A4943" s="3">
        <v>43511</v>
      </c>
      <c r="B4943" s="4">
        <v>1125.44</v>
      </c>
    </row>
    <row r="4944" spans="1:2">
      <c r="A4944" s="3">
        <v>43514</v>
      </c>
      <c r="B4944" s="4">
        <v>1125.0999999999999</v>
      </c>
    </row>
    <row r="4945" spans="1:2">
      <c r="A4945" s="3">
        <v>43515</v>
      </c>
      <c r="B4945" s="4">
        <v>1121.92</v>
      </c>
    </row>
    <row r="4946" spans="1:2">
      <c r="A4946" s="3">
        <v>43516</v>
      </c>
      <c r="B4946" s="4">
        <v>1122.22</v>
      </c>
    </row>
    <row r="4947" spans="1:2">
      <c r="A4947" s="3">
        <v>43517</v>
      </c>
      <c r="B4947" s="4">
        <v>1124.6300000000001</v>
      </c>
    </row>
    <row r="4948" spans="1:2">
      <c r="A4948" s="3">
        <v>43518</v>
      </c>
      <c r="B4948" s="4">
        <v>1121.99</v>
      </c>
    </row>
    <row r="4949" spans="1:2">
      <c r="A4949" s="3">
        <v>43521</v>
      </c>
      <c r="B4949" s="4">
        <v>1115.06</v>
      </c>
    </row>
    <row r="4950" spans="1:2">
      <c r="A4950" s="3">
        <v>43522</v>
      </c>
      <c r="B4950" s="4">
        <v>1114.6099999999999</v>
      </c>
    </row>
    <row r="4951" spans="1:2">
      <c r="A4951" s="3">
        <v>43523</v>
      </c>
      <c r="B4951" s="4">
        <v>1117.22</v>
      </c>
    </row>
    <row r="4952" spans="1:2">
      <c r="A4952" s="3">
        <v>43524</v>
      </c>
      <c r="B4952" s="4">
        <v>1124.5999999999999</v>
      </c>
    </row>
    <row r="4953" spans="1:2">
      <c r="A4953" s="3">
        <v>43525</v>
      </c>
      <c r="B4953" s="4">
        <v>1126.67</v>
      </c>
    </row>
    <row r="4954" spans="1:2">
      <c r="A4954" s="3">
        <v>43528</v>
      </c>
      <c r="B4954" s="4">
        <v>1125.46</v>
      </c>
    </row>
    <row r="4955" spans="1:2">
      <c r="A4955" s="3">
        <v>43529</v>
      </c>
      <c r="B4955" s="4">
        <v>1124.81</v>
      </c>
    </row>
    <row r="4956" spans="1:2">
      <c r="A4956" s="3">
        <v>43530</v>
      </c>
      <c r="B4956" s="4">
        <v>1127.3800000000001</v>
      </c>
    </row>
    <row r="4957" spans="1:2">
      <c r="A4957" s="3">
        <v>43531</v>
      </c>
      <c r="B4957" s="4">
        <v>1133.8699999999999</v>
      </c>
    </row>
    <row r="4958" spans="1:2">
      <c r="A4958" s="3">
        <v>43532</v>
      </c>
      <c r="B4958" s="4">
        <v>1132.9000000000001</v>
      </c>
    </row>
    <row r="4959" spans="1:2">
      <c r="A4959" s="3">
        <v>43535</v>
      </c>
      <c r="B4959" s="4">
        <v>1130.77</v>
      </c>
    </row>
    <row r="4960" spans="1:2">
      <c r="A4960" s="3">
        <v>43536</v>
      </c>
      <c r="B4960" s="4">
        <v>1127.44</v>
      </c>
    </row>
    <row r="4961" spans="1:2">
      <c r="A4961" s="3">
        <v>43537</v>
      </c>
      <c r="B4961" s="4">
        <v>1129.5</v>
      </c>
    </row>
    <row r="4962" spans="1:2">
      <c r="A4962" s="3">
        <v>43538</v>
      </c>
      <c r="B4962" s="4">
        <v>1135.42</v>
      </c>
    </row>
    <row r="4963" spans="1:2">
      <c r="A4963" s="3">
        <v>43539</v>
      </c>
      <c r="B4963" s="4">
        <v>1134.7</v>
      </c>
    </row>
    <row r="4964" spans="1:2">
      <c r="A4964" s="3">
        <v>43542</v>
      </c>
      <c r="B4964" s="4">
        <v>1131.52</v>
      </c>
    </row>
    <row r="4965" spans="1:2">
      <c r="A4965" s="3">
        <v>43543</v>
      </c>
      <c r="B4965" s="4">
        <v>1129.96</v>
      </c>
    </row>
    <row r="4966" spans="1:2">
      <c r="A4966" s="3">
        <v>43544</v>
      </c>
      <c r="B4966" s="4">
        <v>1125.05</v>
      </c>
    </row>
    <row r="4967" spans="1:2">
      <c r="A4967" s="3">
        <v>43545</v>
      </c>
      <c r="B4967" s="4">
        <v>1127.4100000000001</v>
      </c>
    </row>
    <row r="4968" spans="1:2">
      <c r="A4968" s="3">
        <v>43546</v>
      </c>
      <c r="B4968" s="4">
        <v>1135.1099999999999</v>
      </c>
    </row>
    <row r="4969" spans="1:2">
      <c r="A4969" s="3">
        <v>43549</v>
      </c>
      <c r="B4969" s="4">
        <v>1131.8599999999999</v>
      </c>
    </row>
    <row r="4970" spans="1:2">
      <c r="A4970" s="3">
        <v>43550</v>
      </c>
      <c r="B4970" s="4">
        <v>1134.8699999999999</v>
      </c>
    </row>
    <row r="4971" spans="1:2">
      <c r="A4971" s="3">
        <v>43551</v>
      </c>
      <c r="B4971" s="4">
        <v>1138.24</v>
      </c>
    </row>
    <row r="4972" spans="1:2">
      <c r="A4972" s="3">
        <v>43552</v>
      </c>
      <c r="B4972" s="4">
        <v>1134.95</v>
      </c>
    </row>
    <row r="4973" spans="1:2">
      <c r="A4973" s="3">
        <v>43553</v>
      </c>
      <c r="B4973" s="4">
        <v>1136.0999999999999</v>
      </c>
    </row>
    <row r="4974" spans="1:2">
      <c r="A4974" s="3">
        <v>43556</v>
      </c>
      <c r="B4974" s="4">
        <v>1132.72</v>
      </c>
    </row>
    <row r="4975" spans="1:2">
      <c r="A4975" s="3">
        <v>43557</v>
      </c>
      <c r="B4975" s="4">
        <v>1136.92</v>
      </c>
    </row>
    <row r="4976" spans="1:2">
      <c r="A4976" s="3">
        <v>43558</v>
      </c>
      <c r="B4976" s="4">
        <v>1133.67</v>
      </c>
    </row>
    <row r="4977" spans="1:2">
      <c r="A4977" s="3">
        <v>43559</v>
      </c>
      <c r="B4977" s="4">
        <v>1135.83</v>
      </c>
    </row>
    <row r="4978" spans="1:2">
      <c r="A4978" s="3">
        <v>43560</v>
      </c>
      <c r="B4978" s="4">
        <v>1136.69</v>
      </c>
    </row>
    <row r="4979" spans="1:2">
      <c r="A4979" s="3">
        <v>43563</v>
      </c>
      <c r="B4979" s="4">
        <v>1141.98</v>
      </c>
    </row>
    <row r="4980" spans="1:2">
      <c r="A4980" s="3">
        <v>43564</v>
      </c>
      <c r="B4980" s="4">
        <v>1140.08</v>
      </c>
    </row>
    <row r="4981" spans="1:2">
      <c r="A4981" s="3">
        <v>43565</v>
      </c>
      <c r="B4981" s="4">
        <v>1136.97</v>
      </c>
    </row>
    <row r="4982" spans="1:2">
      <c r="A4982" s="3">
        <v>43566</v>
      </c>
      <c r="B4982" s="4">
        <v>1140.96</v>
      </c>
    </row>
    <row r="4983" spans="1:2">
      <c r="A4983" s="3">
        <v>43567</v>
      </c>
      <c r="B4983" s="4">
        <v>1133.72</v>
      </c>
    </row>
    <row r="4984" spans="1:2">
      <c r="A4984" s="3">
        <v>43570</v>
      </c>
      <c r="B4984" s="4">
        <v>1134.0999999999999</v>
      </c>
    </row>
    <row r="4985" spans="1:2">
      <c r="A4985" s="3">
        <v>43571</v>
      </c>
      <c r="B4985" s="4">
        <v>1136.69</v>
      </c>
    </row>
    <row r="4986" spans="1:2">
      <c r="A4986" s="3">
        <v>43572</v>
      </c>
      <c r="B4986" s="4">
        <v>1131.28</v>
      </c>
    </row>
    <row r="4987" spans="1:2">
      <c r="A4987" s="3">
        <v>43573</v>
      </c>
      <c r="B4987" s="4">
        <v>1136.6099999999999</v>
      </c>
    </row>
    <row r="4988" spans="1:2">
      <c r="A4988" s="3">
        <v>43574</v>
      </c>
      <c r="B4988" s="4">
        <v>1135.58</v>
      </c>
    </row>
    <row r="4989" spans="1:2">
      <c r="A4989" s="3">
        <v>43577</v>
      </c>
      <c r="B4989" s="4">
        <v>1139.99</v>
      </c>
    </row>
    <row r="4990" spans="1:2">
      <c r="A4990" s="3">
        <v>43578</v>
      </c>
      <c r="B4990" s="4">
        <v>1142.1099999999999</v>
      </c>
    </row>
    <row r="4991" spans="1:2">
      <c r="A4991" s="3">
        <v>43579</v>
      </c>
      <c r="B4991" s="4">
        <v>1155.05</v>
      </c>
    </row>
    <row r="4992" spans="1:2">
      <c r="A4992" s="3">
        <v>43580</v>
      </c>
      <c r="B4992" s="4">
        <v>1159.01</v>
      </c>
    </row>
    <row r="4993" spans="1:2">
      <c r="A4993" s="3">
        <v>43581</v>
      </c>
      <c r="B4993" s="4">
        <v>1157.9000000000001</v>
      </c>
    </row>
    <row r="4994" spans="1:2">
      <c r="A4994" s="3">
        <v>43584</v>
      </c>
      <c r="B4994" s="4">
        <v>1158.8800000000001</v>
      </c>
    </row>
    <row r="4995" spans="1:2">
      <c r="A4995" s="3">
        <v>43585</v>
      </c>
      <c r="B4995" s="4">
        <v>1163.25</v>
      </c>
    </row>
    <row r="4996" spans="1:2">
      <c r="A4996" s="3">
        <v>43586</v>
      </c>
      <c r="B4996" s="4">
        <v>1164.73</v>
      </c>
    </row>
    <row r="4997" spans="1:2">
      <c r="A4997" s="3">
        <v>43587</v>
      </c>
      <c r="B4997" s="4">
        <v>1166.1600000000001</v>
      </c>
    </row>
    <row r="4998" spans="1:2">
      <c r="A4998" s="3">
        <v>43588</v>
      </c>
      <c r="B4998" s="4">
        <v>1163.68</v>
      </c>
    </row>
    <row r="4999" spans="1:2">
      <c r="A4999" s="3">
        <v>43591</v>
      </c>
      <c r="B4999" s="4">
        <v>1168.1500000000001</v>
      </c>
    </row>
    <row r="5000" spans="1:2">
      <c r="A5000" s="3">
        <v>43592</v>
      </c>
      <c r="B5000" s="4">
        <v>1172.22</v>
      </c>
    </row>
    <row r="5001" spans="1:2">
      <c r="A5001" s="3">
        <v>43593</v>
      </c>
      <c r="B5001" s="4">
        <v>1172.0999999999999</v>
      </c>
    </row>
    <row r="5002" spans="1:2">
      <c r="A5002" s="3">
        <v>43595</v>
      </c>
      <c r="B5002" s="4">
        <v>1174.2</v>
      </c>
    </row>
    <row r="5003" spans="1:2">
      <c r="A5003" s="3">
        <v>43598</v>
      </c>
      <c r="B5003" s="4">
        <v>1187.78</v>
      </c>
    </row>
    <row r="5004" spans="1:2">
      <c r="A5004" s="3">
        <v>43599</v>
      </c>
      <c r="B5004" s="4">
        <v>1186.82</v>
      </c>
    </row>
    <row r="5005" spans="1:2">
      <c r="A5005" s="3">
        <v>43600</v>
      </c>
      <c r="B5005" s="4">
        <v>1185.79</v>
      </c>
    </row>
    <row r="5006" spans="1:2">
      <c r="A5006" s="3">
        <v>43601</v>
      </c>
      <c r="B5006" s="4">
        <v>1191.33</v>
      </c>
    </row>
    <row r="5007" spans="1:2">
      <c r="A5007" s="3">
        <v>43602</v>
      </c>
      <c r="B5007" s="4">
        <v>1193.73</v>
      </c>
    </row>
    <row r="5008" spans="1:2">
      <c r="A5008" s="3">
        <v>43605</v>
      </c>
      <c r="B5008" s="4">
        <v>1194.23</v>
      </c>
    </row>
    <row r="5009" spans="1:2">
      <c r="A5009" s="3">
        <v>43606</v>
      </c>
      <c r="B5009" s="4">
        <v>1191.78</v>
      </c>
    </row>
    <row r="5010" spans="1:2">
      <c r="A5010" s="3">
        <v>43607</v>
      </c>
      <c r="B5010" s="4">
        <v>1190.3699999999999</v>
      </c>
    </row>
    <row r="5011" spans="1:2">
      <c r="A5011" s="3">
        <v>43608</v>
      </c>
      <c r="B5011" s="4">
        <v>1188.8</v>
      </c>
    </row>
    <row r="5012" spans="1:2">
      <c r="A5012" s="3">
        <v>43609</v>
      </c>
      <c r="B5012" s="4">
        <v>1184.77</v>
      </c>
    </row>
    <row r="5013" spans="1:2">
      <c r="A5013" s="3">
        <v>43612</v>
      </c>
      <c r="B5013" s="4">
        <v>1183.55</v>
      </c>
    </row>
    <row r="5014" spans="1:2">
      <c r="A5014" s="3">
        <v>43613</v>
      </c>
      <c r="B5014" s="4">
        <v>1187.94</v>
      </c>
    </row>
    <row r="5015" spans="1:2">
      <c r="A5015" s="3">
        <v>43614</v>
      </c>
      <c r="B5015" s="4">
        <v>1193.03</v>
      </c>
    </row>
    <row r="5016" spans="1:2">
      <c r="A5016" s="3">
        <v>43615</v>
      </c>
      <c r="B5016" s="4">
        <v>1188.73</v>
      </c>
    </row>
    <row r="5017" spans="1:2">
      <c r="A5017" s="3">
        <v>43616</v>
      </c>
      <c r="B5017" s="4">
        <v>1187.8</v>
      </c>
    </row>
    <row r="5018" spans="1:2">
      <c r="A5018" s="3">
        <v>43619</v>
      </c>
      <c r="B5018" s="4">
        <v>1178.92</v>
      </c>
    </row>
    <row r="5019" spans="1:2">
      <c r="A5019" s="3">
        <v>43620</v>
      </c>
      <c r="B5019" s="4">
        <v>1177.56</v>
      </c>
    </row>
    <row r="5020" spans="1:2">
      <c r="A5020" s="3">
        <v>43621</v>
      </c>
      <c r="B5020" s="4">
        <v>1179.8399999999999</v>
      </c>
    </row>
    <row r="5021" spans="1:2">
      <c r="A5021" s="3">
        <v>43622</v>
      </c>
      <c r="B5021" s="4">
        <v>1177.67</v>
      </c>
    </row>
    <row r="5022" spans="1:2">
      <c r="A5022" s="3">
        <v>43623</v>
      </c>
      <c r="B5022" s="4">
        <v>1181.07</v>
      </c>
    </row>
    <row r="5023" spans="1:2">
      <c r="A5023" s="3">
        <v>43626</v>
      </c>
      <c r="B5023" s="4">
        <v>1183.02</v>
      </c>
    </row>
    <row r="5024" spans="1:2">
      <c r="A5024" s="3">
        <v>43627</v>
      </c>
      <c r="B5024" s="4">
        <v>1178.21</v>
      </c>
    </row>
    <row r="5025" spans="1:2">
      <c r="A5025" s="3">
        <v>43628</v>
      </c>
      <c r="B5025" s="4">
        <v>1183.3499999999999</v>
      </c>
    </row>
    <row r="5026" spans="1:2">
      <c r="A5026" s="3">
        <v>43629</v>
      </c>
      <c r="B5026" s="4">
        <v>1182.32</v>
      </c>
    </row>
    <row r="5027" spans="1:2">
      <c r="A5027" s="3">
        <v>43630</v>
      </c>
      <c r="B5027" s="4">
        <v>1186.78</v>
      </c>
    </row>
    <row r="5028" spans="1:2">
      <c r="A5028" s="3">
        <v>43633</v>
      </c>
      <c r="B5028" s="4">
        <v>1185.55</v>
      </c>
    </row>
    <row r="5029" spans="1:2">
      <c r="A5029" s="3">
        <v>43634</v>
      </c>
      <c r="B5029" s="4">
        <v>1173.8699999999999</v>
      </c>
    </row>
    <row r="5030" spans="1:2">
      <c r="A5030" s="3">
        <v>43635</v>
      </c>
      <c r="B5030" s="4">
        <v>1171.48</v>
      </c>
    </row>
    <row r="5031" spans="1:2">
      <c r="A5031" s="3">
        <v>43636</v>
      </c>
      <c r="B5031" s="4">
        <v>1158.52</v>
      </c>
    </row>
    <row r="5032" spans="1:2">
      <c r="A5032" s="3">
        <v>43637</v>
      </c>
      <c r="B5032" s="4">
        <v>1158.2</v>
      </c>
    </row>
    <row r="5033" spans="1:2">
      <c r="A5033" s="3">
        <v>43640</v>
      </c>
      <c r="B5033" s="4">
        <v>1153.67</v>
      </c>
    </row>
    <row r="5034" spans="1:2">
      <c r="A5034" s="3">
        <v>43641</v>
      </c>
      <c r="B5034" s="4">
        <v>1155.17</v>
      </c>
    </row>
    <row r="5035" spans="1:2">
      <c r="A5035" s="3">
        <v>43642</v>
      </c>
      <c r="B5035" s="4">
        <v>1153.67</v>
      </c>
    </row>
    <row r="5036" spans="1:2">
      <c r="A5036" s="3">
        <v>43643</v>
      </c>
      <c r="B5036" s="4">
        <v>1157</v>
      </c>
    </row>
    <row r="5037" spans="1:2">
      <c r="A5037" s="3">
        <v>43644</v>
      </c>
      <c r="B5037" s="4">
        <v>1155.3800000000001</v>
      </c>
    </row>
    <row r="5038" spans="1:2">
      <c r="A5038" s="3">
        <v>43647</v>
      </c>
      <c r="B5038" s="4">
        <v>1160.77</v>
      </c>
    </row>
    <row r="5039" spans="1:2">
      <c r="A5039" s="3">
        <v>43648</v>
      </c>
      <c r="B5039" s="4">
        <v>1166.47</v>
      </c>
    </row>
    <row r="5040" spans="1:2">
      <c r="A5040" s="3">
        <v>43649</v>
      </c>
      <c r="B5040" s="4">
        <v>1169.72</v>
      </c>
    </row>
    <row r="5041" spans="1:2">
      <c r="A5041" s="3">
        <v>43650</v>
      </c>
      <c r="B5041" s="4">
        <v>1167.3399999999999</v>
      </c>
    </row>
    <row r="5042" spans="1:2">
      <c r="A5042" s="3">
        <v>43651</v>
      </c>
      <c r="B5042" s="4">
        <v>1174.5899999999999</v>
      </c>
    </row>
    <row r="5043" spans="1:2">
      <c r="A5043" s="3">
        <v>43654</v>
      </c>
      <c r="B5043" s="4">
        <v>1179.94</v>
      </c>
    </row>
    <row r="5044" spans="1:2">
      <c r="A5044" s="3">
        <v>43655</v>
      </c>
      <c r="B5044" s="4">
        <v>1182.22</v>
      </c>
    </row>
    <row r="5045" spans="1:2">
      <c r="A5045" s="3">
        <v>43656</v>
      </c>
      <c r="B5045" s="4">
        <v>1175.57</v>
      </c>
    </row>
    <row r="5046" spans="1:2">
      <c r="A5046" s="3">
        <v>43657</v>
      </c>
      <c r="B5046" s="4">
        <v>1174.1600000000001</v>
      </c>
    </row>
    <row r="5047" spans="1:2">
      <c r="A5047" s="3">
        <v>43658</v>
      </c>
      <c r="B5047" s="4">
        <v>1176.32</v>
      </c>
    </row>
    <row r="5048" spans="1:2">
      <c r="A5048" s="3">
        <v>43661</v>
      </c>
      <c r="B5048" s="4">
        <v>1179.4100000000001</v>
      </c>
    </row>
    <row r="5049" spans="1:2">
      <c r="A5049" s="3">
        <v>43662</v>
      </c>
      <c r="B5049" s="4">
        <v>1179.21</v>
      </c>
    </row>
    <row r="5050" spans="1:2">
      <c r="A5050" s="3">
        <v>43663</v>
      </c>
      <c r="B5050" s="4">
        <v>1179.6199999999999</v>
      </c>
    </row>
    <row r="5051" spans="1:2">
      <c r="A5051" s="3">
        <v>43664</v>
      </c>
      <c r="B5051" s="4">
        <v>1171.78</v>
      </c>
    </row>
    <row r="5052" spans="1:2">
      <c r="A5052" s="3">
        <v>43665</v>
      </c>
      <c r="B5052" s="4">
        <v>1175.1099999999999</v>
      </c>
    </row>
    <row r="5053" spans="1:2">
      <c r="A5053" s="3">
        <v>43668</v>
      </c>
      <c r="B5053" s="4">
        <v>1175.8699999999999</v>
      </c>
    </row>
    <row r="5054" spans="1:2">
      <c r="A5054" s="3">
        <v>43669</v>
      </c>
      <c r="B5054" s="4">
        <v>1178.8900000000001</v>
      </c>
    </row>
    <row r="5055" spans="1:2">
      <c r="A5055" s="3">
        <v>43670</v>
      </c>
      <c r="B5055" s="4">
        <v>1177.4100000000001</v>
      </c>
    </row>
    <row r="5056" spans="1:2">
      <c r="A5056" s="3">
        <v>43671</v>
      </c>
      <c r="B5056" s="4">
        <v>1183.1600000000001</v>
      </c>
    </row>
    <row r="5057" spans="1:2">
      <c r="A5057" s="3">
        <v>43672</v>
      </c>
      <c r="B5057" s="4">
        <v>1183.24</v>
      </c>
    </row>
    <row r="5058" spans="1:2">
      <c r="A5058" s="3">
        <v>43675</v>
      </c>
      <c r="B5058" s="4">
        <v>1182.71</v>
      </c>
    </row>
    <row r="5059" spans="1:2">
      <c r="A5059" s="3">
        <v>43676</v>
      </c>
      <c r="B5059" s="4">
        <v>1181.1400000000001</v>
      </c>
    </row>
    <row r="5060" spans="1:2">
      <c r="A5060" s="3">
        <v>43677</v>
      </c>
      <c r="B5060" s="4">
        <v>1187.32</v>
      </c>
    </row>
    <row r="5061" spans="1:2">
      <c r="A5061" s="3">
        <v>43678</v>
      </c>
      <c r="B5061" s="4">
        <v>1195.3800000000001</v>
      </c>
    </row>
    <row r="5062" spans="1:2">
      <c r="A5062" s="3">
        <v>43679</v>
      </c>
      <c r="B5062" s="4">
        <v>1204.51</v>
      </c>
    </row>
    <row r="5063" spans="1:2">
      <c r="A5063" s="3">
        <v>43682</v>
      </c>
      <c r="B5063" s="4">
        <v>1217.33</v>
      </c>
    </row>
    <row r="5064" spans="1:2">
      <c r="A5064" s="3">
        <v>43683</v>
      </c>
      <c r="B5064" s="4">
        <v>1212.43</v>
      </c>
    </row>
    <row r="5065" spans="1:2">
      <c r="A5065" s="3">
        <v>43684</v>
      </c>
      <c r="B5065" s="4">
        <v>1212.8699999999999</v>
      </c>
    </row>
    <row r="5066" spans="1:2">
      <c r="A5066" s="3">
        <v>43685</v>
      </c>
      <c r="B5066" s="4">
        <v>1207.08</v>
      </c>
    </row>
    <row r="5067" spans="1:2">
      <c r="A5067" s="3">
        <v>43686</v>
      </c>
      <c r="B5067" s="4">
        <v>1213.45</v>
      </c>
    </row>
    <row r="5068" spans="1:2">
      <c r="A5068" s="3">
        <v>43689</v>
      </c>
      <c r="B5068" s="4">
        <v>1218.1400000000001</v>
      </c>
    </row>
    <row r="5069" spans="1:2">
      <c r="A5069" s="3">
        <v>43690</v>
      </c>
      <c r="B5069" s="4">
        <v>1205.6400000000001</v>
      </c>
    </row>
    <row r="5070" spans="1:2">
      <c r="A5070" s="3">
        <v>43691</v>
      </c>
      <c r="B5070" s="4">
        <v>1215.8599999999999</v>
      </c>
    </row>
    <row r="5071" spans="1:2">
      <c r="A5071" s="3">
        <v>43692</v>
      </c>
      <c r="B5071" s="4">
        <v>1212.33</v>
      </c>
    </row>
    <row r="5072" spans="1:2">
      <c r="A5072" s="3">
        <v>43693</v>
      </c>
      <c r="B5072" s="4">
        <v>1207.47</v>
      </c>
    </row>
    <row r="5073" spans="1:2">
      <c r="A5073" s="3">
        <v>43696</v>
      </c>
      <c r="B5073" s="4">
        <v>1211.6199999999999</v>
      </c>
    </row>
    <row r="5074" spans="1:2">
      <c r="A5074" s="3">
        <v>43697</v>
      </c>
      <c r="B5074" s="4">
        <v>1205.4000000000001</v>
      </c>
    </row>
    <row r="5075" spans="1:2">
      <c r="A5075" s="3">
        <v>43698</v>
      </c>
      <c r="B5075" s="4">
        <v>1201.44</v>
      </c>
    </row>
    <row r="5076" spans="1:2">
      <c r="A5076" s="3">
        <v>43699</v>
      </c>
      <c r="B5076" s="4">
        <v>1209.42</v>
      </c>
    </row>
    <row r="5077" spans="1:2">
      <c r="A5077" s="3">
        <v>43700</v>
      </c>
      <c r="B5077" s="4">
        <v>1212.6600000000001</v>
      </c>
    </row>
    <row r="5078" spans="1:2">
      <c r="A5078" s="3">
        <v>43703</v>
      </c>
      <c r="B5078" s="4">
        <v>1211.74</v>
      </c>
    </row>
    <row r="5079" spans="1:2">
      <c r="A5079" s="3">
        <v>43704</v>
      </c>
      <c r="B5079" s="4">
        <v>1211.74</v>
      </c>
    </row>
    <row r="5080" spans="1:2">
      <c r="A5080" s="3">
        <v>43705</v>
      </c>
      <c r="B5080" s="4">
        <v>1212.29</v>
      </c>
    </row>
    <row r="5081" spans="1:2">
      <c r="A5081" s="3">
        <v>43706</v>
      </c>
      <c r="B5081" s="4">
        <v>1208.1199999999999</v>
      </c>
    </row>
    <row r="5082" spans="1:2">
      <c r="A5082" s="3">
        <v>43707</v>
      </c>
      <c r="B5082" s="4">
        <v>1209.5</v>
      </c>
    </row>
    <row r="5083" spans="1:2">
      <c r="A5083" s="3">
        <v>43710</v>
      </c>
      <c r="B5083" s="4">
        <v>1213.6099999999999</v>
      </c>
    </row>
    <row r="5084" spans="1:2">
      <c r="A5084" s="3">
        <v>43711</v>
      </c>
      <c r="B5084" s="4">
        <v>1210.54</v>
      </c>
    </row>
    <row r="5085" spans="1:2">
      <c r="A5085" s="3">
        <v>43712</v>
      </c>
      <c r="B5085" s="4">
        <v>1203.6300000000001</v>
      </c>
    </row>
    <row r="5086" spans="1:2">
      <c r="A5086" s="3">
        <v>43713</v>
      </c>
      <c r="B5086" s="4">
        <v>1197.52</v>
      </c>
    </row>
    <row r="5087" spans="1:2">
      <c r="A5087" s="3">
        <v>43714</v>
      </c>
      <c r="B5087" s="4">
        <v>1191.77</v>
      </c>
    </row>
    <row r="5088" spans="1:2">
      <c r="A5088" s="3">
        <v>43717</v>
      </c>
      <c r="B5088" s="4">
        <v>1191.93</v>
      </c>
    </row>
    <row r="5089" spans="1:2">
      <c r="A5089" s="3">
        <v>43718</v>
      </c>
      <c r="B5089" s="4">
        <v>1191.3499999999999</v>
      </c>
    </row>
    <row r="5090" spans="1:2">
      <c r="A5090" s="3">
        <v>43719</v>
      </c>
      <c r="B5090" s="4">
        <v>1189.68</v>
      </c>
    </row>
    <row r="5091" spans="1:2">
      <c r="A5091" s="3">
        <v>43720</v>
      </c>
      <c r="B5091" s="4">
        <v>1181.44</v>
      </c>
    </row>
    <row r="5092" spans="1:2">
      <c r="A5092" s="3">
        <v>43721</v>
      </c>
      <c r="B5092" s="4">
        <v>1178.72</v>
      </c>
    </row>
    <row r="5093" spans="1:2">
      <c r="A5093" s="3">
        <v>43724</v>
      </c>
      <c r="B5093" s="4">
        <v>1184.02</v>
      </c>
    </row>
    <row r="5094" spans="1:2">
      <c r="A5094" s="3">
        <v>43725</v>
      </c>
      <c r="B5094" s="4">
        <v>1186.6199999999999</v>
      </c>
    </row>
    <row r="5095" spans="1:2">
      <c r="A5095" s="3">
        <v>43726</v>
      </c>
      <c r="B5095" s="4">
        <v>1190.73</v>
      </c>
    </row>
    <row r="5096" spans="1:2">
      <c r="A5096" s="3">
        <v>43727</v>
      </c>
      <c r="B5096" s="4">
        <v>1194.3499999999999</v>
      </c>
    </row>
    <row r="5097" spans="1:2">
      <c r="A5097" s="3">
        <v>43728</v>
      </c>
      <c r="B5097" s="4">
        <v>1193.1300000000001</v>
      </c>
    </row>
    <row r="5098" spans="1:2">
      <c r="A5098" s="3">
        <v>43731</v>
      </c>
      <c r="B5098" s="4">
        <v>1194.04</v>
      </c>
    </row>
    <row r="5099" spans="1:2">
      <c r="A5099" s="3">
        <v>43732</v>
      </c>
      <c r="B5099" s="4">
        <v>1194.53</v>
      </c>
    </row>
    <row r="5100" spans="1:2">
      <c r="A5100" s="3">
        <v>43733</v>
      </c>
      <c r="B5100" s="4">
        <v>1198.82</v>
      </c>
    </row>
    <row r="5101" spans="1:2">
      <c r="A5101" s="3">
        <v>43734</v>
      </c>
      <c r="B5101" s="4">
        <v>1199.46</v>
      </c>
    </row>
    <row r="5102" spans="1:2">
      <c r="A5102" s="3">
        <v>43735</v>
      </c>
      <c r="B5102" s="4">
        <v>1201.99</v>
      </c>
    </row>
    <row r="5103" spans="1:2">
      <c r="A5103" s="3">
        <v>43738</v>
      </c>
      <c r="B5103" s="4">
        <v>1198.0899999999999</v>
      </c>
    </row>
    <row r="5104" spans="1:2">
      <c r="A5104" s="3">
        <v>43739</v>
      </c>
      <c r="B5104" s="4">
        <v>1202.3699999999999</v>
      </c>
    </row>
    <row r="5105" spans="1:2">
      <c r="A5105" s="3">
        <v>43740</v>
      </c>
      <c r="B5105" s="4">
        <v>1204.3699999999999</v>
      </c>
    </row>
    <row r="5106" spans="1:2">
      <c r="A5106" s="3">
        <v>43741</v>
      </c>
      <c r="B5106" s="4">
        <v>1200.8900000000001</v>
      </c>
    </row>
    <row r="5107" spans="1:2">
      <c r="A5107" s="3">
        <v>43742</v>
      </c>
      <c r="B5107" s="4">
        <v>1191.25</v>
      </c>
    </row>
    <row r="5108" spans="1:2">
      <c r="A5108" s="3">
        <v>43745</v>
      </c>
      <c r="B5108" s="4">
        <v>1196.33</v>
      </c>
    </row>
    <row r="5109" spans="1:2">
      <c r="A5109" s="3">
        <v>43746</v>
      </c>
      <c r="B5109" s="4">
        <v>1199.02</v>
      </c>
    </row>
    <row r="5110" spans="1:2">
      <c r="A5110" s="3">
        <v>43747</v>
      </c>
      <c r="B5110" s="4">
        <v>1197.5</v>
      </c>
    </row>
    <row r="5111" spans="1:2">
      <c r="A5111" s="3">
        <v>43748</v>
      </c>
      <c r="B5111" s="4">
        <v>1189.46</v>
      </c>
    </row>
    <row r="5112" spans="1:2">
      <c r="A5112" s="3">
        <v>43749</v>
      </c>
      <c r="B5112" s="4">
        <v>1182.48</v>
      </c>
    </row>
    <row r="5113" spans="1:2">
      <c r="A5113" s="3">
        <v>43752</v>
      </c>
      <c r="B5113" s="4">
        <v>1183.7</v>
      </c>
    </row>
    <row r="5114" spans="1:2">
      <c r="A5114" s="3">
        <v>43753</v>
      </c>
      <c r="B5114" s="4">
        <v>1184.79</v>
      </c>
    </row>
    <row r="5115" spans="1:2">
      <c r="A5115" s="3">
        <v>43754</v>
      </c>
      <c r="B5115" s="4">
        <v>1185.51</v>
      </c>
    </row>
    <row r="5116" spans="1:2">
      <c r="A5116" s="3">
        <v>43755</v>
      </c>
      <c r="B5116" s="4">
        <v>1178.5999999999999</v>
      </c>
    </row>
    <row r="5117" spans="1:2">
      <c r="A5117" s="3">
        <v>43756</v>
      </c>
      <c r="B5117" s="4">
        <v>1177.9100000000001</v>
      </c>
    </row>
    <row r="5118" spans="1:2">
      <c r="A5118" s="3">
        <v>43759</v>
      </c>
      <c r="B5118" s="4">
        <v>1172.33</v>
      </c>
    </row>
    <row r="5119" spans="1:2">
      <c r="A5119" s="3">
        <v>43760</v>
      </c>
      <c r="B5119" s="4">
        <v>1172.0899999999999</v>
      </c>
    </row>
    <row r="5120" spans="1:2">
      <c r="A5120" s="3">
        <v>43761</v>
      </c>
      <c r="B5120" s="4">
        <v>1169.67</v>
      </c>
    </row>
    <row r="5121" spans="1:2">
      <c r="A5121" s="3">
        <v>43762</v>
      </c>
      <c r="B5121" s="4">
        <v>1175.1199999999999</v>
      </c>
    </row>
    <row r="5122" spans="1:2">
      <c r="A5122" s="3">
        <v>43763</v>
      </c>
      <c r="B5122" s="4">
        <v>1171.6600000000001</v>
      </c>
    </row>
    <row r="5123" spans="1:2">
      <c r="A5123" s="3">
        <v>43766</v>
      </c>
      <c r="B5123" s="4">
        <v>1167.6099999999999</v>
      </c>
    </row>
    <row r="5124" spans="1:2">
      <c r="A5124" s="3">
        <v>43767</v>
      </c>
      <c r="B5124" s="4">
        <v>1167.3900000000001</v>
      </c>
    </row>
    <row r="5125" spans="1:2">
      <c r="A5125" s="3">
        <v>43768</v>
      </c>
      <c r="B5125" s="4">
        <v>1164.4100000000001</v>
      </c>
    </row>
    <row r="5126" spans="1:2">
      <c r="A5126" s="3">
        <v>43769</v>
      </c>
      <c r="B5126" s="4">
        <v>1169.24</v>
      </c>
    </row>
    <row r="5127" spans="1:2">
      <c r="A5127" s="3">
        <v>43770</v>
      </c>
      <c r="B5127" s="4">
        <v>1164.67</v>
      </c>
    </row>
    <row r="5128" spans="1:2">
      <c r="A5128" s="3">
        <v>43773</v>
      </c>
      <c r="B5128" s="4">
        <v>1162.79</v>
      </c>
    </row>
    <row r="5129" spans="1:2">
      <c r="A5129" s="3">
        <v>43774</v>
      </c>
      <c r="B5129" s="4">
        <v>1155.82</v>
      </c>
    </row>
    <row r="5130" spans="1:2">
      <c r="A5130" s="3">
        <v>43775</v>
      </c>
      <c r="B5130" s="4">
        <v>1160.4100000000001</v>
      </c>
    </row>
    <row r="5131" spans="1:2">
      <c r="A5131" s="3">
        <v>43776</v>
      </c>
      <c r="B5131" s="4">
        <v>1154.31</v>
      </c>
    </row>
    <row r="5132" spans="1:2">
      <c r="A5132" s="3">
        <v>43777</v>
      </c>
      <c r="B5132" s="4">
        <v>1158.5999999999999</v>
      </c>
    </row>
    <row r="5133" spans="1:2">
      <c r="A5133" s="3">
        <v>43780</v>
      </c>
      <c r="B5133" s="4">
        <v>1164.45</v>
      </c>
    </row>
    <row r="5134" spans="1:2">
      <c r="A5134" s="3">
        <v>43781</v>
      </c>
      <c r="B5134" s="4">
        <v>1165.53</v>
      </c>
    </row>
    <row r="5135" spans="1:2">
      <c r="A5135" s="3">
        <v>43782</v>
      </c>
      <c r="B5135" s="4">
        <v>1171.0899999999999</v>
      </c>
    </row>
    <row r="5136" spans="1:2">
      <c r="A5136" s="3">
        <v>43783</v>
      </c>
      <c r="B5136" s="4">
        <v>1168.08</v>
      </c>
    </row>
    <row r="5137" spans="1:2">
      <c r="A5137" s="3">
        <v>43784</v>
      </c>
      <c r="B5137" s="4">
        <v>1162.6500000000001</v>
      </c>
    </row>
    <row r="5138" spans="1:2">
      <c r="A5138" s="3">
        <v>43787</v>
      </c>
      <c r="B5138" s="4">
        <v>1166.23</v>
      </c>
    </row>
    <row r="5139" spans="1:2">
      <c r="A5139" s="3">
        <v>43788</v>
      </c>
      <c r="B5139" s="4">
        <v>1167.3499999999999</v>
      </c>
    </row>
    <row r="5140" spans="1:2">
      <c r="A5140" s="3">
        <v>43789</v>
      </c>
      <c r="B5140" s="4">
        <v>1169.82</v>
      </c>
    </row>
    <row r="5141" spans="1:2">
      <c r="A5141" s="3">
        <v>43790</v>
      </c>
      <c r="B5141" s="4">
        <v>1176.45</v>
      </c>
    </row>
    <row r="5142" spans="1:2">
      <c r="A5142" s="3">
        <v>43791</v>
      </c>
      <c r="B5142" s="4">
        <v>1179.33</v>
      </c>
    </row>
    <row r="5143" spans="1:2">
      <c r="A5143" s="3">
        <v>43794</v>
      </c>
      <c r="B5143" s="4">
        <v>1172.9000000000001</v>
      </c>
    </row>
    <row r="5144" spans="1:2">
      <c r="A5144" s="3">
        <v>43795</v>
      </c>
      <c r="B5144" s="4">
        <v>1172.42</v>
      </c>
    </row>
    <row r="5145" spans="1:2">
      <c r="A5145" s="3">
        <v>43796</v>
      </c>
      <c r="B5145" s="4">
        <v>1175.97</v>
      </c>
    </row>
    <row r="5146" spans="1:2">
      <c r="A5146" s="3">
        <v>43797</v>
      </c>
      <c r="B5146" s="4">
        <v>1178.0899999999999</v>
      </c>
    </row>
    <row r="5147" spans="1:2">
      <c r="A5147" s="3">
        <v>43798</v>
      </c>
      <c r="B5147" s="4">
        <v>1180.7</v>
      </c>
    </row>
    <row r="5148" spans="1:2">
      <c r="A5148" s="3">
        <v>43801</v>
      </c>
      <c r="B5148" s="4">
        <v>1184.78</v>
      </c>
    </row>
    <row r="5149" spans="1:2">
      <c r="A5149" s="3">
        <v>43802</v>
      </c>
      <c r="B5149" s="4">
        <v>1189.3599999999999</v>
      </c>
    </row>
    <row r="5150" spans="1:2">
      <c r="A5150" s="3">
        <v>43803</v>
      </c>
      <c r="B5150" s="4">
        <v>1191.1500000000001</v>
      </c>
    </row>
    <row r="5151" spans="1:2">
      <c r="A5151" s="3">
        <v>43804</v>
      </c>
      <c r="B5151" s="4">
        <v>1187.92</v>
      </c>
    </row>
    <row r="5152" spans="1:2">
      <c r="A5152" s="3">
        <v>43805</v>
      </c>
      <c r="B5152" s="4">
        <v>1185.51</v>
      </c>
    </row>
    <row r="5153" spans="1:2">
      <c r="A5153" s="3">
        <v>43808</v>
      </c>
      <c r="B5153" s="4">
        <v>1189.55</v>
      </c>
    </row>
    <row r="5154" spans="1:2">
      <c r="A5154" s="3">
        <v>43809</v>
      </c>
      <c r="B5154" s="4">
        <v>1189.49</v>
      </c>
    </row>
    <row r="5155" spans="1:2">
      <c r="A5155" s="3">
        <v>43810</v>
      </c>
      <c r="B5155" s="4">
        <v>1188.6099999999999</v>
      </c>
    </row>
    <row r="5156" spans="1:2">
      <c r="A5156" s="3">
        <v>43811</v>
      </c>
      <c r="B5156" s="4">
        <v>1171.8900000000001</v>
      </c>
    </row>
    <row r="5157" spans="1:2">
      <c r="A5157" s="3">
        <v>43812</v>
      </c>
      <c r="B5157" s="4">
        <v>1175.57</v>
      </c>
    </row>
    <row r="5158" spans="1:2">
      <c r="A5158" s="3">
        <v>43815</v>
      </c>
      <c r="B5158" s="4">
        <v>1167.48</v>
      </c>
    </row>
    <row r="5159" spans="1:2">
      <c r="A5159" s="3">
        <v>43816</v>
      </c>
      <c r="B5159" s="4">
        <v>1163.1500000000001</v>
      </c>
    </row>
    <row r="5160" spans="1:2">
      <c r="A5160" s="3">
        <v>43817</v>
      </c>
      <c r="B5160" s="4">
        <v>1166.57</v>
      </c>
    </row>
    <row r="5161" spans="1:2">
      <c r="A5161" s="3">
        <v>43818</v>
      </c>
      <c r="B5161" s="4">
        <v>1162.27</v>
      </c>
    </row>
    <row r="5162" spans="1:2">
      <c r="A5162" s="3">
        <v>43819</v>
      </c>
      <c r="B5162" s="4">
        <v>1158.99</v>
      </c>
    </row>
    <row r="5163" spans="1:2">
      <c r="A5163" s="3">
        <v>43822</v>
      </c>
      <c r="B5163" s="4">
        <v>1163.04</v>
      </c>
    </row>
    <row r="5164" spans="1:2">
      <c r="A5164" s="3">
        <v>43823</v>
      </c>
      <c r="B5164" s="4">
        <v>1162.52</v>
      </c>
    </row>
    <row r="5165" spans="1:2">
      <c r="A5165" s="3">
        <v>43824</v>
      </c>
      <c r="B5165" s="4">
        <v>1159.76</v>
      </c>
    </row>
    <row r="5166" spans="1:2">
      <c r="A5166" s="3">
        <v>43825</v>
      </c>
      <c r="B5166" s="4">
        <v>1161.3</v>
      </c>
    </row>
    <row r="5167" spans="1:2">
      <c r="A5167" s="3">
        <v>43826</v>
      </c>
      <c r="B5167" s="4">
        <v>1158.95</v>
      </c>
    </row>
    <row r="5168" spans="1:2">
      <c r="A5168" s="3">
        <v>43829</v>
      </c>
      <c r="B5168" s="4">
        <v>1156.97</v>
      </c>
    </row>
    <row r="5169" spans="1:2">
      <c r="A5169" s="3">
        <v>43830</v>
      </c>
      <c r="B5169" s="4">
        <v>1154.07</v>
      </c>
    </row>
    <row r="5170" spans="1:2">
      <c r="A5170" s="3">
        <v>43831</v>
      </c>
      <c r="B5170" s="4">
        <v>1154.02</v>
      </c>
    </row>
    <row r="5171" spans="1:2">
      <c r="A5171" s="3">
        <v>43832</v>
      </c>
      <c r="B5171" s="4">
        <v>1157.3499999999999</v>
      </c>
    </row>
    <row r="5172" spans="1:2">
      <c r="A5172" s="3">
        <v>43833</v>
      </c>
      <c r="B5172" s="4">
        <v>1164.95</v>
      </c>
    </row>
    <row r="5173" spans="1:2">
      <c r="A5173" s="3">
        <v>43836</v>
      </c>
      <c r="B5173" s="4">
        <v>1166.94</v>
      </c>
    </row>
    <row r="5174" spans="1:2">
      <c r="A5174" s="3">
        <v>43837</v>
      </c>
      <c r="B5174" s="4">
        <v>1167.3</v>
      </c>
    </row>
    <row r="5175" spans="1:2">
      <c r="A5175" s="3">
        <v>43838</v>
      </c>
      <c r="B5175" s="4">
        <v>1162.25</v>
      </c>
    </row>
    <row r="5176" spans="1:2">
      <c r="A5176" s="3">
        <v>43839</v>
      </c>
      <c r="B5176" s="4">
        <v>1158.72</v>
      </c>
    </row>
    <row r="5177" spans="1:2">
      <c r="A5177" s="3">
        <v>43840</v>
      </c>
      <c r="B5177" s="4">
        <v>1157.97</v>
      </c>
    </row>
    <row r="5178" spans="1:2">
      <c r="A5178" s="3">
        <v>43843</v>
      </c>
      <c r="B5178" s="4">
        <v>1153.95</v>
      </c>
    </row>
    <row r="5179" spans="1:2">
      <c r="A5179" s="3">
        <v>43844</v>
      </c>
      <c r="B5179" s="4">
        <v>1157.2</v>
      </c>
    </row>
    <row r="5180" spans="1:2">
      <c r="A5180" s="3">
        <v>43845</v>
      </c>
      <c r="B5180" s="4">
        <v>1157.9100000000001</v>
      </c>
    </row>
    <row r="5181" spans="1:2">
      <c r="A5181" s="3">
        <v>43846</v>
      </c>
      <c r="B5181" s="4">
        <v>1159.73</v>
      </c>
    </row>
    <row r="5182" spans="1:2">
      <c r="A5182" s="3">
        <v>43847</v>
      </c>
      <c r="B5182" s="4">
        <v>1160.44</v>
      </c>
    </row>
    <row r="5183" spans="1:2">
      <c r="A5183" s="3">
        <v>43850</v>
      </c>
      <c r="B5183" s="4">
        <v>1158.6099999999999</v>
      </c>
    </row>
    <row r="5184" spans="1:2">
      <c r="A5184" s="3">
        <v>43851</v>
      </c>
      <c r="B5184" s="4">
        <v>1169.01</v>
      </c>
    </row>
    <row r="5185" spans="1:2">
      <c r="A5185" s="3">
        <v>43852</v>
      </c>
      <c r="B5185" s="4">
        <v>1164.76</v>
      </c>
    </row>
    <row r="5186" spans="1:2">
      <c r="A5186" s="3">
        <v>43853</v>
      </c>
      <c r="B5186" s="4">
        <v>1168.54</v>
      </c>
    </row>
    <row r="5187" spans="1:2">
      <c r="A5187" s="3">
        <v>43854</v>
      </c>
      <c r="B5187" s="4">
        <v>1169.2</v>
      </c>
    </row>
    <row r="5188" spans="1:2">
      <c r="A5188" s="3">
        <v>43857</v>
      </c>
      <c r="B5188" s="4">
        <v>1176.7</v>
      </c>
    </row>
    <row r="5189" spans="1:2">
      <c r="A5189" s="3">
        <v>43858</v>
      </c>
      <c r="B5189" s="4">
        <v>1175.71</v>
      </c>
    </row>
    <row r="5190" spans="1:2">
      <c r="A5190" s="3">
        <v>43859</v>
      </c>
      <c r="B5190" s="4">
        <v>1178.68</v>
      </c>
    </row>
    <row r="5191" spans="1:2">
      <c r="A5191" s="3">
        <v>43860</v>
      </c>
      <c r="B5191" s="4">
        <v>1187.6400000000001</v>
      </c>
    </row>
    <row r="5192" spans="1:2">
      <c r="A5192" s="3">
        <v>43861</v>
      </c>
      <c r="B5192" s="4">
        <v>1194.97</v>
      </c>
    </row>
    <row r="5193" spans="1:2">
      <c r="A5193" s="3">
        <v>43864</v>
      </c>
      <c r="B5193" s="4">
        <v>1189.79</v>
      </c>
    </row>
    <row r="5194" spans="1:2">
      <c r="A5194" s="3">
        <v>43865</v>
      </c>
      <c r="B5194" s="4">
        <v>1182.9000000000001</v>
      </c>
    </row>
    <row r="5195" spans="1:2">
      <c r="A5195" s="3">
        <v>43866</v>
      </c>
      <c r="B5195" s="4">
        <v>1183.4000000000001</v>
      </c>
    </row>
    <row r="5196" spans="1:2">
      <c r="A5196" s="3">
        <v>43867</v>
      </c>
      <c r="B5196" s="4">
        <v>1185.28</v>
      </c>
    </row>
    <row r="5197" spans="1:2">
      <c r="A5197" s="3">
        <v>43868</v>
      </c>
      <c r="B5197" s="4">
        <v>1191.3900000000001</v>
      </c>
    </row>
    <row r="5198" spans="1:2">
      <c r="A5198" s="3">
        <v>43871</v>
      </c>
      <c r="B5198" s="4">
        <v>1187.17</v>
      </c>
    </row>
    <row r="5199" spans="1:2">
      <c r="A5199" s="3">
        <v>43872</v>
      </c>
      <c r="B5199" s="4">
        <v>1181.25</v>
      </c>
    </row>
    <row r="5200" spans="1:2">
      <c r="A5200" s="3">
        <v>43873</v>
      </c>
      <c r="B5200" s="4">
        <v>1178.51</v>
      </c>
    </row>
    <row r="5201" spans="1:2">
      <c r="A5201" s="3">
        <v>43874</v>
      </c>
      <c r="B5201" s="4">
        <v>1183.58</v>
      </c>
    </row>
    <row r="5202" spans="1:2">
      <c r="A5202" s="3">
        <v>43875</v>
      </c>
      <c r="B5202" s="4">
        <v>1182.46</v>
      </c>
    </row>
    <row r="5203" spans="1:2">
      <c r="A5203" s="3">
        <v>43878</v>
      </c>
      <c r="B5203" s="4">
        <v>1185.25</v>
      </c>
    </row>
    <row r="5204" spans="1:2">
      <c r="A5204" s="3">
        <v>43879</v>
      </c>
      <c r="B5204" s="4">
        <v>1190.95</v>
      </c>
    </row>
    <row r="5205" spans="1:2">
      <c r="A5205" s="3">
        <v>43880</v>
      </c>
      <c r="B5205" s="4">
        <v>1192.5</v>
      </c>
    </row>
    <row r="5206" spans="1:2">
      <c r="A5206" s="3">
        <v>43881</v>
      </c>
      <c r="B5206" s="4">
        <v>1204.71</v>
      </c>
    </row>
    <row r="5207" spans="1:2">
      <c r="A5207" s="3">
        <v>43882</v>
      </c>
      <c r="B5207" s="4">
        <v>1206.9100000000001</v>
      </c>
    </row>
    <row r="5208" spans="1:2">
      <c r="A5208" s="3">
        <v>43885</v>
      </c>
      <c r="B5208" s="4">
        <v>1219.08</v>
      </c>
    </row>
    <row r="5209" spans="1:2">
      <c r="A5209" s="3">
        <v>43886</v>
      </c>
      <c r="B5209" s="4">
        <v>1215.54</v>
      </c>
    </row>
    <row r="5210" spans="1:2">
      <c r="A5210" s="3">
        <v>43887</v>
      </c>
      <c r="B5210" s="4">
        <v>1212.31</v>
      </c>
    </row>
    <row r="5211" spans="1:2">
      <c r="A5211" s="3">
        <v>43888</v>
      </c>
      <c r="B5211" s="4">
        <v>1212.6300000000001</v>
      </c>
    </row>
    <row r="5212" spans="1:2">
      <c r="A5212" s="3">
        <v>43889</v>
      </c>
      <c r="B5212" s="4">
        <v>1200.2</v>
      </c>
    </row>
    <row r="5213" spans="1:2">
      <c r="A5213" s="3">
        <v>43892</v>
      </c>
      <c r="B5213" s="4">
        <v>1189.6099999999999</v>
      </c>
    </row>
    <row r="5214" spans="1:2">
      <c r="A5214" s="3">
        <v>43893</v>
      </c>
      <c r="B5214" s="4">
        <v>1180.5</v>
      </c>
    </row>
    <row r="5215" spans="1:2">
      <c r="A5215" s="3">
        <v>43894</v>
      </c>
      <c r="B5215" s="4">
        <v>1184.73</v>
      </c>
    </row>
    <row r="5216" spans="1:2">
      <c r="A5216" s="3">
        <v>43895</v>
      </c>
      <c r="B5216" s="4">
        <v>1188.72</v>
      </c>
    </row>
    <row r="5217" spans="1:2">
      <c r="A5217" s="3">
        <v>43896</v>
      </c>
      <c r="B5217" s="4">
        <v>1188.7</v>
      </c>
    </row>
    <row r="5218" spans="1:2">
      <c r="A5218" s="3">
        <v>43899</v>
      </c>
      <c r="B5218" s="4">
        <v>1200.8800000000001</v>
      </c>
    </row>
    <row r="5219" spans="1:2">
      <c r="A5219" s="3">
        <v>43900</v>
      </c>
      <c r="B5219" s="4">
        <v>1185.5999999999999</v>
      </c>
    </row>
    <row r="5220" spans="1:2">
      <c r="A5220" s="3">
        <v>43901</v>
      </c>
      <c r="B5220" s="4">
        <v>1192.57</v>
      </c>
    </row>
    <row r="5221" spans="1:2">
      <c r="A5221" s="3">
        <v>43902</v>
      </c>
      <c r="B5221" s="4">
        <v>1210.71</v>
      </c>
    </row>
    <row r="5222" spans="1:2">
      <c r="A5222" s="3">
        <v>43903</v>
      </c>
      <c r="B5222" s="4">
        <v>1211.28</v>
      </c>
    </row>
    <row r="5223" spans="1:2">
      <c r="A5223" s="3">
        <v>43906</v>
      </c>
      <c r="B5223" s="4">
        <v>1232.3699999999999</v>
      </c>
    </row>
    <row r="5224" spans="1:2">
      <c r="A5224" s="3">
        <v>43907</v>
      </c>
      <c r="B5224" s="4">
        <v>1239.72</v>
      </c>
    </row>
    <row r="5225" spans="1:2">
      <c r="A5225" s="3">
        <v>43908</v>
      </c>
      <c r="B5225" s="4">
        <v>1256.46</v>
      </c>
    </row>
    <row r="5226" spans="1:2">
      <c r="A5226" s="3">
        <v>43909</v>
      </c>
      <c r="B5226" s="4">
        <v>1257.8599999999999</v>
      </c>
    </row>
    <row r="5227" spans="1:2">
      <c r="A5227" s="3">
        <v>43910</v>
      </c>
      <c r="B5227" s="4">
        <v>1254.45</v>
      </c>
    </row>
    <row r="5228" spans="1:2">
      <c r="A5228" s="3">
        <v>43913</v>
      </c>
      <c r="B5228" s="4">
        <v>1272.5</v>
      </c>
    </row>
    <row r="5229" spans="1:2">
      <c r="A5229" s="3">
        <v>43914</v>
      </c>
      <c r="B5229" s="4">
        <v>1233.21</v>
      </c>
    </row>
    <row r="5230" spans="1:2">
      <c r="A5230" s="3">
        <v>43915</v>
      </c>
      <c r="B5230" s="4">
        <v>1232</v>
      </c>
    </row>
    <row r="5231" spans="1:2">
      <c r="A5231" s="3">
        <v>43916</v>
      </c>
      <c r="B5231" s="4">
        <v>1212.9000000000001</v>
      </c>
    </row>
    <row r="5232" spans="1:2">
      <c r="A5232" s="3">
        <v>43917</v>
      </c>
      <c r="B5232" s="4">
        <v>1212.23</v>
      </c>
    </row>
    <row r="5233" spans="1:2">
      <c r="A5233" s="3">
        <v>43920</v>
      </c>
      <c r="B5233" s="4">
        <v>1224.21</v>
      </c>
    </row>
    <row r="5234" spans="1:2">
      <c r="A5234" s="3">
        <v>43921</v>
      </c>
      <c r="B5234" s="4">
        <v>1218.3</v>
      </c>
    </row>
    <row r="5235" spans="1:2">
      <c r="A5235" s="3">
        <v>43922</v>
      </c>
      <c r="B5235" s="4">
        <v>1236.2</v>
      </c>
    </row>
    <row r="5236" spans="1:2">
      <c r="A5236" s="3">
        <v>43923</v>
      </c>
      <c r="B5236" s="4">
        <v>1227.3499999999999</v>
      </c>
    </row>
    <row r="5237" spans="1:2">
      <c r="A5237" s="3">
        <v>43924</v>
      </c>
      <c r="B5237" s="4">
        <v>1235.6099999999999</v>
      </c>
    </row>
    <row r="5238" spans="1:2">
      <c r="A5238" s="3">
        <v>43927</v>
      </c>
      <c r="B5238" s="4">
        <v>1224.5999999999999</v>
      </c>
    </row>
    <row r="5239" spans="1:2">
      <c r="A5239" s="3">
        <v>43928</v>
      </c>
      <c r="B5239" s="4">
        <v>1214.93</v>
      </c>
    </row>
    <row r="5240" spans="1:2">
      <c r="A5240" s="3">
        <v>43929</v>
      </c>
      <c r="B5240" s="4">
        <v>1215.76</v>
      </c>
    </row>
    <row r="5241" spans="1:2">
      <c r="A5241" s="3">
        <v>43930</v>
      </c>
      <c r="B5241" s="4">
        <v>1210.58</v>
      </c>
    </row>
    <row r="5242" spans="1:2">
      <c r="A5242" s="3">
        <v>43931</v>
      </c>
      <c r="B5242" s="4">
        <v>1211.05</v>
      </c>
    </row>
    <row r="5243" spans="1:2">
      <c r="A5243" s="3">
        <v>43934</v>
      </c>
      <c r="B5243" s="4">
        <v>1215.46</v>
      </c>
    </row>
    <row r="5244" spans="1:2">
      <c r="A5244" s="3">
        <v>43935</v>
      </c>
      <c r="B5244" s="4">
        <v>1212.46</v>
      </c>
    </row>
    <row r="5245" spans="1:2">
      <c r="A5245" s="3">
        <v>43936</v>
      </c>
      <c r="B5245" s="4">
        <v>1224.68</v>
      </c>
    </row>
    <row r="5246" spans="1:2">
      <c r="A5246" s="3">
        <v>43937</v>
      </c>
      <c r="B5246" s="4">
        <v>1228.94</v>
      </c>
    </row>
    <row r="5247" spans="1:2">
      <c r="A5247" s="3">
        <v>43938</v>
      </c>
      <c r="B5247" s="4">
        <v>1216.1300000000001</v>
      </c>
    </row>
    <row r="5248" spans="1:2">
      <c r="A5248" s="3">
        <v>43941</v>
      </c>
      <c r="B5248" s="4">
        <v>1220.58</v>
      </c>
    </row>
    <row r="5249" spans="1:2">
      <c r="A5249" s="3">
        <v>43942</v>
      </c>
      <c r="B5249" s="4">
        <v>1232.56</v>
      </c>
    </row>
    <row r="5250" spans="1:2">
      <c r="A5250" s="3">
        <v>43943</v>
      </c>
      <c r="B5250" s="4">
        <v>1233.55</v>
      </c>
    </row>
    <row r="5251" spans="1:2">
      <c r="A5251" s="3">
        <v>43944</v>
      </c>
      <c r="B5251" s="4">
        <v>1233.04</v>
      </c>
    </row>
    <row r="5252" spans="1:2">
      <c r="A5252" s="3">
        <v>43945</v>
      </c>
      <c r="B5252" s="4">
        <v>1230.53</v>
      </c>
    </row>
    <row r="5253" spans="1:2">
      <c r="A5253" s="3">
        <v>43948</v>
      </c>
      <c r="B5253" s="4">
        <v>1222.05</v>
      </c>
    </row>
    <row r="5254" spans="1:2">
      <c r="A5254" s="3">
        <v>43949</v>
      </c>
      <c r="B5254" s="4">
        <v>1221.31</v>
      </c>
    </row>
    <row r="5255" spans="1:2">
      <c r="A5255" s="3">
        <v>43950</v>
      </c>
      <c r="B5255" s="4">
        <v>1210.99</v>
      </c>
    </row>
    <row r="5256" spans="1:2">
      <c r="A5256" s="3">
        <v>43951</v>
      </c>
      <c r="B5256" s="4">
        <v>1212.94</v>
      </c>
    </row>
    <row r="5257" spans="1:2">
      <c r="A5257" s="3">
        <v>43952</v>
      </c>
      <c r="B5257" s="4">
        <v>1224.8900000000001</v>
      </c>
    </row>
    <row r="5258" spans="1:2">
      <c r="A5258" s="3">
        <v>43955</v>
      </c>
      <c r="B5258" s="4">
        <v>1224.1400000000001</v>
      </c>
    </row>
    <row r="5259" spans="1:2">
      <c r="A5259" s="3">
        <v>43956</v>
      </c>
      <c r="B5259" s="4">
        <v>1222.47</v>
      </c>
    </row>
    <row r="5260" spans="1:2">
      <c r="A5260" s="3">
        <v>43957</v>
      </c>
      <c r="B5260" s="4">
        <v>1228.55</v>
      </c>
    </row>
    <row r="5261" spans="1:2">
      <c r="A5261" s="3">
        <v>43958</v>
      </c>
      <c r="B5261" s="4">
        <v>1219.6099999999999</v>
      </c>
    </row>
    <row r="5262" spans="1:2">
      <c r="A5262" s="3">
        <v>43959</v>
      </c>
      <c r="B5262" s="4">
        <v>1219.6500000000001</v>
      </c>
    </row>
    <row r="5263" spans="1:2">
      <c r="A5263" s="3">
        <v>43962</v>
      </c>
      <c r="B5263" s="4">
        <v>1222.9100000000001</v>
      </c>
    </row>
    <row r="5264" spans="1:2">
      <c r="A5264" s="3">
        <v>43963</v>
      </c>
      <c r="B5264" s="4">
        <v>1226.6400000000001</v>
      </c>
    </row>
    <row r="5265" spans="1:2">
      <c r="A5265" s="3">
        <v>43964</v>
      </c>
      <c r="B5265" s="4">
        <v>1227.3699999999999</v>
      </c>
    </row>
    <row r="5266" spans="1:2">
      <c r="A5266" s="3">
        <v>43965</v>
      </c>
      <c r="B5266" s="4">
        <v>1227.03</v>
      </c>
    </row>
    <row r="5267" spans="1:2">
      <c r="A5267" s="3">
        <v>43966</v>
      </c>
      <c r="B5267" s="4">
        <v>1232.69</v>
      </c>
    </row>
    <row r="5268" spans="1:2">
      <c r="A5268" s="3">
        <v>43969</v>
      </c>
      <c r="B5268" s="4">
        <v>1225.1300000000001</v>
      </c>
    </row>
    <row r="5269" spans="1:2">
      <c r="A5269" s="3">
        <v>43970</v>
      </c>
      <c r="B5269" s="4">
        <v>1225.04</v>
      </c>
    </row>
    <row r="5270" spans="1:2">
      <c r="A5270" s="3">
        <v>43971</v>
      </c>
      <c r="B5270" s="4">
        <v>1227.26</v>
      </c>
    </row>
    <row r="5271" spans="1:2">
      <c r="A5271" s="3">
        <v>43972</v>
      </c>
      <c r="B5271" s="4">
        <v>1233.19</v>
      </c>
    </row>
    <row r="5272" spans="1:2">
      <c r="A5272" s="3">
        <v>43973</v>
      </c>
      <c r="B5272" s="4">
        <v>1240.5899999999999</v>
      </c>
    </row>
    <row r="5273" spans="1:2">
      <c r="A5273" s="3">
        <v>43976</v>
      </c>
      <c r="B5273" s="4">
        <v>1240.45</v>
      </c>
    </row>
    <row r="5274" spans="1:2">
      <c r="A5274" s="3">
        <v>43977</v>
      </c>
      <c r="B5274" s="4">
        <v>1230.9000000000001</v>
      </c>
    </row>
    <row r="5275" spans="1:2">
      <c r="A5275" s="3">
        <v>43978</v>
      </c>
      <c r="B5275" s="4">
        <v>1238.19</v>
      </c>
    </row>
    <row r="5276" spans="1:2">
      <c r="A5276" s="3">
        <v>43979</v>
      </c>
      <c r="B5276" s="4">
        <v>1237.97</v>
      </c>
    </row>
    <row r="5277" spans="1:2">
      <c r="A5277" s="3">
        <v>43980</v>
      </c>
      <c r="B5277" s="4">
        <v>1231.49</v>
      </c>
    </row>
    <row r="5278" spans="1:2">
      <c r="A5278" s="3">
        <v>43983</v>
      </c>
      <c r="B5278" s="4">
        <v>1222.92</v>
      </c>
    </row>
    <row r="5279" spans="1:2">
      <c r="A5279" s="3">
        <v>43984</v>
      </c>
      <c r="B5279" s="4">
        <v>1219.6199999999999</v>
      </c>
    </row>
    <row r="5280" spans="1:2">
      <c r="A5280" s="3">
        <v>43985</v>
      </c>
      <c r="B5280" s="4">
        <v>1215.79</v>
      </c>
    </row>
    <row r="5281" spans="1:2">
      <c r="A5281" s="3">
        <v>43986</v>
      </c>
      <c r="B5281" s="4">
        <v>1216.3900000000001</v>
      </c>
    </row>
    <row r="5282" spans="1:2">
      <c r="A5282" s="3">
        <v>43987</v>
      </c>
      <c r="B5282" s="4">
        <v>1202.02</v>
      </c>
    </row>
    <row r="5283" spans="1:2">
      <c r="A5283" s="3">
        <v>43990</v>
      </c>
      <c r="B5283" s="4">
        <v>1195.3499999999999</v>
      </c>
    </row>
    <row r="5284" spans="1:2">
      <c r="A5284" s="3">
        <v>43991</v>
      </c>
      <c r="B5284" s="4">
        <v>1198.4000000000001</v>
      </c>
    </row>
    <row r="5285" spans="1:2">
      <c r="A5285" s="3">
        <v>43992</v>
      </c>
      <c r="B5285" s="4">
        <v>1190.67</v>
      </c>
    </row>
    <row r="5286" spans="1:2">
      <c r="A5286" s="3">
        <v>43993</v>
      </c>
      <c r="B5286" s="4">
        <v>1206.0999999999999</v>
      </c>
    </row>
    <row r="5287" spans="1:2">
      <c r="A5287" s="3">
        <v>43994</v>
      </c>
      <c r="B5287" s="4">
        <v>1203.6600000000001</v>
      </c>
    </row>
    <row r="5288" spans="1:2">
      <c r="A5288" s="3">
        <v>43997</v>
      </c>
      <c r="B5288" s="4">
        <v>1208.55</v>
      </c>
    </row>
    <row r="5289" spans="1:2">
      <c r="A5289" s="3">
        <v>43998</v>
      </c>
      <c r="B5289" s="4">
        <v>1211.79</v>
      </c>
    </row>
    <row r="5290" spans="1:2">
      <c r="A5290" s="3">
        <v>43999</v>
      </c>
      <c r="B5290" s="4">
        <v>1215.4100000000001</v>
      </c>
    </row>
    <row r="5291" spans="1:2">
      <c r="A5291" s="3">
        <v>44000</v>
      </c>
      <c r="B5291" s="4">
        <v>1212.5</v>
      </c>
    </row>
    <row r="5292" spans="1:2">
      <c r="A5292" s="3">
        <v>44001</v>
      </c>
      <c r="B5292" s="4">
        <v>1211.83</v>
      </c>
    </row>
    <row r="5293" spans="1:2">
      <c r="A5293" s="3">
        <v>44004</v>
      </c>
      <c r="B5293" s="4">
        <v>1209.4100000000001</v>
      </c>
    </row>
    <row r="5294" spans="1:2">
      <c r="A5294" s="3">
        <v>44005</v>
      </c>
      <c r="B5294" s="4">
        <v>1207.46</v>
      </c>
    </row>
    <row r="5295" spans="1:2">
      <c r="A5295" s="3">
        <v>44006</v>
      </c>
      <c r="B5295" s="4">
        <v>1206.08</v>
      </c>
    </row>
    <row r="5296" spans="1:2">
      <c r="A5296" s="3">
        <v>44007</v>
      </c>
      <c r="B5296" s="4">
        <v>1202.21</v>
      </c>
    </row>
    <row r="5297" spans="1:2">
      <c r="A5297" s="3">
        <v>44008</v>
      </c>
      <c r="B5297" s="4">
        <v>1203.8</v>
      </c>
    </row>
    <row r="5298" spans="1:2">
      <c r="A5298" s="3">
        <v>44011</v>
      </c>
      <c r="B5298" s="4">
        <v>1199.1600000000001</v>
      </c>
    </row>
    <row r="5299" spans="1:2">
      <c r="A5299" s="3">
        <v>44012</v>
      </c>
      <c r="B5299" s="4">
        <v>1199.28</v>
      </c>
    </row>
    <row r="5300" spans="1:2">
      <c r="A5300" s="3">
        <v>44013</v>
      </c>
      <c r="B5300" s="4">
        <v>1201.51</v>
      </c>
    </row>
    <row r="5301" spans="1:2">
      <c r="A5301" s="3">
        <v>44014</v>
      </c>
      <c r="B5301" s="4">
        <v>1198.75</v>
      </c>
    </row>
    <row r="5302" spans="1:2">
      <c r="A5302" s="3">
        <v>44015</v>
      </c>
      <c r="B5302" s="4">
        <v>1198.93</v>
      </c>
    </row>
    <row r="5303" spans="1:2">
      <c r="A5303" s="3">
        <v>44018</v>
      </c>
      <c r="B5303" s="4">
        <v>1191.92</v>
      </c>
    </row>
    <row r="5304" spans="1:2">
      <c r="A5304" s="3">
        <v>44019</v>
      </c>
      <c r="B5304" s="4">
        <v>1196.75</v>
      </c>
    </row>
    <row r="5305" spans="1:2">
      <c r="A5305" s="3">
        <v>44020</v>
      </c>
      <c r="B5305" s="4">
        <v>1192.05</v>
      </c>
    </row>
    <row r="5306" spans="1:2">
      <c r="A5306" s="3">
        <v>44021</v>
      </c>
      <c r="B5306" s="4">
        <v>1196.98</v>
      </c>
    </row>
    <row r="5307" spans="1:2">
      <c r="A5307" s="3">
        <v>44022</v>
      </c>
      <c r="B5307" s="4">
        <v>1200.42</v>
      </c>
    </row>
    <row r="5308" spans="1:2">
      <c r="A5308" s="3">
        <v>44025</v>
      </c>
      <c r="B5308" s="4">
        <v>1203.3699999999999</v>
      </c>
    </row>
    <row r="5309" spans="1:2">
      <c r="A5309" s="3">
        <v>44026</v>
      </c>
      <c r="B5309" s="4">
        <v>1204.8900000000001</v>
      </c>
    </row>
    <row r="5310" spans="1:2">
      <c r="A5310" s="3">
        <v>44027</v>
      </c>
      <c r="B5310" s="4">
        <v>1200.5</v>
      </c>
    </row>
    <row r="5311" spans="1:2">
      <c r="A5311" s="3">
        <v>44028</v>
      </c>
      <c r="B5311" s="4">
        <v>1205.1099999999999</v>
      </c>
    </row>
    <row r="5312" spans="1:2">
      <c r="A5312" s="3">
        <v>44029</v>
      </c>
      <c r="B5312" s="4">
        <v>1203.44</v>
      </c>
    </row>
    <row r="5313" spans="1:2">
      <c r="A5313" s="3">
        <v>44032</v>
      </c>
      <c r="B5313" s="4">
        <v>1200.9000000000001</v>
      </c>
    </row>
    <row r="5314" spans="1:2">
      <c r="A5314" s="3">
        <v>44033</v>
      </c>
      <c r="B5314" s="4">
        <v>1193.92</v>
      </c>
    </row>
    <row r="5315" spans="1:2">
      <c r="A5315" s="3">
        <v>44034</v>
      </c>
      <c r="B5315" s="4">
        <v>1197.22</v>
      </c>
    </row>
    <row r="5316" spans="1:2">
      <c r="A5316" s="3">
        <v>44035</v>
      </c>
      <c r="B5316" s="4">
        <v>1201.45</v>
      </c>
    </row>
    <row r="5317" spans="1:2">
      <c r="A5317" s="3">
        <v>44036</v>
      </c>
      <c r="B5317" s="4">
        <v>1201.5</v>
      </c>
    </row>
    <row r="5318" spans="1:2">
      <c r="A5318" s="3">
        <v>44039</v>
      </c>
      <c r="B5318" s="4">
        <v>1195.57</v>
      </c>
    </row>
    <row r="5319" spans="1:2">
      <c r="A5319" s="3">
        <v>44040</v>
      </c>
      <c r="B5319" s="4">
        <v>1199.46</v>
      </c>
    </row>
    <row r="5320" spans="1:2">
      <c r="A5320" s="3">
        <v>44041</v>
      </c>
      <c r="B5320" s="4">
        <v>1189.79</v>
      </c>
    </row>
    <row r="5321" spans="1:2">
      <c r="A5321" s="3">
        <v>44042</v>
      </c>
      <c r="B5321" s="4">
        <v>1189.6199999999999</v>
      </c>
    </row>
    <row r="5322" spans="1:2">
      <c r="A5322" s="3">
        <v>44043</v>
      </c>
      <c r="B5322" s="4">
        <v>1193.5899999999999</v>
      </c>
    </row>
    <row r="5323" spans="1:2">
      <c r="A5323" s="3">
        <v>44046</v>
      </c>
      <c r="B5323" s="4">
        <v>1192.5899999999999</v>
      </c>
    </row>
    <row r="5324" spans="1:2">
      <c r="A5324" s="3">
        <v>44047</v>
      </c>
      <c r="B5324" s="4">
        <v>1193.2</v>
      </c>
    </row>
    <row r="5325" spans="1:2">
      <c r="A5325" s="3">
        <v>44048</v>
      </c>
      <c r="B5325" s="4">
        <v>1186.05</v>
      </c>
    </row>
    <row r="5326" spans="1:2">
      <c r="A5326" s="3">
        <v>44049</v>
      </c>
      <c r="B5326" s="4">
        <v>1183.5</v>
      </c>
    </row>
    <row r="5327" spans="1:2">
      <c r="A5327" s="3">
        <v>44050</v>
      </c>
      <c r="B5327" s="4">
        <v>1188.68</v>
      </c>
    </row>
    <row r="5328" spans="1:2">
      <c r="A5328" s="3">
        <v>44053</v>
      </c>
      <c r="B5328" s="4">
        <v>1185.58</v>
      </c>
    </row>
    <row r="5329" spans="1:2">
      <c r="A5329" s="3">
        <v>44054</v>
      </c>
      <c r="B5329" s="4">
        <v>1185.6199999999999</v>
      </c>
    </row>
    <row r="5330" spans="1:2">
      <c r="A5330" s="3">
        <v>44055</v>
      </c>
      <c r="B5330" s="4">
        <v>1183.23</v>
      </c>
    </row>
    <row r="5331" spans="1:2">
      <c r="A5331" s="3">
        <v>44056</v>
      </c>
      <c r="B5331" s="4">
        <v>1184.92</v>
      </c>
    </row>
    <row r="5332" spans="1:2">
      <c r="A5332" s="3">
        <v>44057</v>
      </c>
      <c r="B5332" s="4">
        <v>1186.94</v>
      </c>
    </row>
    <row r="5333" spans="1:2">
      <c r="A5333" s="3">
        <v>44060</v>
      </c>
      <c r="B5333" s="4">
        <v>1183.19</v>
      </c>
    </row>
    <row r="5334" spans="1:2">
      <c r="A5334" s="3">
        <v>44061</v>
      </c>
      <c r="B5334" s="4">
        <v>1182.7</v>
      </c>
    </row>
    <row r="5335" spans="1:2">
      <c r="A5335" s="3">
        <v>44062</v>
      </c>
      <c r="B5335" s="4">
        <v>1181.74</v>
      </c>
    </row>
    <row r="5336" spans="1:2">
      <c r="A5336" s="3">
        <v>44063</v>
      </c>
      <c r="B5336" s="4">
        <v>1185.24</v>
      </c>
    </row>
    <row r="5337" spans="1:2">
      <c r="A5337" s="3">
        <v>44064</v>
      </c>
      <c r="B5337" s="4">
        <v>1191.72</v>
      </c>
    </row>
    <row r="5338" spans="1:2">
      <c r="A5338" s="3">
        <v>44067</v>
      </c>
      <c r="B5338" s="4">
        <v>1188.6600000000001</v>
      </c>
    </row>
    <row r="5339" spans="1:2">
      <c r="A5339" s="3">
        <v>44068</v>
      </c>
      <c r="B5339" s="4">
        <v>1187.3499999999999</v>
      </c>
    </row>
    <row r="5340" spans="1:2">
      <c r="A5340" s="3">
        <v>44069</v>
      </c>
      <c r="B5340" s="4">
        <v>1184.3900000000001</v>
      </c>
    </row>
    <row r="5341" spans="1:2">
      <c r="A5341" s="3">
        <v>44070</v>
      </c>
      <c r="B5341" s="4">
        <v>1187.44</v>
      </c>
    </row>
    <row r="5342" spans="1:2">
      <c r="A5342" s="3">
        <v>44071</v>
      </c>
      <c r="B5342" s="4">
        <v>1180.48</v>
      </c>
    </row>
    <row r="5343" spans="1:2">
      <c r="A5343" s="3">
        <v>44074</v>
      </c>
      <c r="B5343" s="4">
        <v>1187.94</v>
      </c>
    </row>
    <row r="5344" spans="1:2">
      <c r="A5344" s="3">
        <v>44075</v>
      </c>
      <c r="B5344" s="4">
        <v>1185.45</v>
      </c>
    </row>
    <row r="5345" spans="1:2">
      <c r="A5345" s="3">
        <v>44076</v>
      </c>
      <c r="B5345" s="4">
        <v>1189.1300000000001</v>
      </c>
    </row>
    <row r="5346" spans="1:2">
      <c r="A5346" s="3">
        <v>44077</v>
      </c>
      <c r="B5346" s="4">
        <v>1191.48</v>
      </c>
    </row>
    <row r="5347" spans="1:2">
      <c r="A5347" s="3">
        <v>44078</v>
      </c>
      <c r="B5347" s="4">
        <v>1187.3</v>
      </c>
    </row>
    <row r="5348" spans="1:2">
      <c r="A5348" s="3">
        <v>44081</v>
      </c>
      <c r="B5348" s="4">
        <v>1187.27</v>
      </c>
    </row>
    <row r="5349" spans="1:2">
      <c r="A5349" s="3">
        <v>44082</v>
      </c>
      <c r="B5349" s="4">
        <v>1190.0999999999999</v>
      </c>
    </row>
    <row r="5350" spans="1:2">
      <c r="A5350" s="3">
        <v>44083</v>
      </c>
      <c r="B5350" s="4">
        <v>1184.79</v>
      </c>
    </row>
    <row r="5351" spans="1:2">
      <c r="A5351" s="3">
        <v>44084</v>
      </c>
      <c r="B5351" s="4">
        <v>1188.1099999999999</v>
      </c>
    </row>
    <row r="5352" spans="1:2">
      <c r="A5352" s="3">
        <v>44085</v>
      </c>
      <c r="B5352" s="4">
        <v>1187.8900000000001</v>
      </c>
    </row>
    <row r="5353" spans="1:2">
      <c r="A5353" s="3">
        <v>44088</v>
      </c>
      <c r="B5353" s="4">
        <v>1181.51</v>
      </c>
    </row>
    <row r="5354" spans="1:2">
      <c r="A5354" s="3">
        <v>44089</v>
      </c>
      <c r="B5354" s="4">
        <v>1179.76</v>
      </c>
    </row>
    <row r="5355" spans="1:2">
      <c r="A5355" s="3">
        <v>44090</v>
      </c>
      <c r="B5355" s="4">
        <v>1172.8800000000001</v>
      </c>
    </row>
    <row r="5356" spans="1:2">
      <c r="A5356" s="3">
        <v>44091</v>
      </c>
      <c r="B5356" s="4">
        <v>1169.2</v>
      </c>
    </row>
    <row r="5357" spans="1:2">
      <c r="A5357" s="3">
        <v>44092</v>
      </c>
      <c r="B5357" s="4">
        <v>1164.81</v>
      </c>
    </row>
    <row r="5358" spans="1:2">
      <c r="A5358" s="3">
        <v>44095</v>
      </c>
      <c r="B5358" s="4">
        <v>1163.6099999999999</v>
      </c>
    </row>
    <row r="5359" spans="1:2">
      <c r="A5359" s="3">
        <v>44096</v>
      </c>
      <c r="B5359" s="4">
        <v>1163.6099999999999</v>
      </c>
    </row>
    <row r="5360" spans="1:2">
      <c r="A5360" s="3">
        <v>44097</v>
      </c>
      <c r="B5360" s="4">
        <v>1170.6500000000001</v>
      </c>
    </row>
    <row r="5361" spans="1:2">
      <c r="A5361" s="3">
        <v>44098</v>
      </c>
      <c r="B5361" s="4">
        <v>1169.0999999999999</v>
      </c>
    </row>
    <row r="5362" spans="1:2">
      <c r="A5362" s="3">
        <v>44099</v>
      </c>
      <c r="B5362" s="4">
        <v>1174.32</v>
      </c>
    </row>
    <row r="5363" spans="1:2">
      <c r="A5363" s="3">
        <v>44102</v>
      </c>
      <c r="B5363" s="4">
        <v>1166.8499999999999</v>
      </c>
    </row>
    <row r="5364" spans="1:2">
      <c r="A5364" s="3">
        <v>44103</v>
      </c>
      <c r="B5364" s="4">
        <v>1168.73</v>
      </c>
    </row>
    <row r="5365" spans="1:2">
      <c r="A5365" s="3">
        <v>44104</v>
      </c>
      <c r="B5365" s="4">
        <v>1164.6500000000001</v>
      </c>
    </row>
    <row r="5366" spans="1:2">
      <c r="A5366" s="3">
        <v>44105</v>
      </c>
      <c r="B5366" s="4">
        <v>1162.83</v>
      </c>
    </row>
    <row r="5367" spans="1:2">
      <c r="A5367" s="3">
        <v>44106</v>
      </c>
      <c r="B5367" s="4">
        <v>1166.26</v>
      </c>
    </row>
    <row r="5368" spans="1:2">
      <c r="A5368" s="3">
        <v>44109</v>
      </c>
      <c r="B5368" s="4">
        <v>1157.1199999999999</v>
      </c>
    </row>
    <row r="5369" spans="1:2">
      <c r="A5369" s="3">
        <v>44110</v>
      </c>
      <c r="B5369" s="4">
        <v>1164.3699999999999</v>
      </c>
    </row>
    <row r="5370" spans="1:2">
      <c r="A5370" s="3">
        <v>44111</v>
      </c>
      <c r="B5370" s="4">
        <v>1157.26</v>
      </c>
    </row>
    <row r="5371" spans="1:2">
      <c r="A5371" s="3">
        <v>44112</v>
      </c>
      <c r="B5371" s="4">
        <v>1151.1099999999999</v>
      </c>
    </row>
    <row r="5372" spans="1:2">
      <c r="A5372" s="3">
        <v>44113</v>
      </c>
      <c r="B5372" s="4">
        <v>1143.52</v>
      </c>
    </row>
    <row r="5373" spans="1:2">
      <c r="A5373" s="3">
        <v>44116</v>
      </c>
      <c r="B5373" s="4">
        <v>1147.79</v>
      </c>
    </row>
    <row r="5374" spans="1:2">
      <c r="A5374" s="3">
        <v>44117</v>
      </c>
      <c r="B5374" s="4">
        <v>1148.3</v>
      </c>
    </row>
    <row r="5375" spans="1:2">
      <c r="A5375" s="3">
        <v>44118</v>
      </c>
      <c r="B5375" s="4">
        <v>1147.1400000000001</v>
      </c>
    </row>
    <row r="5376" spans="1:2">
      <c r="A5376" s="3">
        <v>44119</v>
      </c>
      <c r="B5376" s="4">
        <v>1145.1400000000001</v>
      </c>
    </row>
    <row r="5377" spans="1:2">
      <c r="A5377" s="3">
        <v>44120</v>
      </c>
      <c r="B5377" s="4">
        <v>1142.1300000000001</v>
      </c>
    </row>
    <row r="5378" spans="1:2">
      <c r="A5378" s="3">
        <v>44123</v>
      </c>
      <c r="B5378" s="4">
        <v>1140.06</v>
      </c>
    </row>
    <row r="5379" spans="1:2">
      <c r="A5379" s="3">
        <v>44124</v>
      </c>
      <c r="B5379" s="4">
        <v>1138.3900000000001</v>
      </c>
    </row>
    <row r="5380" spans="1:2">
      <c r="A5380" s="3">
        <v>44125</v>
      </c>
      <c r="B5380" s="4">
        <v>1132.54</v>
      </c>
    </row>
    <row r="5381" spans="1:2">
      <c r="A5381" s="3">
        <v>44126</v>
      </c>
      <c r="B5381" s="4">
        <v>1134.74</v>
      </c>
    </row>
    <row r="5382" spans="1:2">
      <c r="A5382" s="3">
        <v>44127</v>
      </c>
      <c r="B5382" s="4">
        <v>1127.95</v>
      </c>
    </row>
    <row r="5383" spans="1:2">
      <c r="A5383" s="3">
        <v>44130</v>
      </c>
      <c r="B5383" s="4">
        <v>1132.44</v>
      </c>
    </row>
    <row r="5384" spans="1:2">
      <c r="A5384" s="3">
        <v>44131</v>
      </c>
      <c r="B5384" s="4">
        <v>1129.21</v>
      </c>
    </row>
    <row r="5385" spans="1:2">
      <c r="A5385" s="3">
        <v>44132</v>
      </c>
      <c r="B5385" s="4">
        <v>1134.93</v>
      </c>
    </row>
    <row r="5386" spans="1:2">
      <c r="A5386" s="3">
        <v>44133</v>
      </c>
      <c r="B5386" s="4">
        <v>1130.06</v>
      </c>
    </row>
    <row r="5387" spans="1:2">
      <c r="A5387" s="3">
        <v>44134</v>
      </c>
      <c r="B5387" s="4">
        <v>1136.49</v>
      </c>
    </row>
    <row r="5388" spans="1:2">
      <c r="A5388" s="3">
        <v>44137</v>
      </c>
      <c r="B5388" s="4">
        <v>1132.95</v>
      </c>
    </row>
    <row r="5389" spans="1:2">
      <c r="A5389" s="3">
        <v>44138</v>
      </c>
      <c r="B5389" s="4">
        <v>1131.32</v>
      </c>
    </row>
    <row r="5390" spans="1:2">
      <c r="A5390" s="3">
        <v>44139</v>
      </c>
      <c r="B5390" s="4">
        <v>1127.6500000000001</v>
      </c>
    </row>
    <row r="5391" spans="1:2">
      <c r="A5391" s="3">
        <v>44140</v>
      </c>
      <c r="B5391" s="4">
        <v>1122.8800000000001</v>
      </c>
    </row>
    <row r="5392" spans="1:2">
      <c r="A5392" s="3">
        <v>44141</v>
      </c>
      <c r="B5392" s="4">
        <v>1121.4000000000001</v>
      </c>
    </row>
    <row r="5393" spans="1:2">
      <c r="A5393" s="3">
        <v>44144</v>
      </c>
      <c r="B5393" s="4">
        <v>1119.06</v>
      </c>
    </row>
    <row r="5394" spans="1:2">
      <c r="A5394" s="3">
        <v>44145</v>
      </c>
      <c r="B5394" s="4">
        <v>1117.07</v>
      </c>
    </row>
    <row r="5395" spans="1:2">
      <c r="A5395" s="3">
        <v>44146</v>
      </c>
      <c r="B5395" s="4">
        <v>1112.3900000000001</v>
      </c>
    </row>
    <row r="5396" spans="1:2">
      <c r="A5396" s="3">
        <v>44147</v>
      </c>
      <c r="B5396" s="4">
        <v>1114.8599999999999</v>
      </c>
    </row>
    <row r="5397" spans="1:2">
      <c r="A5397" s="3">
        <v>44148</v>
      </c>
      <c r="B5397" s="4">
        <v>1107.6199999999999</v>
      </c>
    </row>
    <row r="5398" spans="1:2">
      <c r="A5398" s="3">
        <v>44151</v>
      </c>
      <c r="B5398" s="4">
        <v>1107.04</v>
      </c>
    </row>
    <row r="5399" spans="1:2">
      <c r="A5399" s="3">
        <v>44152</v>
      </c>
      <c r="B5399" s="4">
        <v>1105.3800000000001</v>
      </c>
    </row>
    <row r="5400" spans="1:2">
      <c r="A5400" s="3">
        <v>44153</v>
      </c>
      <c r="B5400" s="4">
        <v>1106.17</v>
      </c>
    </row>
    <row r="5401" spans="1:2">
      <c r="A5401" s="3">
        <v>44154</v>
      </c>
      <c r="B5401" s="4">
        <v>1113.5899999999999</v>
      </c>
    </row>
    <row r="5402" spans="1:2">
      <c r="A5402" s="3">
        <v>44155</v>
      </c>
      <c r="B5402" s="4">
        <v>1114.95</v>
      </c>
    </row>
    <row r="5403" spans="1:2">
      <c r="A5403" s="3">
        <v>44158</v>
      </c>
      <c r="B5403" s="4">
        <v>1113.51</v>
      </c>
    </row>
    <row r="5404" spans="1:2">
      <c r="A5404" s="3">
        <v>44159</v>
      </c>
      <c r="B5404" s="4">
        <v>1110.24</v>
      </c>
    </row>
    <row r="5405" spans="1:2">
      <c r="A5405" s="3">
        <v>44160</v>
      </c>
      <c r="B5405" s="4">
        <v>1106.21</v>
      </c>
    </row>
    <row r="5406" spans="1:2">
      <c r="A5406" s="3">
        <v>44161</v>
      </c>
      <c r="B5406" s="4">
        <v>1105.57</v>
      </c>
    </row>
    <row r="5407" spans="1:2">
      <c r="A5407" s="3">
        <v>44162</v>
      </c>
      <c r="B5407" s="4">
        <v>1104.43</v>
      </c>
    </row>
    <row r="5408" spans="1:2">
      <c r="A5408" s="3">
        <v>44165</v>
      </c>
      <c r="B5408" s="4">
        <v>1109.32</v>
      </c>
    </row>
    <row r="5409" spans="1:2">
      <c r="A5409" s="3">
        <v>44166</v>
      </c>
      <c r="B5409" s="4">
        <v>1105.73</v>
      </c>
    </row>
    <row r="5410" spans="1:2">
      <c r="A5410" s="3">
        <v>44167</v>
      </c>
      <c r="B5410" s="4">
        <v>1100.02</v>
      </c>
    </row>
    <row r="5411" spans="1:2">
      <c r="A5411" s="3">
        <v>44168</v>
      </c>
      <c r="B5411" s="4">
        <v>1092.08</v>
      </c>
    </row>
    <row r="5412" spans="1:2">
      <c r="A5412" s="3">
        <v>44169</v>
      </c>
      <c r="B5412" s="4">
        <v>1083.77</v>
      </c>
    </row>
    <row r="5413" spans="1:2">
      <c r="A5413" s="3">
        <v>44172</v>
      </c>
      <c r="B5413" s="4">
        <v>1083.53</v>
      </c>
    </row>
    <row r="5414" spans="1:2">
      <c r="A5414" s="3">
        <v>44173</v>
      </c>
      <c r="B5414" s="4">
        <v>1084.8599999999999</v>
      </c>
    </row>
    <row r="5415" spans="1:2">
      <c r="A5415" s="3">
        <v>44174</v>
      </c>
      <c r="B5415" s="4">
        <v>1086.48</v>
      </c>
    </row>
    <row r="5416" spans="1:2">
      <c r="A5416" s="3">
        <v>44175</v>
      </c>
      <c r="B5416" s="4">
        <v>1085.55</v>
      </c>
    </row>
    <row r="5417" spans="1:2">
      <c r="A5417" s="3">
        <v>44176</v>
      </c>
      <c r="B5417" s="4">
        <v>1091.67</v>
      </c>
    </row>
    <row r="5418" spans="1:2">
      <c r="A5418" s="3">
        <v>44179</v>
      </c>
      <c r="B5418" s="4">
        <v>1093.07</v>
      </c>
    </row>
    <row r="5419" spans="1:2">
      <c r="A5419" s="3">
        <v>44180</v>
      </c>
      <c r="B5419" s="4">
        <v>1089.43</v>
      </c>
    </row>
    <row r="5420" spans="1:2">
      <c r="A5420" s="3">
        <v>44181</v>
      </c>
      <c r="B5420" s="4">
        <v>1092.3599999999999</v>
      </c>
    </row>
    <row r="5421" spans="1:2">
      <c r="A5421" s="3">
        <v>44182</v>
      </c>
      <c r="B5421" s="4">
        <v>1093.01</v>
      </c>
    </row>
    <row r="5422" spans="1:2">
      <c r="A5422" s="3">
        <v>44183</v>
      </c>
      <c r="B5422" s="4">
        <v>1099.3900000000001</v>
      </c>
    </row>
    <row r="5423" spans="1:2">
      <c r="A5423" s="3">
        <v>44186</v>
      </c>
      <c r="B5423" s="4">
        <v>1102.55</v>
      </c>
    </row>
    <row r="5424" spans="1:2">
      <c r="A5424" s="3">
        <v>44187</v>
      </c>
      <c r="B5424" s="4">
        <v>1109.72</v>
      </c>
    </row>
    <row r="5425" spans="1:2">
      <c r="A5425" s="3">
        <v>44188</v>
      </c>
      <c r="B5425" s="4">
        <v>1106.6500000000001</v>
      </c>
    </row>
    <row r="5426" spans="1:2">
      <c r="A5426" s="3">
        <v>44189</v>
      </c>
      <c r="B5426" s="4">
        <v>1101.5899999999999</v>
      </c>
    </row>
    <row r="5427" spans="1:2">
      <c r="A5427" s="3">
        <v>44190</v>
      </c>
      <c r="B5427" s="4">
        <v>1099.07</v>
      </c>
    </row>
    <row r="5428" spans="1:2">
      <c r="A5428" s="3">
        <v>44193</v>
      </c>
      <c r="B5428" s="4">
        <v>1095.5999999999999</v>
      </c>
    </row>
    <row r="5429" spans="1:2">
      <c r="A5429" s="3">
        <v>44194</v>
      </c>
      <c r="B5429" s="4">
        <v>1090.97</v>
      </c>
    </row>
    <row r="5430" spans="1:2">
      <c r="A5430" s="3">
        <v>44195</v>
      </c>
      <c r="B5430" s="4">
        <v>1087.6199999999999</v>
      </c>
    </row>
    <row r="5431" spans="1:2">
      <c r="A5431" s="3">
        <v>44196</v>
      </c>
      <c r="B5431" s="4">
        <v>1084.47</v>
      </c>
    </row>
    <row r="5432" spans="1:2">
      <c r="A5432" s="3">
        <v>44197</v>
      </c>
      <c r="B5432" s="4">
        <v>1084.73</v>
      </c>
    </row>
    <row r="5433" spans="1:2">
      <c r="A5433" s="3">
        <v>44200</v>
      </c>
      <c r="B5433" s="4">
        <v>1086.48</v>
      </c>
    </row>
    <row r="5434" spans="1:2">
      <c r="A5434" s="3">
        <v>44201</v>
      </c>
      <c r="B5434" s="4">
        <v>1086.42</v>
      </c>
    </row>
    <row r="5435" spans="1:2">
      <c r="A5435" s="3">
        <v>44202</v>
      </c>
      <c r="B5435" s="4">
        <v>1087.93</v>
      </c>
    </row>
    <row r="5436" spans="1:2">
      <c r="A5436" s="3">
        <v>44203</v>
      </c>
      <c r="B5436" s="4">
        <v>1094.28</v>
      </c>
    </row>
    <row r="5437" spans="1:2">
      <c r="A5437" s="3">
        <v>44204</v>
      </c>
      <c r="B5437" s="4">
        <v>1092.93</v>
      </c>
    </row>
    <row r="5438" spans="1:2">
      <c r="A5438" s="3">
        <v>44207</v>
      </c>
      <c r="B5438" s="4">
        <v>1097.23</v>
      </c>
    </row>
    <row r="5439" spans="1:2">
      <c r="A5439" s="3">
        <v>44208</v>
      </c>
      <c r="B5439" s="4">
        <v>1094.48</v>
      </c>
    </row>
    <row r="5440" spans="1:2">
      <c r="A5440" s="3">
        <v>44209</v>
      </c>
      <c r="B5440" s="4">
        <v>1097.1199999999999</v>
      </c>
    </row>
    <row r="5441" spans="1:2">
      <c r="A5441" s="3">
        <v>44210</v>
      </c>
      <c r="B5441" s="4">
        <v>1095.8800000000001</v>
      </c>
    </row>
    <row r="5442" spans="1:2">
      <c r="A5442" s="3">
        <v>44211</v>
      </c>
      <c r="B5442" s="4">
        <v>1103.27</v>
      </c>
    </row>
    <row r="5443" spans="1:2">
      <c r="A5443" s="3">
        <v>44214</v>
      </c>
      <c r="B5443" s="4">
        <v>1102.52</v>
      </c>
    </row>
    <row r="5444" spans="1:2">
      <c r="A5444" s="3">
        <v>44215</v>
      </c>
      <c r="B5444" s="4">
        <v>1101.44</v>
      </c>
    </row>
    <row r="5445" spans="1:2">
      <c r="A5445" s="3">
        <v>44216</v>
      </c>
      <c r="B5445" s="4">
        <v>1096.3499999999999</v>
      </c>
    </row>
    <row r="5446" spans="1:2">
      <c r="A5446" s="3">
        <v>44217</v>
      </c>
      <c r="B5446" s="4">
        <v>1099.8800000000001</v>
      </c>
    </row>
    <row r="5447" spans="1:2">
      <c r="A5447" s="3">
        <v>44218</v>
      </c>
      <c r="B5447" s="4">
        <v>1105.4100000000001</v>
      </c>
    </row>
    <row r="5448" spans="1:2">
      <c r="A5448" s="3">
        <v>44221</v>
      </c>
      <c r="B5448" s="4">
        <v>1102.58</v>
      </c>
    </row>
    <row r="5449" spans="1:2">
      <c r="A5449" s="3">
        <v>44222</v>
      </c>
      <c r="B5449" s="4">
        <v>1101.02</v>
      </c>
    </row>
    <row r="5450" spans="1:2">
      <c r="A5450" s="3">
        <v>44223</v>
      </c>
      <c r="B5450" s="4">
        <v>1108.3800000000001</v>
      </c>
    </row>
    <row r="5451" spans="1:2">
      <c r="A5451" s="3">
        <v>44224</v>
      </c>
      <c r="B5451" s="4">
        <v>1112.52</v>
      </c>
    </row>
    <row r="5452" spans="1:2">
      <c r="A5452" s="3">
        <v>44225</v>
      </c>
      <c r="B5452" s="4">
        <v>1117.6400000000001</v>
      </c>
    </row>
    <row r="5453" spans="1:2">
      <c r="A5453" s="3">
        <v>44228</v>
      </c>
      <c r="B5453" s="4">
        <v>1116.51</v>
      </c>
    </row>
    <row r="5454" spans="1:2">
      <c r="A5454" s="3">
        <v>44229</v>
      </c>
      <c r="B5454" s="4">
        <v>1115.3699999999999</v>
      </c>
    </row>
    <row r="5455" spans="1:2">
      <c r="A5455" s="3">
        <v>44230</v>
      </c>
      <c r="B5455" s="4">
        <v>1113.46</v>
      </c>
    </row>
    <row r="5456" spans="1:2">
      <c r="A5456" s="3">
        <v>44231</v>
      </c>
      <c r="B5456" s="4">
        <v>1120</v>
      </c>
    </row>
    <row r="5457" spans="1:2">
      <c r="A5457" s="3">
        <v>44232</v>
      </c>
      <c r="B5457" s="4">
        <v>1116.77</v>
      </c>
    </row>
    <row r="5458" spans="1:2">
      <c r="A5458" s="3">
        <v>44235</v>
      </c>
      <c r="B5458" s="4">
        <v>1115.6099999999999</v>
      </c>
    </row>
    <row r="5459" spans="1:2">
      <c r="A5459" s="3">
        <v>44236</v>
      </c>
      <c r="B5459" s="4">
        <v>1110.8800000000001</v>
      </c>
    </row>
    <row r="5460" spans="1:2">
      <c r="A5460" s="3">
        <v>44237</v>
      </c>
      <c r="B5460" s="4">
        <v>1105.48</v>
      </c>
    </row>
    <row r="5461" spans="1:2">
      <c r="A5461" s="3">
        <v>44238</v>
      </c>
      <c r="B5461" s="4">
        <v>1102.1199999999999</v>
      </c>
    </row>
    <row r="5462" spans="1:2">
      <c r="A5462" s="3">
        <v>44239</v>
      </c>
      <c r="B5462" s="4">
        <v>1102.5899999999999</v>
      </c>
    </row>
    <row r="5463" spans="1:2">
      <c r="A5463" s="3">
        <v>44242</v>
      </c>
      <c r="B5463" s="4">
        <v>1101.31</v>
      </c>
    </row>
    <row r="5464" spans="1:2">
      <c r="A5464" s="3">
        <v>44243</v>
      </c>
      <c r="B5464" s="4">
        <v>1106.58</v>
      </c>
    </row>
    <row r="5465" spans="1:2">
      <c r="A5465" s="3">
        <v>44244</v>
      </c>
      <c r="B5465" s="4">
        <v>1105.6099999999999</v>
      </c>
    </row>
    <row r="5466" spans="1:2">
      <c r="A5466" s="3">
        <v>44245</v>
      </c>
      <c r="B5466" s="4">
        <v>1106.96</v>
      </c>
    </row>
    <row r="5467" spans="1:2">
      <c r="A5467" s="3">
        <v>44246</v>
      </c>
      <c r="B5467" s="4">
        <v>1104.27</v>
      </c>
    </row>
    <row r="5468" spans="1:2">
      <c r="A5468" s="3">
        <v>44249</v>
      </c>
      <c r="B5468" s="4">
        <v>1111.5899999999999</v>
      </c>
    </row>
    <row r="5469" spans="1:2">
      <c r="A5469" s="3">
        <v>44250</v>
      </c>
      <c r="B5469" s="4">
        <v>1110.1300000000001</v>
      </c>
    </row>
    <row r="5470" spans="1:2">
      <c r="A5470" s="3">
        <v>44251</v>
      </c>
      <c r="B5470" s="4">
        <v>1107.27</v>
      </c>
    </row>
    <row r="5471" spans="1:2">
      <c r="A5471" s="3">
        <v>44252</v>
      </c>
      <c r="B5471" s="4">
        <v>1118.77</v>
      </c>
    </row>
    <row r="5472" spans="1:2">
      <c r="A5472" s="3">
        <v>44253</v>
      </c>
      <c r="B5472" s="4">
        <v>1123.8900000000001</v>
      </c>
    </row>
    <row r="5473" spans="1:2">
      <c r="A5473" s="3">
        <v>44256</v>
      </c>
      <c r="B5473" s="4">
        <v>1113.33</v>
      </c>
    </row>
    <row r="5474" spans="1:2">
      <c r="A5474" s="3">
        <v>44257</v>
      </c>
      <c r="B5474" s="4">
        <v>1125.01</v>
      </c>
    </row>
    <row r="5475" spans="1:2">
      <c r="A5475" s="3">
        <v>44258</v>
      </c>
      <c r="B5475" s="4">
        <v>1126.05</v>
      </c>
    </row>
    <row r="5476" spans="1:2">
      <c r="A5476" s="3">
        <v>44259</v>
      </c>
      <c r="B5476" s="4">
        <v>1130.8699999999999</v>
      </c>
    </row>
    <row r="5477" spans="1:2">
      <c r="A5477" s="3">
        <v>44260</v>
      </c>
      <c r="B5477" s="4">
        <v>1128</v>
      </c>
    </row>
    <row r="5478" spans="1:2">
      <c r="A5478" s="3">
        <v>44263</v>
      </c>
      <c r="B5478" s="4">
        <v>1140.83</v>
      </c>
    </row>
    <row r="5479" spans="1:2">
      <c r="A5479" s="3">
        <v>44264</v>
      </c>
      <c r="B5479" s="4">
        <v>1134.9100000000001</v>
      </c>
    </row>
    <row r="5480" spans="1:2">
      <c r="A5480" s="3">
        <v>44265</v>
      </c>
      <c r="B5480" s="4">
        <v>1135.9100000000001</v>
      </c>
    </row>
    <row r="5481" spans="1:2">
      <c r="A5481" s="3">
        <v>44266</v>
      </c>
      <c r="B5481" s="4">
        <v>1130.3499999999999</v>
      </c>
    </row>
    <row r="5482" spans="1:2">
      <c r="A5482" s="3">
        <v>44267</v>
      </c>
      <c r="B5482" s="4">
        <v>1136</v>
      </c>
    </row>
    <row r="5483" spans="1:2">
      <c r="A5483" s="3">
        <v>44270</v>
      </c>
      <c r="B5483" s="4">
        <v>1132.3499999999999</v>
      </c>
    </row>
    <row r="5484" spans="1:2">
      <c r="A5484" s="3">
        <v>44271</v>
      </c>
      <c r="B5484" s="4">
        <v>1129</v>
      </c>
    </row>
    <row r="5485" spans="1:2">
      <c r="A5485" s="3">
        <v>44272</v>
      </c>
      <c r="B5485" s="4">
        <v>1121.21</v>
      </c>
    </row>
    <row r="5486" spans="1:2">
      <c r="A5486" s="3">
        <v>44273</v>
      </c>
      <c r="B5486" s="4">
        <v>1127.75</v>
      </c>
    </row>
    <row r="5487" spans="1:2">
      <c r="A5487" s="3">
        <v>44274</v>
      </c>
      <c r="B5487" s="4">
        <v>1129.1199999999999</v>
      </c>
    </row>
    <row r="5488" spans="1:2">
      <c r="A5488" s="3">
        <v>44277</v>
      </c>
      <c r="B5488" s="4">
        <v>1126</v>
      </c>
    </row>
    <row r="5489" spans="1:2">
      <c r="A5489" s="3">
        <v>44278</v>
      </c>
      <c r="B5489" s="4">
        <v>1132.9000000000001</v>
      </c>
    </row>
    <row r="5490" spans="1:2">
      <c r="A5490" s="3">
        <v>44279</v>
      </c>
      <c r="B5490" s="4">
        <v>1134.9000000000001</v>
      </c>
    </row>
    <row r="5491" spans="1:2">
      <c r="A5491" s="3">
        <v>44280</v>
      </c>
      <c r="B5491" s="4">
        <v>1135.1199999999999</v>
      </c>
    </row>
    <row r="5492" spans="1:2">
      <c r="A5492" s="3">
        <v>44281</v>
      </c>
      <c r="B5492" s="4">
        <v>1128.52</v>
      </c>
    </row>
    <row r="5493" spans="1:2">
      <c r="A5493" s="3">
        <v>44284</v>
      </c>
      <c r="B5493" s="4">
        <v>1131.56</v>
      </c>
    </row>
    <row r="5494" spans="1:2">
      <c r="A5494" s="3">
        <v>44285</v>
      </c>
      <c r="B5494" s="4">
        <v>1132.5899999999999</v>
      </c>
    </row>
    <row r="5495" spans="1:2">
      <c r="A5495" s="3">
        <v>44286</v>
      </c>
      <c r="B5495" s="4">
        <v>1127.17</v>
      </c>
    </row>
    <row r="5496" spans="1:2">
      <c r="A5496" s="3">
        <v>44287</v>
      </c>
      <c r="B5496" s="4">
        <v>1128.72</v>
      </c>
    </row>
    <row r="5497" spans="1:2">
      <c r="A5497" s="3">
        <v>44288</v>
      </c>
      <c r="B5497" s="4">
        <v>1128.6400000000001</v>
      </c>
    </row>
    <row r="5498" spans="1:2">
      <c r="A5498" s="3">
        <v>44291</v>
      </c>
      <c r="B5498" s="4">
        <v>1124.18</v>
      </c>
    </row>
    <row r="5499" spans="1:2">
      <c r="A5499" s="3">
        <v>44292</v>
      </c>
      <c r="B5499" s="4">
        <v>1119.17</v>
      </c>
    </row>
    <row r="5500" spans="1:2">
      <c r="A5500" s="3">
        <v>44293</v>
      </c>
      <c r="B5500" s="4">
        <v>1119.03</v>
      </c>
    </row>
    <row r="5501" spans="1:2">
      <c r="A5501" s="3">
        <v>44294</v>
      </c>
      <c r="B5501" s="4">
        <v>1115.83</v>
      </c>
    </row>
    <row r="5502" spans="1:2">
      <c r="A5502" s="3">
        <v>44295</v>
      </c>
      <c r="B5502" s="4">
        <v>1120.98</v>
      </c>
    </row>
    <row r="5503" spans="1:2">
      <c r="A5503" s="3">
        <v>44298</v>
      </c>
      <c r="B5503" s="4">
        <v>1124.32</v>
      </c>
    </row>
    <row r="5504" spans="1:2">
      <c r="A5504" s="3">
        <v>44299</v>
      </c>
      <c r="B5504" s="4">
        <v>1121.3699999999999</v>
      </c>
    </row>
    <row r="5505" spans="1:2">
      <c r="A5505" s="3">
        <v>44300</v>
      </c>
      <c r="B5505" s="4">
        <v>1116.08</v>
      </c>
    </row>
    <row r="5506" spans="1:2">
      <c r="A5506" s="3">
        <v>44301</v>
      </c>
      <c r="B5506" s="4">
        <v>1116.68</v>
      </c>
    </row>
    <row r="5507" spans="1:2">
      <c r="A5507" s="3">
        <v>44302</v>
      </c>
      <c r="B5507" s="4">
        <v>1116.5</v>
      </c>
    </row>
    <row r="5508" spans="1:2">
      <c r="A5508" s="3">
        <v>44305</v>
      </c>
      <c r="B5508" s="4">
        <v>1115.33</v>
      </c>
    </row>
    <row r="5509" spans="1:2">
      <c r="A5509" s="3">
        <v>44306</v>
      </c>
      <c r="B5509" s="4">
        <v>1117.28</v>
      </c>
    </row>
    <row r="5510" spans="1:2">
      <c r="A5510" s="3">
        <v>44307</v>
      </c>
      <c r="B5510" s="4">
        <v>1116.3499999999999</v>
      </c>
    </row>
    <row r="5511" spans="1:2">
      <c r="A5511" s="3">
        <v>44308</v>
      </c>
      <c r="B5511" s="4">
        <v>1118.79</v>
      </c>
    </row>
    <row r="5512" spans="1:2">
      <c r="A5512" s="3">
        <v>44309</v>
      </c>
      <c r="B5512" s="4">
        <v>1114.72</v>
      </c>
    </row>
    <row r="5513" spans="1:2">
      <c r="A5513" s="3">
        <v>44312</v>
      </c>
      <c r="B5513" s="4">
        <v>1110.27</v>
      </c>
    </row>
    <row r="5514" spans="1:2">
      <c r="A5514" s="3">
        <v>44313</v>
      </c>
      <c r="B5514" s="4">
        <v>1113.33</v>
      </c>
    </row>
    <row r="5515" spans="1:2">
      <c r="A5515" s="3">
        <v>44314</v>
      </c>
      <c r="B5515" s="4">
        <v>1109.8800000000001</v>
      </c>
    </row>
    <row r="5516" spans="1:2">
      <c r="A5516" s="3">
        <v>44315</v>
      </c>
      <c r="B5516" s="4">
        <v>1107.6300000000001</v>
      </c>
    </row>
    <row r="5517" spans="1:2">
      <c r="A5517" s="3">
        <v>44316</v>
      </c>
      <c r="B5517" s="4">
        <v>1117.1600000000001</v>
      </c>
    </row>
    <row r="5518" spans="1:2">
      <c r="A5518" s="3">
        <v>44319</v>
      </c>
      <c r="B5518" s="4">
        <v>1120.3399999999999</v>
      </c>
    </row>
    <row r="5519" spans="1:2">
      <c r="A5519" s="3">
        <v>44320</v>
      </c>
      <c r="B5519" s="4">
        <v>1125.77</v>
      </c>
    </row>
    <row r="5520" spans="1:2">
      <c r="A5520" s="3">
        <v>44321</v>
      </c>
      <c r="B5520" s="4">
        <v>1124.72</v>
      </c>
    </row>
    <row r="5521" spans="1:2">
      <c r="A5521" s="3">
        <v>44322</v>
      </c>
      <c r="B5521" s="4">
        <v>1120.28</v>
      </c>
    </row>
    <row r="5522" spans="1:2">
      <c r="A5522" s="3">
        <v>44323</v>
      </c>
      <c r="B5522" s="4">
        <v>1111.23</v>
      </c>
    </row>
    <row r="5523" spans="1:2">
      <c r="A5523" s="3">
        <v>44326</v>
      </c>
      <c r="B5523" s="4">
        <v>1116.68</v>
      </c>
    </row>
    <row r="5524" spans="1:2">
      <c r="A5524" s="3">
        <v>44327</v>
      </c>
      <c r="B5524" s="4">
        <v>1119.58</v>
      </c>
    </row>
    <row r="5525" spans="1:2">
      <c r="A5525" s="3">
        <v>44328</v>
      </c>
      <c r="B5525" s="4">
        <v>1132.73</v>
      </c>
    </row>
    <row r="5526" spans="1:2">
      <c r="A5526" s="3">
        <v>44329</v>
      </c>
      <c r="B5526" s="4">
        <v>1126.73</v>
      </c>
    </row>
    <row r="5527" spans="1:2">
      <c r="A5527" s="3">
        <v>44330</v>
      </c>
      <c r="B5527" s="4">
        <v>1125.79</v>
      </c>
    </row>
    <row r="5528" spans="1:2">
      <c r="A5528" s="3">
        <v>44333</v>
      </c>
      <c r="B5528" s="4">
        <v>1136.73</v>
      </c>
    </row>
    <row r="5529" spans="1:2">
      <c r="A5529" s="3">
        <v>44334</v>
      </c>
      <c r="B5529" s="4">
        <v>1126.93</v>
      </c>
    </row>
    <row r="5530" spans="1:2">
      <c r="A5530" s="3">
        <v>44335</v>
      </c>
      <c r="B5530" s="4">
        <v>1131.18</v>
      </c>
    </row>
    <row r="5531" spans="1:2">
      <c r="A5531" s="3">
        <v>44336</v>
      </c>
      <c r="B5531" s="4">
        <v>1127.6600000000001</v>
      </c>
    </row>
    <row r="5532" spans="1:2">
      <c r="A5532" s="3">
        <v>44337</v>
      </c>
      <c r="B5532" s="4">
        <v>1127.6300000000001</v>
      </c>
    </row>
    <row r="5533" spans="1:2">
      <c r="A5533" s="3">
        <v>44340</v>
      </c>
      <c r="B5533" s="4">
        <v>1123.48</v>
      </c>
    </row>
    <row r="5534" spans="1:2">
      <c r="A5534" s="3">
        <v>44341</v>
      </c>
      <c r="B5534" s="4">
        <v>1122.3599999999999</v>
      </c>
    </row>
    <row r="5535" spans="1:2">
      <c r="A5535" s="3">
        <v>44342</v>
      </c>
      <c r="B5535" s="4">
        <v>1116.6099999999999</v>
      </c>
    </row>
    <row r="5536" spans="1:2">
      <c r="A5536" s="3">
        <v>44343</v>
      </c>
      <c r="B5536" s="4">
        <v>1118.55</v>
      </c>
    </row>
    <row r="5537" spans="1:2">
      <c r="A5537" s="3">
        <v>44344</v>
      </c>
      <c r="B5537" s="4">
        <v>1113.08</v>
      </c>
    </row>
    <row r="5538" spans="1:2">
      <c r="A5538" s="3">
        <v>44347</v>
      </c>
      <c r="B5538" s="4">
        <v>1106.58</v>
      </c>
    </row>
    <row r="5539" spans="1:2">
      <c r="A5539" s="3">
        <v>44348</v>
      </c>
      <c r="B5539" s="4">
        <v>1108.3800000000001</v>
      </c>
    </row>
    <row r="5540" spans="1:2">
      <c r="A5540" s="3">
        <v>44349</v>
      </c>
      <c r="B5540" s="4">
        <v>1110.92</v>
      </c>
    </row>
    <row r="5541" spans="1:2">
      <c r="A5541" s="3">
        <v>44350</v>
      </c>
      <c r="B5541" s="4">
        <v>1116.46</v>
      </c>
    </row>
    <row r="5542" spans="1:2">
      <c r="A5542" s="3">
        <v>44351</v>
      </c>
      <c r="B5542" s="4">
        <v>1110.52</v>
      </c>
    </row>
    <row r="5543" spans="1:2">
      <c r="A5543" s="3">
        <v>44354</v>
      </c>
      <c r="B5543" s="4">
        <v>1110.6199999999999</v>
      </c>
    </row>
    <row r="5544" spans="1:2">
      <c r="A5544" s="3">
        <v>44355</v>
      </c>
      <c r="B5544" s="4">
        <v>1117.72</v>
      </c>
    </row>
    <row r="5545" spans="1:2">
      <c r="A5545" s="3">
        <v>44356</v>
      </c>
      <c r="B5545" s="4">
        <v>1115.6099999999999</v>
      </c>
    </row>
    <row r="5546" spans="1:2">
      <c r="A5546" s="3">
        <v>44357</v>
      </c>
      <c r="B5546" s="4">
        <v>1112.32</v>
      </c>
    </row>
    <row r="5547" spans="1:2">
      <c r="A5547" s="3">
        <v>44358</v>
      </c>
      <c r="B5547" s="4">
        <v>1116.4000000000001</v>
      </c>
    </row>
    <row r="5548" spans="1:2">
      <c r="A5548" s="3">
        <v>44361</v>
      </c>
      <c r="B5548" s="4">
        <v>1116.33</v>
      </c>
    </row>
    <row r="5549" spans="1:2">
      <c r="A5549" s="3">
        <v>44362</v>
      </c>
      <c r="B5549" s="4">
        <v>1117.0899999999999</v>
      </c>
    </row>
    <row r="5550" spans="1:2">
      <c r="A5550" s="3">
        <v>44363</v>
      </c>
      <c r="B5550" s="4">
        <v>1132.68</v>
      </c>
    </row>
    <row r="5551" spans="1:2">
      <c r="A5551" s="3">
        <v>44364</v>
      </c>
      <c r="B5551" s="4">
        <v>1134.3</v>
      </c>
    </row>
    <row r="5552" spans="1:2">
      <c r="A5552" s="3">
        <v>44365</v>
      </c>
      <c r="B5552" s="4">
        <v>1134.94</v>
      </c>
    </row>
    <row r="5553" spans="1:2">
      <c r="A5553" s="3">
        <v>44368</v>
      </c>
      <c r="B5553" s="4">
        <v>1131.4000000000001</v>
      </c>
    </row>
    <row r="5554" spans="1:2">
      <c r="A5554" s="3">
        <v>44369</v>
      </c>
      <c r="B5554" s="4">
        <v>1133.57</v>
      </c>
    </row>
    <row r="5555" spans="1:2">
      <c r="A5555" s="3">
        <v>44370</v>
      </c>
      <c r="B5555" s="4">
        <v>1135.8499999999999</v>
      </c>
    </row>
    <row r="5556" spans="1:2">
      <c r="A5556" s="3">
        <v>44371</v>
      </c>
      <c r="B5556" s="4">
        <v>1130.78</v>
      </c>
    </row>
    <row r="5557" spans="1:2">
      <c r="A5557" s="3">
        <v>44372</v>
      </c>
      <c r="B5557" s="4">
        <v>1127.1199999999999</v>
      </c>
    </row>
    <row r="5558" spans="1:2">
      <c r="A5558" s="3">
        <v>44375</v>
      </c>
      <c r="B5558" s="4">
        <v>1130.04</v>
      </c>
    </row>
    <row r="5559" spans="1:2">
      <c r="A5559" s="3">
        <v>44376</v>
      </c>
      <c r="B5559" s="4">
        <v>1131.6199999999999</v>
      </c>
    </row>
    <row r="5560" spans="1:2">
      <c r="A5560" s="3">
        <v>44377</v>
      </c>
      <c r="B5560" s="4">
        <v>1130.48</v>
      </c>
    </row>
    <row r="5561" spans="1:2">
      <c r="A5561" s="3">
        <v>44378</v>
      </c>
      <c r="B5561" s="4">
        <v>1134.33</v>
      </c>
    </row>
    <row r="5562" spans="1:2">
      <c r="A5562" s="3">
        <v>44379</v>
      </c>
      <c r="B5562" s="4">
        <v>1130.53</v>
      </c>
    </row>
    <row r="5563" spans="1:2">
      <c r="A5563" s="3">
        <v>44382</v>
      </c>
      <c r="B5563" s="4">
        <v>1130.42</v>
      </c>
    </row>
    <row r="5564" spans="1:2">
      <c r="A5564" s="3">
        <v>44383</v>
      </c>
      <c r="B5564" s="4">
        <v>1136.75</v>
      </c>
    </row>
    <row r="5565" spans="1:2">
      <c r="A5565" s="3">
        <v>44384</v>
      </c>
      <c r="B5565" s="4">
        <v>1141.5</v>
      </c>
    </row>
    <row r="5566" spans="1:2">
      <c r="A5566" s="3">
        <v>44385</v>
      </c>
      <c r="B5566" s="4">
        <v>1146.5899999999999</v>
      </c>
    </row>
    <row r="5567" spans="1:2">
      <c r="A5567" s="3">
        <v>44386</v>
      </c>
      <c r="B5567" s="4">
        <v>1143.73</v>
      </c>
    </row>
    <row r="5568" spans="1:2">
      <c r="A5568" s="3">
        <v>44389</v>
      </c>
      <c r="B5568" s="4">
        <v>1146.8499999999999</v>
      </c>
    </row>
    <row r="5569" spans="1:2">
      <c r="A5569" s="3">
        <v>44390</v>
      </c>
      <c r="B5569" s="4">
        <v>1149.94</v>
      </c>
    </row>
    <row r="5570" spans="1:2">
      <c r="A5570" s="3">
        <v>44391</v>
      </c>
      <c r="B5570" s="4">
        <v>1144.22</v>
      </c>
    </row>
    <row r="5571" spans="1:2">
      <c r="A5571" s="3">
        <v>44392</v>
      </c>
      <c r="B5571" s="4">
        <v>1141.5899999999999</v>
      </c>
    </row>
    <row r="5572" spans="1:2">
      <c r="A5572" s="3">
        <v>44393</v>
      </c>
      <c r="B5572" s="4">
        <v>1141.51</v>
      </c>
    </row>
    <row r="5573" spans="1:2">
      <c r="A5573" s="3">
        <v>44396</v>
      </c>
      <c r="B5573" s="4">
        <v>1150.83</v>
      </c>
    </row>
    <row r="5574" spans="1:2">
      <c r="A5574" s="3">
        <v>44397</v>
      </c>
      <c r="B5574" s="4">
        <v>1147.47</v>
      </c>
    </row>
    <row r="5575" spans="1:2">
      <c r="A5575" s="3">
        <v>44398</v>
      </c>
      <c r="B5575" s="4">
        <v>1149.31</v>
      </c>
    </row>
    <row r="5576" spans="1:2">
      <c r="A5576" s="3">
        <v>44399</v>
      </c>
      <c r="B5576" s="4">
        <v>1150.55</v>
      </c>
    </row>
    <row r="5577" spans="1:2">
      <c r="A5577" s="3">
        <v>44400</v>
      </c>
      <c r="B5577" s="4">
        <v>1151.52</v>
      </c>
    </row>
    <row r="5578" spans="1:2">
      <c r="A5578" s="3">
        <v>44403</v>
      </c>
      <c r="B5578" s="4">
        <v>1152.54</v>
      </c>
    </row>
    <row r="5579" spans="1:2">
      <c r="A5579" s="3">
        <v>44404</v>
      </c>
      <c r="B5579" s="4">
        <v>1154.25</v>
      </c>
    </row>
    <row r="5580" spans="1:2">
      <c r="A5580" s="3">
        <v>44405</v>
      </c>
      <c r="B5580" s="4">
        <v>1150.27</v>
      </c>
    </row>
    <row r="5581" spans="1:2">
      <c r="A5581" s="3">
        <v>44406</v>
      </c>
      <c r="B5581" s="4">
        <v>1143.1199999999999</v>
      </c>
    </row>
    <row r="5582" spans="1:2">
      <c r="A5582" s="3">
        <v>44407</v>
      </c>
      <c r="B5582" s="4">
        <v>1151.4100000000001</v>
      </c>
    </row>
    <row r="5583" spans="1:2">
      <c r="A5583" s="3">
        <v>44410</v>
      </c>
      <c r="B5583" s="4">
        <v>1150.18</v>
      </c>
    </row>
    <row r="5584" spans="1:2">
      <c r="A5584" s="3">
        <v>44411</v>
      </c>
      <c r="B5584" s="4">
        <v>1148.44</v>
      </c>
    </row>
    <row r="5585" spans="1:2">
      <c r="A5585" s="3">
        <v>44412</v>
      </c>
      <c r="B5585" s="4">
        <v>1144.76</v>
      </c>
    </row>
    <row r="5586" spans="1:2">
      <c r="A5586" s="3">
        <v>44413</v>
      </c>
      <c r="B5586" s="4">
        <v>1142.5899999999999</v>
      </c>
    </row>
    <row r="5587" spans="1:2">
      <c r="A5587" s="3">
        <v>44414</v>
      </c>
      <c r="B5587" s="4">
        <v>1144.93</v>
      </c>
    </row>
    <row r="5588" spans="1:2">
      <c r="A5588" s="3">
        <v>44417</v>
      </c>
      <c r="B5588" s="4">
        <v>1146.8900000000001</v>
      </c>
    </row>
    <row r="5589" spans="1:2">
      <c r="A5589" s="3">
        <v>44418</v>
      </c>
      <c r="B5589" s="4">
        <v>1152.7</v>
      </c>
    </row>
    <row r="5590" spans="1:2">
      <c r="A5590" s="3">
        <v>44419</v>
      </c>
      <c r="B5590" s="4">
        <v>1153.98</v>
      </c>
    </row>
    <row r="5591" spans="1:2">
      <c r="A5591" s="3">
        <v>44420</v>
      </c>
      <c r="B5591" s="4">
        <v>1162.98</v>
      </c>
    </row>
    <row r="5592" spans="1:2">
      <c r="A5592" s="3">
        <v>44421</v>
      </c>
      <c r="B5592" s="4">
        <v>1161.3699999999999</v>
      </c>
    </row>
    <row r="5593" spans="1:2">
      <c r="A5593" s="3">
        <v>44424</v>
      </c>
      <c r="B5593" s="4">
        <v>1165.28</v>
      </c>
    </row>
    <row r="5594" spans="1:2">
      <c r="A5594" s="3">
        <v>44425</v>
      </c>
      <c r="B5594" s="4">
        <v>1177.3</v>
      </c>
    </row>
    <row r="5595" spans="1:2">
      <c r="A5595" s="3">
        <v>44426</v>
      </c>
      <c r="B5595" s="4">
        <v>1170.03</v>
      </c>
    </row>
    <row r="5596" spans="1:2">
      <c r="A5596" s="3">
        <v>44427</v>
      </c>
      <c r="B5596" s="4">
        <v>1176.28</v>
      </c>
    </row>
    <row r="5597" spans="1:2">
      <c r="A5597" s="3">
        <v>44428</v>
      </c>
      <c r="B5597" s="4">
        <v>1175.1500000000001</v>
      </c>
    </row>
    <row r="5598" spans="1:2">
      <c r="A5598" s="3">
        <v>44431</v>
      </c>
      <c r="B5598" s="4">
        <v>1169.3599999999999</v>
      </c>
    </row>
    <row r="5599" spans="1:2">
      <c r="A5599" s="3">
        <v>44432</v>
      </c>
      <c r="B5599" s="4">
        <v>1163.6500000000001</v>
      </c>
    </row>
    <row r="5600" spans="1:2">
      <c r="A5600" s="3">
        <v>44433</v>
      </c>
      <c r="B5600" s="4">
        <v>1163.8699999999999</v>
      </c>
    </row>
    <row r="5601" spans="1:2">
      <c r="A5601" s="3">
        <v>44434</v>
      </c>
      <c r="B5601" s="4">
        <v>1170.53</v>
      </c>
    </row>
    <row r="5602" spans="1:2">
      <c r="A5602" s="3">
        <v>44435</v>
      </c>
      <c r="B5602" s="4">
        <v>1161.23</v>
      </c>
    </row>
    <row r="5603" spans="1:2">
      <c r="A5603" s="3">
        <v>44438</v>
      </c>
      <c r="B5603" s="4">
        <v>1164.3399999999999</v>
      </c>
    </row>
    <row r="5604" spans="1:2">
      <c r="A5604" s="3">
        <v>44439</v>
      </c>
      <c r="B5604" s="4">
        <v>1158.73</v>
      </c>
    </row>
    <row r="5605" spans="1:2">
      <c r="A5605" s="3">
        <v>44440</v>
      </c>
      <c r="B5605" s="4">
        <v>1155.47</v>
      </c>
    </row>
    <row r="5606" spans="1:2">
      <c r="A5606" s="3">
        <v>44441</v>
      </c>
      <c r="B5606" s="4">
        <v>1158.05</v>
      </c>
    </row>
    <row r="5607" spans="1:2">
      <c r="A5607" s="3">
        <v>44442</v>
      </c>
      <c r="B5607" s="4">
        <v>1154.28</v>
      </c>
    </row>
    <row r="5608" spans="1:2">
      <c r="A5608" s="3">
        <v>44445</v>
      </c>
      <c r="B5608" s="4">
        <v>1157.04</v>
      </c>
    </row>
    <row r="5609" spans="1:2">
      <c r="A5609" s="3">
        <v>44446</v>
      </c>
      <c r="B5609" s="4">
        <v>1161.98</v>
      </c>
    </row>
    <row r="5610" spans="1:2">
      <c r="A5610" s="3">
        <v>44447</v>
      </c>
      <c r="B5610" s="4">
        <v>1166.54</v>
      </c>
    </row>
    <row r="5611" spans="1:2">
      <c r="A5611" s="3">
        <v>44448</v>
      </c>
      <c r="B5611" s="4">
        <v>1169.6400000000001</v>
      </c>
    </row>
    <row r="5612" spans="1:2">
      <c r="A5612" s="3">
        <v>44449</v>
      </c>
      <c r="B5612" s="4">
        <v>1170.23</v>
      </c>
    </row>
    <row r="5613" spans="1:2">
      <c r="A5613" s="3">
        <v>44452</v>
      </c>
      <c r="B5613" s="4">
        <v>1172.83</v>
      </c>
    </row>
    <row r="5614" spans="1:2">
      <c r="A5614" s="3">
        <v>44453</v>
      </c>
      <c r="B5614" s="4">
        <v>1172.23</v>
      </c>
    </row>
    <row r="5615" spans="1:2">
      <c r="A5615" s="3">
        <v>44454</v>
      </c>
      <c r="B5615" s="4">
        <v>1166.23</v>
      </c>
    </row>
    <row r="5616" spans="1:2">
      <c r="A5616" s="3">
        <v>44455</v>
      </c>
      <c r="B5616" s="4">
        <v>1175.19</v>
      </c>
    </row>
    <row r="5617" spans="1:2">
      <c r="A5617" s="3">
        <v>44456</v>
      </c>
      <c r="B5617" s="4">
        <v>1180.69</v>
      </c>
    </row>
    <row r="5618" spans="1:2">
      <c r="A5618" s="3">
        <v>44459</v>
      </c>
      <c r="B5618" s="4">
        <v>1185.67</v>
      </c>
    </row>
    <row r="5619" spans="1:2">
      <c r="A5619" s="3">
        <v>44460</v>
      </c>
      <c r="B5619" s="4">
        <v>1183.96</v>
      </c>
    </row>
    <row r="5620" spans="1:2">
      <c r="A5620" s="3">
        <v>44461</v>
      </c>
      <c r="B5620" s="4">
        <v>1181.75</v>
      </c>
    </row>
    <row r="5621" spans="1:2">
      <c r="A5621" s="3">
        <v>44462</v>
      </c>
      <c r="B5621" s="4">
        <v>1174.6300000000001</v>
      </c>
    </row>
    <row r="5622" spans="1:2">
      <c r="A5622" s="3">
        <v>44463</v>
      </c>
      <c r="B5622" s="4">
        <v>1179.68</v>
      </c>
    </row>
    <row r="5623" spans="1:2">
      <c r="A5623" s="3">
        <v>44466</v>
      </c>
      <c r="B5623" s="4">
        <v>1177.94</v>
      </c>
    </row>
    <row r="5624" spans="1:2">
      <c r="A5624" s="3">
        <v>44467</v>
      </c>
      <c r="B5624" s="4">
        <v>1187.1600000000001</v>
      </c>
    </row>
    <row r="5625" spans="1:2">
      <c r="A5625" s="3">
        <v>44468</v>
      </c>
      <c r="B5625" s="4">
        <v>1187.1099999999999</v>
      </c>
    </row>
    <row r="5626" spans="1:2">
      <c r="A5626" s="3">
        <v>44469</v>
      </c>
      <c r="B5626" s="4">
        <v>1184.23</v>
      </c>
    </row>
    <row r="5627" spans="1:2">
      <c r="A5627" s="3">
        <v>44470</v>
      </c>
      <c r="B5627" s="4">
        <v>1180.3499999999999</v>
      </c>
    </row>
    <row r="5628" spans="1:2">
      <c r="A5628" s="3">
        <v>44473</v>
      </c>
      <c r="B5628" s="4">
        <v>1184.1199999999999</v>
      </c>
    </row>
    <row r="5629" spans="1:2">
      <c r="A5629" s="3">
        <v>44474</v>
      </c>
      <c r="B5629" s="4">
        <v>1186.48</v>
      </c>
    </row>
    <row r="5630" spans="1:2">
      <c r="A5630" s="3">
        <v>44475</v>
      </c>
      <c r="B5630" s="4">
        <v>1190.21</v>
      </c>
    </row>
    <row r="5631" spans="1:2">
      <c r="A5631" s="3">
        <v>44476</v>
      </c>
      <c r="B5631" s="4">
        <v>1190.8800000000001</v>
      </c>
    </row>
    <row r="5632" spans="1:2">
      <c r="A5632" s="3">
        <v>44477</v>
      </c>
      <c r="B5632" s="4">
        <v>1196.79</v>
      </c>
    </row>
    <row r="5633" spans="1:2">
      <c r="A5633" s="3">
        <v>44480</v>
      </c>
      <c r="B5633" s="4">
        <v>1195.3</v>
      </c>
    </row>
    <row r="5634" spans="1:2">
      <c r="A5634" s="3">
        <v>44481</v>
      </c>
      <c r="B5634" s="4">
        <v>1197.29</v>
      </c>
    </row>
    <row r="5635" spans="1:2">
      <c r="A5635" s="3">
        <v>44482</v>
      </c>
      <c r="B5635" s="4">
        <v>1186.18</v>
      </c>
    </row>
    <row r="5636" spans="1:2">
      <c r="A5636" s="3">
        <v>44483</v>
      </c>
      <c r="B5636" s="4">
        <v>1181.69</v>
      </c>
    </row>
    <row r="5637" spans="1:2">
      <c r="A5637" s="3">
        <v>44484</v>
      </c>
      <c r="B5637" s="4">
        <v>1182.07</v>
      </c>
    </row>
    <row r="5638" spans="1:2">
      <c r="A5638" s="3">
        <v>44487</v>
      </c>
      <c r="B5638" s="4">
        <v>1185.47</v>
      </c>
    </row>
    <row r="5639" spans="1:2">
      <c r="A5639" s="3">
        <v>44488</v>
      </c>
      <c r="B5639" s="4">
        <v>1175.1300000000001</v>
      </c>
    </row>
    <row r="5640" spans="1:2">
      <c r="A5640" s="3">
        <v>44489</v>
      </c>
      <c r="B5640" s="4">
        <v>1175.6300000000001</v>
      </c>
    </row>
    <row r="5641" spans="1:2">
      <c r="A5641" s="3">
        <v>44490</v>
      </c>
      <c r="B5641" s="4">
        <v>1177.78</v>
      </c>
    </row>
    <row r="5642" spans="1:2">
      <c r="A5642" s="3">
        <v>44491</v>
      </c>
      <c r="B5642" s="4">
        <v>1177.48</v>
      </c>
    </row>
    <row r="5643" spans="1:2">
      <c r="A5643" s="3">
        <v>44494</v>
      </c>
      <c r="B5643" s="4">
        <v>1168.02</v>
      </c>
    </row>
    <row r="5644" spans="1:2">
      <c r="A5644" s="3">
        <v>44495</v>
      </c>
      <c r="B5644" s="4">
        <v>1167.95</v>
      </c>
    </row>
    <row r="5645" spans="1:2">
      <c r="A5645" s="3">
        <v>44496</v>
      </c>
      <c r="B5645" s="4">
        <v>1172.05</v>
      </c>
    </row>
    <row r="5646" spans="1:2">
      <c r="A5646" s="3">
        <v>44497</v>
      </c>
      <c r="B5646" s="4">
        <v>1168.44</v>
      </c>
    </row>
    <row r="5647" spans="1:2">
      <c r="A5647" s="3">
        <v>44498</v>
      </c>
      <c r="B5647" s="4">
        <v>1174.47</v>
      </c>
    </row>
    <row r="5648" spans="1:2">
      <c r="A5648" s="3">
        <v>44501</v>
      </c>
      <c r="B5648" s="4">
        <v>1177.45</v>
      </c>
    </row>
    <row r="5649" spans="1:2">
      <c r="A5649" s="3">
        <v>44502</v>
      </c>
      <c r="B5649" s="4">
        <v>1178.48</v>
      </c>
    </row>
    <row r="5650" spans="1:2">
      <c r="A5650" s="3">
        <v>44503</v>
      </c>
      <c r="B5650" s="4">
        <v>1178.78</v>
      </c>
    </row>
    <row r="5651" spans="1:2">
      <c r="A5651" s="3">
        <v>44504</v>
      </c>
      <c r="B5651" s="4">
        <v>1185.75</v>
      </c>
    </row>
    <row r="5652" spans="1:2">
      <c r="A5652" s="3">
        <v>44505</v>
      </c>
      <c r="B5652" s="4">
        <v>1181.05</v>
      </c>
    </row>
    <row r="5653" spans="1:2">
      <c r="A5653" s="3">
        <v>44508</v>
      </c>
      <c r="B5653" s="4">
        <v>1180.8399999999999</v>
      </c>
    </row>
    <row r="5654" spans="1:2">
      <c r="A5654" s="3">
        <v>44509</v>
      </c>
      <c r="B5654" s="4">
        <v>1178.4000000000001</v>
      </c>
    </row>
    <row r="5655" spans="1:2">
      <c r="A5655" s="3">
        <v>44510</v>
      </c>
      <c r="B5655" s="4">
        <v>1185.04</v>
      </c>
    </row>
    <row r="5656" spans="1:2">
      <c r="A5656" s="3">
        <v>44511</v>
      </c>
      <c r="B5656" s="4">
        <v>1182.3900000000001</v>
      </c>
    </row>
    <row r="5657" spans="1:2">
      <c r="A5657" s="3">
        <v>44512</v>
      </c>
      <c r="B5657" s="4">
        <v>1179.2</v>
      </c>
    </row>
    <row r="5658" spans="1:2">
      <c r="A5658" s="3">
        <v>44515</v>
      </c>
      <c r="B5658" s="4">
        <v>1183.42</v>
      </c>
    </row>
    <row r="5659" spans="1:2">
      <c r="A5659" s="3">
        <v>44516</v>
      </c>
      <c r="B5659" s="4">
        <v>1183.8499999999999</v>
      </c>
    </row>
    <row r="5660" spans="1:2">
      <c r="A5660" s="3">
        <v>44517</v>
      </c>
      <c r="B5660" s="4">
        <v>1180.46</v>
      </c>
    </row>
    <row r="5661" spans="1:2">
      <c r="A5661" s="3">
        <v>44518</v>
      </c>
      <c r="B5661" s="4">
        <v>1182.3699999999999</v>
      </c>
    </row>
    <row r="5662" spans="1:2">
      <c r="A5662" s="3">
        <v>44519</v>
      </c>
      <c r="B5662" s="4">
        <v>1187.0999999999999</v>
      </c>
    </row>
    <row r="5663" spans="1:2">
      <c r="A5663" s="3">
        <v>44522</v>
      </c>
      <c r="B5663" s="4">
        <v>1190.08</v>
      </c>
    </row>
    <row r="5664" spans="1:2">
      <c r="A5664" s="3">
        <v>44523</v>
      </c>
      <c r="B5664" s="4">
        <v>1189.08</v>
      </c>
    </row>
    <row r="5665" spans="1:2">
      <c r="A5665" s="3">
        <v>44524</v>
      </c>
      <c r="B5665" s="4">
        <v>1188.77</v>
      </c>
    </row>
    <row r="5666" spans="1:2">
      <c r="A5666" s="3">
        <v>44525</v>
      </c>
      <c r="B5666" s="4">
        <v>1190.1600000000001</v>
      </c>
    </row>
    <row r="5667" spans="1:2">
      <c r="A5667" s="3">
        <v>44526</v>
      </c>
      <c r="B5667" s="4">
        <v>1194.43</v>
      </c>
    </row>
    <row r="5668" spans="1:2">
      <c r="A5668" s="3">
        <v>44529</v>
      </c>
      <c r="B5668" s="4">
        <v>1190.69</v>
      </c>
    </row>
    <row r="5669" spans="1:2">
      <c r="A5669" s="3">
        <v>44530</v>
      </c>
      <c r="B5669" s="4">
        <v>1182.71</v>
      </c>
    </row>
    <row r="5670" spans="1:2">
      <c r="A5670" s="3">
        <v>44531</v>
      </c>
      <c r="B5670" s="4">
        <v>1176.93</v>
      </c>
    </row>
    <row r="5671" spans="1:2">
      <c r="A5671" s="3">
        <v>44532</v>
      </c>
      <c r="B5671" s="4">
        <v>1176.74</v>
      </c>
    </row>
    <row r="5672" spans="1:2">
      <c r="A5672" s="3">
        <v>44533</v>
      </c>
      <c r="B5672" s="4">
        <v>1180</v>
      </c>
    </row>
    <row r="5673" spans="1:2">
      <c r="A5673" s="3">
        <v>44536</v>
      </c>
      <c r="B5673" s="4">
        <v>1180.54</v>
      </c>
    </row>
    <row r="5674" spans="1:2">
      <c r="A5674" s="3">
        <v>44537</v>
      </c>
      <c r="B5674" s="4">
        <v>1176.73</v>
      </c>
    </row>
    <row r="5675" spans="1:2">
      <c r="A5675" s="3">
        <v>44538</v>
      </c>
      <c r="B5675" s="4">
        <v>1175.19</v>
      </c>
    </row>
    <row r="5676" spans="1:2">
      <c r="A5676" s="3">
        <v>44539</v>
      </c>
      <c r="B5676" s="4">
        <v>1178.1500000000001</v>
      </c>
    </row>
    <row r="5677" spans="1:2">
      <c r="A5677" s="3">
        <v>44540</v>
      </c>
      <c r="B5677" s="4">
        <v>1180.8599999999999</v>
      </c>
    </row>
    <row r="5678" spans="1:2">
      <c r="A5678" s="3">
        <v>44543</v>
      </c>
      <c r="B5678" s="4">
        <v>1184.9100000000001</v>
      </c>
    </row>
    <row r="5679" spans="1:2">
      <c r="A5679" s="3">
        <v>44544</v>
      </c>
      <c r="B5679" s="4">
        <v>1185.19</v>
      </c>
    </row>
    <row r="5680" spans="1:2">
      <c r="A5680" s="3">
        <v>44545</v>
      </c>
      <c r="B5680" s="4">
        <v>1184.57</v>
      </c>
    </row>
    <row r="5681" spans="1:2">
      <c r="A5681" s="3">
        <v>44546</v>
      </c>
      <c r="B5681" s="4">
        <v>1186.29</v>
      </c>
    </row>
    <row r="5682" spans="1:2">
      <c r="A5682" s="3">
        <v>44547</v>
      </c>
      <c r="B5682" s="4">
        <v>1187.7</v>
      </c>
    </row>
    <row r="5683" spans="1:2">
      <c r="A5683" s="3">
        <v>44550</v>
      </c>
      <c r="B5683" s="4">
        <v>1189.53</v>
      </c>
    </row>
    <row r="5684" spans="1:2">
      <c r="A5684" s="3">
        <v>44551</v>
      </c>
      <c r="B5684" s="4">
        <v>1190.67</v>
      </c>
    </row>
    <row r="5685" spans="1:2">
      <c r="A5685" s="3">
        <v>44552</v>
      </c>
      <c r="B5685" s="4">
        <v>1190.21</v>
      </c>
    </row>
    <row r="5686" spans="1:2">
      <c r="A5686" s="3">
        <v>44553</v>
      </c>
      <c r="B5686" s="4">
        <v>1185.55</v>
      </c>
    </row>
    <row r="5687" spans="1:2">
      <c r="A5687" s="3">
        <v>44554</v>
      </c>
      <c r="B5687" s="4">
        <v>1185.99</v>
      </c>
    </row>
    <row r="5688" spans="1:2">
      <c r="A5688" s="3">
        <v>44557</v>
      </c>
      <c r="B5688" s="4">
        <v>1185.6099999999999</v>
      </c>
    </row>
    <row r="5689" spans="1:2">
      <c r="A5689" s="3">
        <v>44558</v>
      </c>
      <c r="B5689" s="4">
        <v>1188.0899999999999</v>
      </c>
    </row>
    <row r="5690" spans="1:2">
      <c r="A5690" s="3">
        <v>44559</v>
      </c>
      <c r="B5690" s="4">
        <v>1184.7</v>
      </c>
    </row>
    <row r="5691" spans="1:2">
      <c r="A5691" s="3">
        <v>44560</v>
      </c>
      <c r="B5691" s="4">
        <v>1189.3599999999999</v>
      </c>
    </row>
    <row r="5692" spans="1:2">
      <c r="A5692" s="3">
        <v>44561</v>
      </c>
      <c r="B5692" s="4">
        <v>1187.96</v>
      </c>
    </row>
    <row r="5693" spans="1:2">
      <c r="A5693" s="3">
        <v>44564</v>
      </c>
      <c r="B5693" s="4">
        <v>1193</v>
      </c>
    </row>
    <row r="5694" spans="1:2">
      <c r="A5694" s="3">
        <v>44565</v>
      </c>
      <c r="B5694" s="4">
        <v>1197.49</v>
      </c>
    </row>
    <row r="5695" spans="1:2">
      <c r="A5695" s="3">
        <v>44566</v>
      </c>
      <c r="B5695" s="4">
        <v>1198.2</v>
      </c>
    </row>
    <row r="5696" spans="1:2">
      <c r="A5696" s="3">
        <v>44567</v>
      </c>
      <c r="B5696" s="4">
        <v>1204.95</v>
      </c>
    </row>
    <row r="5697" spans="1:2">
      <c r="A5697" s="3">
        <v>44568</v>
      </c>
      <c r="B5697" s="4">
        <v>1197.6300000000001</v>
      </c>
    </row>
    <row r="5698" spans="1:2">
      <c r="A5698" s="3">
        <v>44571</v>
      </c>
      <c r="B5698" s="4">
        <v>1198.04</v>
      </c>
    </row>
    <row r="5699" spans="1:2">
      <c r="A5699" s="3">
        <v>44572</v>
      </c>
      <c r="B5699" s="4">
        <v>1192.31</v>
      </c>
    </row>
    <row r="5700" spans="1:2">
      <c r="A5700" s="3">
        <v>44573</v>
      </c>
      <c r="B5700" s="4">
        <v>1185.8699999999999</v>
      </c>
    </row>
    <row r="5701" spans="1:2">
      <c r="A5701" s="3">
        <v>44574</v>
      </c>
      <c r="B5701" s="4">
        <v>1186.1099999999999</v>
      </c>
    </row>
    <row r="5702" spans="1:2">
      <c r="A5702" s="3">
        <v>44575</v>
      </c>
      <c r="B5702" s="4">
        <v>1190.07</v>
      </c>
    </row>
    <row r="5703" spans="1:2">
      <c r="A5703" s="3">
        <v>44578</v>
      </c>
      <c r="B5703" s="4">
        <v>1189.99</v>
      </c>
    </row>
    <row r="5704" spans="1:2">
      <c r="A5704" s="3">
        <v>44579</v>
      </c>
      <c r="B5704" s="4">
        <v>1192.69</v>
      </c>
    </row>
    <row r="5705" spans="1:2">
      <c r="A5705" s="3">
        <v>44580</v>
      </c>
      <c r="B5705" s="4">
        <v>1188.1300000000001</v>
      </c>
    </row>
    <row r="5706" spans="1:2">
      <c r="A5706" s="3">
        <v>44581</v>
      </c>
      <c r="B5706" s="4">
        <v>1192.42</v>
      </c>
    </row>
    <row r="5707" spans="1:2">
      <c r="A5707" s="3">
        <v>44582</v>
      </c>
      <c r="B5707" s="4">
        <v>1192.51</v>
      </c>
    </row>
    <row r="5708" spans="1:2">
      <c r="A5708" s="3">
        <v>44585</v>
      </c>
      <c r="B5708" s="4">
        <v>1195.5899999999999</v>
      </c>
    </row>
    <row r="5709" spans="1:2">
      <c r="A5709" s="3">
        <v>44586</v>
      </c>
      <c r="B5709" s="4">
        <v>1196.3499999999999</v>
      </c>
    </row>
    <row r="5710" spans="1:2">
      <c r="A5710" s="3">
        <v>44587</v>
      </c>
      <c r="B5710" s="4">
        <v>1197.03</v>
      </c>
    </row>
    <row r="5711" spans="1:2">
      <c r="A5711" s="3">
        <v>44588</v>
      </c>
      <c r="B5711" s="4">
        <v>1203.77</v>
      </c>
    </row>
    <row r="5712" spans="1:2">
      <c r="A5712" s="3">
        <v>44589</v>
      </c>
      <c r="B5712" s="4">
        <v>1209.56</v>
      </c>
    </row>
    <row r="5713" spans="1:2">
      <c r="A5713" s="3">
        <v>44592</v>
      </c>
      <c r="B5713" s="4">
        <v>1204.6300000000001</v>
      </c>
    </row>
    <row r="5714" spans="1:2">
      <c r="A5714" s="3">
        <v>44593</v>
      </c>
      <c r="B5714" s="4">
        <v>1202.31</v>
      </c>
    </row>
    <row r="5715" spans="1:2">
      <c r="A5715" s="3">
        <v>44594</v>
      </c>
      <c r="B5715" s="4">
        <v>1199.46</v>
      </c>
    </row>
    <row r="5716" spans="1:2">
      <c r="A5716" s="3">
        <v>44595</v>
      </c>
      <c r="B5716" s="4">
        <v>1199.47</v>
      </c>
    </row>
    <row r="5717" spans="1:2">
      <c r="A5717" s="3">
        <v>44596</v>
      </c>
      <c r="B5717" s="4">
        <v>1198.25</v>
      </c>
    </row>
    <row r="5718" spans="1:2">
      <c r="A5718" s="3">
        <v>44599</v>
      </c>
      <c r="B5718" s="4">
        <v>1196.8699999999999</v>
      </c>
    </row>
    <row r="5719" spans="1:2">
      <c r="A5719" s="3">
        <v>44600</v>
      </c>
      <c r="B5719" s="4">
        <v>1196.3499999999999</v>
      </c>
    </row>
    <row r="5720" spans="1:2">
      <c r="A5720" s="3">
        <v>44601</v>
      </c>
      <c r="B5720" s="4">
        <v>1194.05</v>
      </c>
    </row>
    <row r="5721" spans="1:2">
      <c r="A5721" s="3">
        <v>44602</v>
      </c>
      <c r="B5721" s="4">
        <v>1199.83</v>
      </c>
    </row>
    <row r="5722" spans="1:2">
      <c r="A5722" s="3">
        <v>44603</v>
      </c>
      <c r="B5722" s="4">
        <v>1199.48</v>
      </c>
    </row>
    <row r="5723" spans="1:2">
      <c r="A5723" s="3">
        <v>44606</v>
      </c>
      <c r="B5723" s="4">
        <v>1197.32</v>
      </c>
    </row>
    <row r="5724" spans="1:2">
      <c r="A5724" s="3">
        <v>44607</v>
      </c>
      <c r="B5724" s="4">
        <v>1196.76</v>
      </c>
    </row>
    <row r="5725" spans="1:2">
      <c r="A5725" s="3">
        <v>44608</v>
      </c>
      <c r="B5725" s="4">
        <v>1196.53</v>
      </c>
    </row>
    <row r="5726" spans="1:2">
      <c r="A5726" s="3">
        <v>44609</v>
      </c>
      <c r="B5726" s="4">
        <v>1198.6300000000001</v>
      </c>
    </row>
    <row r="5727" spans="1:2">
      <c r="A5727" s="3">
        <v>44610</v>
      </c>
      <c r="B5727" s="4">
        <v>1195.5899999999999</v>
      </c>
    </row>
    <row r="5728" spans="1:2">
      <c r="A5728" s="3">
        <v>44613</v>
      </c>
      <c r="B5728" s="4">
        <v>1193.68</v>
      </c>
    </row>
    <row r="5729" spans="1:2">
      <c r="A5729" s="3">
        <v>44614</v>
      </c>
      <c r="B5729" s="4">
        <v>1191.9000000000001</v>
      </c>
    </row>
    <row r="5730" spans="1:2">
      <c r="A5730" s="3">
        <v>44615</v>
      </c>
      <c r="B5730" s="4">
        <v>1192.44</v>
      </c>
    </row>
    <row r="5731" spans="1:2">
      <c r="A5731" s="3">
        <v>44616</v>
      </c>
      <c r="B5731" s="4">
        <v>1206.05</v>
      </c>
    </row>
    <row r="5732" spans="1:2">
      <c r="A5732" s="3">
        <v>44617</v>
      </c>
      <c r="B5732" s="4">
        <v>1197.57</v>
      </c>
    </row>
    <row r="5733" spans="1:2">
      <c r="A5733" s="3">
        <v>44620</v>
      </c>
      <c r="B5733" s="4">
        <v>1200.1199999999999</v>
      </c>
    </row>
    <row r="5734" spans="1:2">
      <c r="A5734" s="3">
        <v>44621</v>
      </c>
      <c r="B5734" s="4">
        <v>1205.32</v>
      </c>
    </row>
    <row r="5735" spans="1:2">
      <c r="A5735" s="3">
        <v>44622</v>
      </c>
      <c r="B5735" s="4">
        <v>1203.1600000000001</v>
      </c>
    </row>
    <row r="5736" spans="1:2">
      <c r="A5736" s="3">
        <v>44623</v>
      </c>
      <c r="B5736" s="4">
        <v>1205.54</v>
      </c>
    </row>
    <row r="5737" spans="1:2">
      <c r="A5737" s="3">
        <v>44624</v>
      </c>
      <c r="B5737" s="4">
        <v>1217.45</v>
      </c>
    </row>
    <row r="5738" spans="1:2">
      <c r="A5738" s="3">
        <v>44627</v>
      </c>
      <c r="B5738" s="4">
        <v>1232.1400000000001</v>
      </c>
    </row>
    <row r="5739" spans="1:2">
      <c r="A5739" s="3">
        <v>44628</v>
      </c>
      <c r="B5739" s="4">
        <v>1233.53</v>
      </c>
    </row>
    <row r="5740" spans="1:2">
      <c r="A5740" s="3">
        <v>44629</v>
      </c>
      <c r="B5740" s="4">
        <v>1223.1300000000001</v>
      </c>
    </row>
    <row r="5741" spans="1:2">
      <c r="A5741" s="3">
        <v>44630</v>
      </c>
      <c r="B5741" s="4">
        <v>1228.83</v>
      </c>
    </row>
    <row r="5742" spans="1:2">
      <c r="A5742" s="3">
        <v>44631</v>
      </c>
      <c r="B5742" s="4">
        <v>1237.08</v>
      </c>
    </row>
    <row r="5743" spans="1:2">
      <c r="A5743" s="3">
        <v>44634</v>
      </c>
      <c r="B5743" s="4">
        <v>1240.6400000000001</v>
      </c>
    </row>
    <row r="5744" spans="1:2">
      <c r="A5744" s="3">
        <v>44635</v>
      </c>
      <c r="B5744" s="4">
        <v>1240.6199999999999</v>
      </c>
    </row>
    <row r="5745" spans="1:2">
      <c r="A5745" s="3">
        <v>44636</v>
      </c>
      <c r="B5745" s="4">
        <v>1225.3499999999999</v>
      </c>
    </row>
    <row r="5746" spans="1:2">
      <c r="A5746" s="3">
        <v>44637</v>
      </c>
      <c r="B5746" s="4">
        <v>1209.8900000000001</v>
      </c>
    </row>
    <row r="5747" spans="1:2">
      <c r="A5747" s="3">
        <v>44638</v>
      </c>
      <c r="B5747" s="4">
        <v>1211.1500000000001</v>
      </c>
    </row>
    <row r="5748" spans="1:2">
      <c r="A5748" s="3">
        <v>44641</v>
      </c>
      <c r="B5748" s="4">
        <v>1217.55</v>
      </c>
    </row>
    <row r="5749" spans="1:2">
      <c r="A5749" s="3">
        <v>44642</v>
      </c>
      <c r="B5749" s="4">
        <v>1215.07</v>
      </c>
    </row>
    <row r="5750" spans="1:2">
      <c r="A5750" s="3">
        <v>44643</v>
      </c>
      <c r="B5750" s="4">
        <v>1218.6199999999999</v>
      </c>
    </row>
    <row r="5751" spans="1:2">
      <c r="A5751" s="3">
        <v>44644</v>
      </c>
      <c r="B5751" s="4">
        <v>1219.58</v>
      </c>
    </row>
    <row r="5752" spans="1:2">
      <c r="A5752" s="3">
        <v>44645</v>
      </c>
      <c r="B5752" s="4">
        <v>1225.08</v>
      </c>
    </row>
    <row r="5753" spans="1:2">
      <c r="A5753" s="3">
        <v>44648</v>
      </c>
      <c r="B5753" s="4">
        <v>1223.6500000000001</v>
      </c>
    </row>
    <row r="5754" spans="1:2">
      <c r="A5754" s="3">
        <v>44649</v>
      </c>
      <c r="B5754" s="4">
        <v>1207.3499999999999</v>
      </c>
    </row>
    <row r="5755" spans="1:2">
      <c r="A5755" s="3">
        <v>44650</v>
      </c>
      <c r="B5755" s="4">
        <v>1210.31</v>
      </c>
    </row>
    <row r="5756" spans="1:2">
      <c r="A5756" s="3">
        <v>44651</v>
      </c>
      <c r="B5756" s="4">
        <v>1214.17</v>
      </c>
    </row>
    <row r="5757" spans="1:2">
      <c r="A5757" s="3">
        <v>44652</v>
      </c>
      <c r="B5757" s="4">
        <v>1219.73</v>
      </c>
    </row>
    <row r="5758" spans="1:2">
      <c r="A5758" s="3">
        <v>44655</v>
      </c>
      <c r="B5758" s="4">
        <v>1213.75</v>
      </c>
    </row>
    <row r="5759" spans="1:2">
      <c r="A5759" s="3">
        <v>44656</v>
      </c>
      <c r="B5759" s="4">
        <v>1218.22</v>
      </c>
    </row>
    <row r="5760" spans="1:2">
      <c r="A5760" s="3">
        <v>44657</v>
      </c>
      <c r="B5760" s="4">
        <v>1217.48</v>
      </c>
    </row>
    <row r="5761" spans="1:2">
      <c r="A5761" s="3">
        <v>44658</v>
      </c>
      <c r="B5761" s="4">
        <v>1222.55</v>
      </c>
    </row>
    <row r="5762" spans="1:2">
      <c r="A5762" s="3">
        <v>44659</v>
      </c>
      <c r="B5762" s="4">
        <v>1229.19</v>
      </c>
    </row>
    <row r="5763" spans="1:2">
      <c r="A5763" s="3">
        <v>44662</v>
      </c>
      <c r="B5763" s="4">
        <v>1234.32</v>
      </c>
    </row>
    <row r="5764" spans="1:2">
      <c r="A5764" s="3">
        <v>44663</v>
      </c>
      <c r="B5764" s="4">
        <v>1228.08</v>
      </c>
    </row>
    <row r="5765" spans="1:2">
      <c r="A5765" s="3">
        <v>44664</v>
      </c>
      <c r="B5765" s="4">
        <v>1223.23</v>
      </c>
    </row>
    <row r="5766" spans="1:2">
      <c r="A5766" s="3">
        <v>44665</v>
      </c>
      <c r="B5766" s="4">
        <v>1230.1500000000001</v>
      </c>
    </row>
    <row r="5767" spans="1:2">
      <c r="A5767" s="3">
        <v>44666</v>
      </c>
      <c r="B5767" s="4">
        <v>1228.19</v>
      </c>
    </row>
    <row r="5768" spans="1:2">
      <c r="A5768" s="3">
        <v>44669</v>
      </c>
      <c r="B5768" s="4">
        <v>1235.22</v>
      </c>
    </row>
    <row r="5769" spans="1:2">
      <c r="A5769" s="3">
        <v>44670</v>
      </c>
      <c r="B5769" s="4">
        <v>1239.53</v>
      </c>
    </row>
    <row r="5770" spans="1:2">
      <c r="A5770" s="3">
        <v>44671</v>
      </c>
      <c r="B5770" s="4">
        <v>1233.6600000000001</v>
      </c>
    </row>
    <row r="5771" spans="1:2">
      <c r="A5771" s="3">
        <v>44672</v>
      </c>
      <c r="B5771" s="4">
        <v>1242.81</v>
      </c>
    </row>
    <row r="5772" spans="1:2">
      <c r="A5772" s="3">
        <v>44673</v>
      </c>
      <c r="B5772" s="4">
        <v>1244.1099999999999</v>
      </c>
    </row>
    <row r="5773" spans="1:2">
      <c r="A5773" s="3">
        <v>44676</v>
      </c>
      <c r="B5773" s="4">
        <v>1250.0999999999999</v>
      </c>
    </row>
    <row r="5774" spans="1:2">
      <c r="A5774" s="3">
        <v>44677</v>
      </c>
      <c r="B5774" s="4">
        <v>1260.67</v>
      </c>
    </row>
    <row r="5775" spans="1:2">
      <c r="A5775" s="3">
        <v>44678</v>
      </c>
      <c r="B5775" s="4">
        <v>1266.27</v>
      </c>
    </row>
    <row r="5776" spans="1:2">
      <c r="A5776" s="3">
        <v>44679</v>
      </c>
      <c r="B5776" s="4">
        <v>1272.1099999999999</v>
      </c>
    </row>
    <row r="5777" spans="1:2">
      <c r="A5777" s="3">
        <v>44680</v>
      </c>
      <c r="B5777" s="4">
        <v>1263.03</v>
      </c>
    </row>
    <row r="5778" spans="1:2">
      <c r="A5778" s="3">
        <v>44683</v>
      </c>
      <c r="B5778" s="4">
        <v>1267.51</v>
      </c>
    </row>
    <row r="5779" spans="1:2">
      <c r="A5779" s="3">
        <v>44684</v>
      </c>
      <c r="B5779" s="4">
        <v>1260.3499999999999</v>
      </c>
    </row>
    <row r="5780" spans="1:2">
      <c r="A5780" s="3">
        <v>44685</v>
      </c>
      <c r="B5780" s="4">
        <v>1251.51</v>
      </c>
    </row>
    <row r="5781" spans="1:2">
      <c r="A5781" s="3">
        <v>44686</v>
      </c>
      <c r="B5781" s="4">
        <v>1269.2</v>
      </c>
    </row>
    <row r="5782" spans="1:2">
      <c r="A5782" s="3">
        <v>44687</v>
      </c>
      <c r="B5782" s="4">
        <v>1269.99</v>
      </c>
    </row>
    <row r="5783" spans="1:2">
      <c r="A5783" s="3">
        <v>44690</v>
      </c>
      <c r="B5783" s="4">
        <v>1274.28</v>
      </c>
    </row>
    <row r="5784" spans="1:2">
      <c r="A5784" s="3">
        <v>44691</v>
      </c>
      <c r="B5784" s="4">
        <v>1276.48</v>
      </c>
    </row>
    <row r="5785" spans="1:2">
      <c r="A5785" s="3">
        <v>44692</v>
      </c>
      <c r="B5785" s="4">
        <v>1279.03</v>
      </c>
    </row>
    <row r="5786" spans="1:2">
      <c r="A5786" s="3">
        <v>44693</v>
      </c>
      <c r="B5786" s="4">
        <v>1290.72</v>
      </c>
    </row>
    <row r="5787" spans="1:2">
      <c r="A5787" s="3">
        <v>44694</v>
      </c>
      <c r="B5787" s="4">
        <v>1278.45</v>
      </c>
    </row>
    <row r="5788" spans="1:2">
      <c r="A5788" s="3">
        <v>44697</v>
      </c>
      <c r="B5788" s="4">
        <v>1280.3800000000001</v>
      </c>
    </row>
    <row r="5789" spans="1:2">
      <c r="A5789" s="3">
        <v>44698</v>
      </c>
      <c r="B5789" s="4">
        <v>1266.5</v>
      </c>
    </row>
    <row r="5790" spans="1:2">
      <c r="A5790" s="3">
        <v>44699</v>
      </c>
      <c r="B5790" s="4">
        <v>1275.33</v>
      </c>
    </row>
    <row r="5791" spans="1:2">
      <c r="A5791" s="3">
        <v>44700</v>
      </c>
      <c r="B5791" s="4">
        <v>1262.6099999999999</v>
      </c>
    </row>
    <row r="5792" spans="1:2">
      <c r="A5792" s="3">
        <v>44701</v>
      </c>
      <c r="B5792" s="4">
        <v>1273.5899999999999</v>
      </c>
    </row>
    <row r="5793" spans="1:2">
      <c r="A5793" s="3">
        <v>44704</v>
      </c>
      <c r="B5793" s="4">
        <v>1257.8800000000001</v>
      </c>
    </row>
    <row r="5794" spans="1:2">
      <c r="A5794" s="3">
        <v>44705</v>
      </c>
      <c r="B5794" s="4">
        <v>1261.03</v>
      </c>
    </row>
    <row r="5795" spans="1:2">
      <c r="A5795" s="3">
        <v>44706</v>
      </c>
      <c r="B5795" s="4">
        <v>1266.4100000000001</v>
      </c>
    </row>
    <row r="5796" spans="1:2">
      <c r="A5796" s="3">
        <v>44707</v>
      </c>
      <c r="B5796" s="4">
        <v>1260.02</v>
      </c>
    </row>
    <row r="5797" spans="1:2">
      <c r="A5797" s="3">
        <v>44708</v>
      </c>
      <c r="B5797" s="4">
        <v>1251.99</v>
      </c>
    </row>
    <row r="5798" spans="1:2">
      <c r="A5798" s="3">
        <v>44711</v>
      </c>
      <c r="B5798" s="4">
        <v>1234.8499999999999</v>
      </c>
    </row>
    <row r="5799" spans="1:2">
      <c r="A5799" s="3">
        <v>44712</v>
      </c>
      <c r="B5799" s="4">
        <v>1242.26</v>
      </c>
    </row>
    <row r="5800" spans="1:2">
      <c r="A5800" s="3">
        <v>44713</v>
      </c>
      <c r="B5800" s="4">
        <v>1246.8900000000001</v>
      </c>
    </row>
    <row r="5801" spans="1:2">
      <c r="A5801" s="3">
        <v>44714</v>
      </c>
      <c r="B5801" s="4">
        <v>1240.32</v>
      </c>
    </row>
    <row r="5802" spans="1:2">
      <c r="A5802" s="3">
        <v>44715</v>
      </c>
      <c r="B5802" s="4">
        <v>1250.58</v>
      </c>
    </row>
    <row r="5803" spans="1:2">
      <c r="A5803" s="3">
        <v>44718</v>
      </c>
      <c r="B5803" s="4">
        <v>1254.45</v>
      </c>
    </row>
    <row r="5804" spans="1:2">
      <c r="A5804" s="3">
        <v>44719</v>
      </c>
      <c r="B5804" s="4">
        <v>1254.3599999999999</v>
      </c>
    </row>
    <row r="5805" spans="1:2">
      <c r="A5805" s="3">
        <v>44720</v>
      </c>
      <c r="B5805" s="4">
        <v>1256.81</v>
      </c>
    </row>
    <row r="5806" spans="1:2">
      <c r="A5806" s="3">
        <v>44721</v>
      </c>
      <c r="B5806" s="4">
        <v>1264.04</v>
      </c>
    </row>
    <row r="5807" spans="1:2">
      <c r="A5807" s="3">
        <v>44722</v>
      </c>
      <c r="B5807" s="4">
        <v>1279.32</v>
      </c>
    </row>
    <row r="5808" spans="1:2">
      <c r="A5808" s="3">
        <v>44725</v>
      </c>
      <c r="B5808" s="4">
        <v>1291.68</v>
      </c>
    </row>
    <row r="5809" spans="1:2">
      <c r="A5809" s="3">
        <v>44726</v>
      </c>
      <c r="B5809" s="4">
        <v>1289.57</v>
      </c>
    </row>
    <row r="5810" spans="1:2">
      <c r="A5810" s="3">
        <v>44727</v>
      </c>
      <c r="B5810" s="4">
        <v>1277.9000000000001</v>
      </c>
    </row>
    <row r="5811" spans="1:2">
      <c r="A5811" s="3">
        <v>44728</v>
      </c>
      <c r="B5811" s="4">
        <v>1288.23</v>
      </c>
    </row>
    <row r="5812" spans="1:2">
      <c r="A5812" s="3">
        <v>44729</v>
      </c>
      <c r="B5812" s="4">
        <v>1291.26</v>
      </c>
    </row>
    <row r="5813" spans="1:2">
      <c r="A5813" s="3">
        <v>44732</v>
      </c>
      <c r="B5813" s="4">
        <v>1291.54</v>
      </c>
    </row>
    <row r="5814" spans="1:2">
      <c r="A5814" s="3">
        <v>44733</v>
      </c>
      <c r="B5814" s="4">
        <v>1291.72</v>
      </c>
    </row>
    <row r="5815" spans="1:2">
      <c r="A5815" s="3">
        <v>44734</v>
      </c>
      <c r="B5815" s="4">
        <v>1297.58</v>
      </c>
    </row>
    <row r="5816" spans="1:2">
      <c r="A5816" s="3">
        <v>44735</v>
      </c>
      <c r="B5816" s="4">
        <v>1299.81</v>
      </c>
    </row>
    <row r="5817" spans="1:2">
      <c r="A5817" s="3">
        <v>44736</v>
      </c>
      <c r="B5817" s="4">
        <v>1288.8900000000001</v>
      </c>
    </row>
    <row r="5818" spans="1:2">
      <c r="A5818" s="3">
        <v>44739</v>
      </c>
      <c r="B5818" s="4">
        <v>1286.31</v>
      </c>
    </row>
    <row r="5819" spans="1:2">
      <c r="A5819" s="3">
        <v>44740</v>
      </c>
      <c r="B5819" s="4">
        <v>1292.06</v>
      </c>
    </row>
    <row r="5820" spans="1:2">
      <c r="A5820" s="3">
        <v>44741</v>
      </c>
      <c r="B5820" s="4">
        <v>1301.9000000000001</v>
      </c>
    </row>
    <row r="5821" spans="1:2">
      <c r="A5821" s="3">
        <v>44742</v>
      </c>
      <c r="B5821" s="4">
        <v>1287.51</v>
      </c>
    </row>
    <row r="5822" spans="1:2">
      <c r="A5822" s="3">
        <v>44743</v>
      </c>
      <c r="B5822" s="4">
        <v>1298.67</v>
      </c>
    </row>
    <row r="5823" spans="1:2">
      <c r="A5823" s="3">
        <v>44746</v>
      </c>
      <c r="B5823" s="4">
        <v>1295.8699999999999</v>
      </c>
    </row>
    <row r="5824" spans="1:2">
      <c r="A5824" s="3">
        <v>44747</v>
      </c>
      <c r="B5824" s="4">
        <v>1308.95</v>
      </c>
    </row>
    <row r="5825" spans="1:2">
      <c r="A5825" s="3">
        <v>44748</v>
      </c>
      <c r="B5825" s="4">
        <v>1304.79</v>
      </c>
    </row>
    <row r="5826" spans="1:2">
      <c r="A5826" s="3">
        <v>44749</v>
      </c>
      <c r="B5826" s="4">
        <v>1297.6199999999999</v>
      </c>
    </row>
    <row r="5827" spans="1:2">
      <c r="A5827" s="3">
        <v>44750</v>
      </c>
      <c r="B5827" s="4">
        <v>1294.68</v>
      </c>
    </row>
    <row r="5828" spans="1:2">
      <c r="A5828" s="3">
        <v>44753</v>
      </c>
      <c r="B5828" s="4">
        <v>1310.81</v>
      </c>
    </row>
    <row r="5829" spans="1:2">
      <c r="A5829" s="3">
        <v>44754</v>
      </c>
      <c r="B5829" s="4">
        <v>1305.21</v>
      </c>
    </row>
    <row r="5830" spans="1:2">
      <c r="A5830" s="3">
        <v>44755</v>
      </c>
      <c r="B5830" s="4">
        <v>1304.73</v>
      </c>
    </row>
    <row r="5831" spans="1:2">
      <c r="A5831" s="3">
        <v>44756</v>
      </c>
      <c r="B5831" s="4">
        <v>1316.41</v>
      </c>
    </row>
    <row r="5832" spans="1:2">
      <c r="A5832" s="3">
        <v>44757</v>
      </c>
      <c r="B5832" s="4">
        <v>1317.74</v>
      </c>
    </row>
    <row r="5833" spans="1:2">
      <c r="A5833" s="3">
        <v>44760</v>
      </c>
      <c r="B5833" s="4">
        <v>1318.3</v>
      </c>
    </row>
    <row r="5834" spans="1:2">
      <c r="A5834" s="3">
        <v>44761</v>
      </c>
      <c r="B5834" s="4">
        <v>1305.1199999999999</v>
      </c>
    </row>
    <row r="5835" spans="1:2">
      <c r="A5835" s="3">
        <v>44762</v>
      </c>
      <c r="B5835" s="4">
        <v>1313.1</v>
      </c>
    </row>
    <row r="5836" spans="1:2">
      <c r="A5836" s="3">
        <v>44763</v>
      </c>
      <c r="B5836" s="4">
        <v>1306.1600000000001</v>
      </c>
    </row>
    <row r="5837" spans="1:2">
      <c r="A5837" s="3">
        <v>44764</v>
      </c>
      <c r="B5837" s="4">
        <v>1310.01</v>
      </c>
    </row>
    <row r="5838" spans="1:2">
      <c r="A5838" s="3">
        <v>44767</v>
      </c>
      <c r="B5838" s="4">
        <v>1311.12</v>
      </c>
    </row>
    <row r="5839" spans="1:2">
      <c r="A5839" s="3">
        <v>44768</v>
      </c>
      <c r="B5839" s="4">
        <v>1310.0999999999999</v>
      </c>
    </row>
    <row r="5840" spans="1:2">
      <c r="A5840" s="3">
        <v>44769</v>
      </c>
      <c r="B5840" s="4">
        <v>1306.08</v>
      </c>
    </row>
    <row r="5841" spans="1:2">
      <c r="A5841" s="3">
        <v>44770</v>
      </c>
      <c r="B5841" s="4">
        <v>1295.47</v>
      </c>
    </row>
    <row r="5842" spans="1:2">
      <c r="A5842" s="3">
        <v>44771</v>
      </c>
      <c r="B5842" s="4">
        <v>1302.97</v>
      </c>
    </row>
    <row r="5843" spans="1:2">
      <c r="A5843" s="3">
        <v>44774</v>
      </c>
      <c r="B5843" s="4">
        <v>1307.33</v>
      </c>
    </row>
    <row r="5844" spans="1:2">
      <c r="A5844" s="3">
        <v>44775</v>
      </c>
      <c r="B5844" s="4">
        <v>1311.82</v>
      </c>
    </row>
    <row r="5845" spans="1:2">
      <c r="A5845" s="3">
        <v>44776</v>
      </c>
      <c r="B5845" s="4">
        <v>1307.82</v>
      </c>
    </row>
    <row r="5846" spans="1:2">
      <c r="A5846" s="3">
        <v>44777</v>
      </c>
      <c r="B5846" s="4">
        <v>1302.4100000000001</v>
      </c>
    </row>
    <row r="5847" spans="1:2">
      <c r="A5847" s="3">
        <v>44778</v>
      </c>
      <c r="B5847" s="4">
        <v>1302.24</v>
      </c>
    </row>
    <row r="5848" spans="1:2">
      <c r="A5848" s="3">
        <v>44781</v>
      </c>
      <c r="B5848" s="4">
        <v>1299.0999999999999</v>
      </c>
    </row>
    <row r="5849" spans="1:2">
      <c r="A5849" s="3">
        <v>44782</v>
      </c>
      <c r="B5849" s="4">
        <v>1306.1400000000001</v>
      </c>
    </row>
    <row r="5850" spans="1:2">
      <c r="A5850" s="3">
        <v>44783</v>
      </c>
      <c r="B5850" s="4">
        <v>1297.33</v>
      </c>
    </row>
    <row r="5851" spans="1:2">
      <c r="A5851" s="3">
        <v>44784</v>
      </c>
      <c r="B5851" s="4">
        <v>1305.1400000000001</v>
      </c>
    </row>
    <row r="5852" spans="1:2">
      <c r="A5852" s="3">
        <v>44785</v>
      </c>
      <c r="B5852" s="4">
        <v>1301.31</v>
      </c>
    </row>
    <row r="5853" spans="1:2">
      <c r="A5853" s="3">
        <v>44788</v>
      </c>
      <c r="B5853" s="4">
        <v>1310.52</v>
      </c>
    </row>
    <row r="5854" spans="1:2">
      <c r="A5854" s="3">
        <v>44789</v>
      </c>
      <c r="B5854" s="4">
        <v>1311.04</v>
      </c>
    </row>
    <row r="5855" spans="1:2">
      <c r="A5855" s="3">
        <v>44790</v>
      </c>
      <c r="B5855" s="4">
        <v>1314.88</v>
      </c>
    </row>
    <row r="5856" spans="1:2">
      <c r="A5856" s="3">
        <v>44791</v>
      </c>
      <c r="B5856" s="4">
        <v>1326.84</v>
      </c>
    </row>
    <row r="5857" spans="1:2">
      <c r="A5857" s="3">
        <v>44792</v>
      </c>
      <c r="B5857" s="4">
        <v>1335.61</v>
      </c>
    </row>
    <row r="5858" spans="1:2">
      <c r="A5858" s="3">
        <v>44795</v>
      </c>
      <c r="B5858" s="4">
        <v>1343.43</v>
      </c>
    </row>
    <row r="5859" spans="1:2">
      <c r="A5859" s="3">
        <v>44796</v>
      </c>
      <c r="B5859" s="4">
        <v>1339.17</v>
      </c>
    </row>
    <row r="5860" spans="1:2">
      <c r="A5860" s="3">
        <v>44797</v>
      </c>
      <c r="B5860" s="4">
        <v>1340.6</v>
      </c>
    </row>
    <row r="5861" spans="1:2">
      <c r="A5861" s="3">
        <v>44798</v>
      </c>
      <c r="B5861" s="4">
        <v>1334.32</v>
      </c>
    </row>
    <row r="5862" spans="1:2">
      <c r="A5862" s="3">
        <v>44799</v>
      </c>
      <c r="B5862" s="4">
        <v>1341.81</v>
      </c>
    </row>
    <row r="5863" spans="1:2">
      <c r="A5863" s="3">
        <v>44802</v>
      </c>
      <c r="B5863" s="4">
        <v>1345.62</v>
      </c>
    </row>
    <row r="5864" spans="1:2">
      <c r="A5864" s="3">
        <v>44803</v>
      </c>
      <c r="B5864" s="4">
        <v>1349.77</v>
      </c>
    </row>
    <row r="5865" spans="1:2">
      <c r="A5865" s="3">
        <v>44804</v>
      </c>
      <c r="B5865" s="4">
        <v>1341.19</v>
      </c>
    </row>
    <row r="5866" spans="1:2">
      <c r="A5866" s="3">
        <v>44805</v>
      </c>
      <c r="B5866" s="4">
        <v>1355.82</v>
      </c>
    </row>
    <row r="5867" spans="1:2">
      <c r="A5867" s="3">
        <v>44806</v>
      </c>
      <c r="B5867" s="4">
        <v>1361.15</v>
      </c>
    </row>
    <row r="5868" spans="1:2">
      <c r="A5868" s="3">
        <v>44809</v>
      </c>
      <c r="B5868" s="4">
        <v>1369.39</v>
      </c>
    </row>
    <row r="5869" spans="1:2">
      <c r="A5869" s="3">
        <v>44810</v>
      </c>
      <c r="B5869" s="4">
        <v>1377.07</v>
      </c>
    </row>
    <row r="5870" spans="1:2">
      <c r="A5870" s="3">
        <v>44811</v>
      </c>
      <c r="B5870" s="4">
        <v>1377.11</v>
      </c>
    </row>
    <row r="5871" spans="1:2">
      <c r="A5871" s="3">
        <v>44812</v>
      </c>
      <c r="B5871" s="4">
        <v>1384.55</v>
      </c>
    </row>
    <row r="5872" spans="1:2">
      <c r="A5872" s="3">
        <v>44813</v>
      </c>
      <c r="B5872" s="4">
        <v>1379.77</v>
      </c>
    </row>
    <row r="5873" spans="1:2">
      <c r="A5873" s="3">
        <v>44816</v>
      </c>
      <c r="B5873" s="4">
        <v>1374.63</v>
      </c>
    </row>
    <row r="5874" spans="1:2">
      <c r="A5874" s="3">
        <v>44817</v>
      </c>
      <c r="B5874" s="4">
        <v>1394.68</v>
      </c>
    </row>
    <row r="5875" spans="1:2">
      <c r="A5875" s="3">
        <v>44818</v>
      </c>
      <c r="B5875" s="4">
        <v>1391.01</v>
      </c>
    </row>
    <row r="5876" spans="1:2">
      <c r="A5876" s="3">
        <v>44819</v>
      </c>
      <c r="B5876" s="4">
        <v>1398.41</v>
      </c>
    </row>
    <row r="5877" spans="1:2">
      <c r="A5877" s="3">
        <v>44820</v>
      </c>
      <c r="B5877" s="4">
        <v>1384.77</v>
      </c>
    </row>
    <row r="5878" spans="1:2">
      <c r="A5878" s="3">
        <v>44823</v>
      </c>
      <c r="B5878" s="4">
        <v>1390.08</v>
      </c>
    </row>
    <row r="5879" spans="1:2">
      <c r="A5879" s="3">
        <v>44824</v>
      </c>
      <c r="B5879" s="4">
        <v>1392.5</v>
      </c>
    </row>
    <row r="5880" spans="1:2">
      <c r="A5880" s="3">
        <v>44825</v>
      </c>
      <c r="B5880" s="4">
        <v>1397.71</v>
      </c>
    </row>
    <row r="5881" spans="1:2">
      <c r="A5881" s="3">
        <v>44826</v>
      </c>
      <c r="B5881" s="4">
        <v>1404.23</v>
      </c>
    </row>
    <row r="5882" spans="1:2">
      <c r="A5882" s="3">
        <v>44827</v>
      </c>
      <c r="B5882" s="4">
        <v>1421.34</v>
      </c>
    </row>
    <row r="5883" spans="1:2">
      <c r="A5883" s="3">
        <v>44830</v>
      </c>
      <c r="B5883" s="4">
        <v>1430.19</v>
      </c>
    </row>
    <row r="5884" spans="1:2">
      <c r="A5884" s="3">
        <v>44831</v>
      </c>
      <c r="B5884" s="4">
        <v>1426.32</v>
      </c>
    </row>
    <row r="5885" spans="1:2">
      <c r="A5885" s="3">
        <v>44832</v>
      </c>
      <c r="B5885" s="4">
        <v>1424.48</v>
      </c>
    </row>
    <row r="5886" spans="1:2">
      <c r="A5886" s="3">
        <v>44833</v>
      </c>
      <c r="B5886" s="4">
        <v>1429.99</v>
      </c>
    </row>
    <row r="5887" spans="1:2">
      <c r="A5887" s="3">
        <v>44834</v>
      </c>
      <c r="B5887" s="4">
        <v>1439.96</v>
      </c>
    </row>
    <row r="5888" spans="1:2">
      <c r="A5888" s="3">
        <v>44837</v>
      </c>
      <c r="B5888" s="4">
        <v>1433.45</v>
      </c>
    </row>
    <row r="5889" spans="1:2">
      <c r="A5889" s="3">
        <v>44838</v>
      </c>
      <c r="B5889" s="4">
        <v>1415.53</v>
      </c>
    </row>
    <row r="5890" spans="1:2">
      <c r="A5890" s="3">
        <v>44839</v>
      </c>
      <c r="B5890" s="4">
        <v>1415.63</v>
      </c>
    </row>
    <row r="5891" spans="1:2">
      <c r="A5891" s="3">
        <v>44840</v>
      </c>
      <c r="B5891" s="4">
        <v>1408.31</v>
      </c>
    </row>
    <row r="5892" spans="1:2">
      <c r="A5892" s="3">
        <v>44841</v>
      </c>
      <c r="B5892" s="4">
        <v>1424.94</v>
      </c>
    </row>
    <row r="5893" spans="1:2">
      <c r="A5893" s="3">
        <v>44844</v>
      </c>
      <c r="B5893" s="4">
        <v>1427.61</v>
      </c>
    </row>
    <row r="5894" spans="1:2">
      <c r="A5894" s="3">
        <v>44845</v>
      </c>
      <c r="B5894" s="4">
        <v>1431.42</v>
      </c>
    </row>
    <row r="5895" spans="1:2">
      <c r="A5895" s="3">
        <v>44846</v>
      </c>
      <c r="B5895" s="4">
        <v>1424.49</v>
      </c>
    </row>
    <row r="5896" spans="1:2">
      <c r="A5896" s="3">
        <v>44847</v>
      </c>
      <c r="B5896" s="4">
        <v>1430.69</v>
      </c>
    </row>
    <row r="5897" spans="1:2">
      <c r="A5897" s="3">
        <v>44848</v>
      </c>
      <c r="B5897" s="4">
        <v>1440.44</v>
      </c>
    </row>
    <row r="5898" spans="1:2">
      <c r="A5898" s="3">
        <v>44851</v>
      </c>
      <c r="B5898" s="4">
        <v>1430.71</v>
      </c>
    </row>
    <row r="5899" spans="1:2">
      <c r="A5899" s="3">
        <v>44852</v>
      </c>
      <c r="B5899" s="4">
        <v>1425.02</v>
      </c>
    </row>
    <row r="5900" spans="1:2">
      <c r="A5900" s="3">
        <v>44853</v>
      </c>
      <c r="B5900" s="4">
        <v>1434.88</v>
      </c>
    </row>
    <row r="5901" spans="1:2">
      <c r="A5901" s="3">
        <v>44854</v>
      </c>
      <c r="B5901" s="4">
        <v>1430.2</v>
      </c>
    </row>
    <row r="5902" spans="1:2">
      <c r="A5902" s="3">
        <v>44855</v>
      </c>
      <c r="B5902" s="4">
        <v>1428.32</v>
      </c>
    </row>
    <row r="5903" spans="1:2">
      <c r="A5903" s="3">
        <v>44858</v>
      </c>
      <c r="B5903" s="4">
        <v>1444.63</v>
      </c>
    </row>
    <row r="5904" spans="1:2">
      <c r="A5904" s="3">
        <v>44859</v>
      </c>
      <c r="B5904" s="4">
        <v>1426.92</v>
      </c>
    </row>
    <row r="5905" spans="1:2">
      <c r="A5905" s="3">
        <v>44860</v>
      </c>
      <c r="B5905" s="4">
        <v>1412.52</v>
      </c>
    </row>
    <row r="5906" spans="1:2">
      <c r="A5906" s="3">
        <v>44861</v>
      </c>
      <c r="B5906" s="4">
        <v>1421.23</v>
      </c>
    </row>
    <row r="5907" spans="1:2">
      <c r="A5907" s="3">
        <v>44862</v>
      </c>
      <c r="B5907" s="4">
        <v>1421.66</v>
      </c>
    </row>
    <row r="5908" spans="1:2">
      <c r="A5908" s="3">
        <v>44865</v>
      </c>
      <c r="B5908" s="4">
        <v>1425.83</v>
      </c>
    </row>
    <row r="5909" spans="1:2">
      <c r="A5909" s="3">
        <v>44866</v>
      </c>
      <c r="B5909" s="4">
        <v>1416.73</v>
      </c>
    </row>
    <row r="5910" spans="1:2">
      <c r="A5910" s="3">
        <v>44867</v>
      </c>
      <c r="B5910" s="4">
        <v>1412.45</v>
      </c>
    </row>
    <row r="5911" spans="1:2">
      <c r="A5911" s="3">
        <v>44868</v>
      </c>
      <c r="B5911" s="4">
        <v>1423.7</v>
      </c>
    </row>
    <row r="5912" spans="1:2">
      <c r="A5912" s="3">
        <v>44869</v>
      </c>
      <c r="B5912" s="4">
        <v>1403.29</v>
      </c>
    </row>
    <row r="5913" spans="1:2">
      <c r="A5913" s="3">
        <v>44872</v>
      </c>
      <c r="B5913" s="4">
        <v>1392.44</v>
      </c>
    </row>
    <row r="5914" spans="1:2">
      <c r="A5914" s="3">
        <v>44873</v>
      </c>
      <c r="B5914" s="4">
        <v>1375.03</v>
      </c>
    </row>
    <row r="5915" spans="1:2">
      <c r="A5915" s="3">
        <v>44874</v>
      </c>
      <c r="B5915" s="4">
        <v>1371.13</v>
      </c>
    </row>
    <row r="5916" spans="1:2">
      <c r="A5916" s="3">
        <v>44875</v>
      </c>
      <c r="B5916" s="4">
        <v>1349.82</v>
      </c>
    </row>
    <row r="5917" spans="1:2">
      <c r="A5917" s="3">
        <v>44876</v>
      </c>
      <c r="B5917" s="4">
        <v>1313.69</v>
      </c>
    </row>
    <row r="5918" spans="1:2">
      <c r="A5918" s="3">
        <v>44879</v>
      </c>
      <c r="B5918" s="4">
        <v>1323.87</v>
      </c>
    </row>
    <row r="5919" spans="1:2">
      <c r="A5919" s="3">
        <v>44880</v>
      </c>
      <c r="B5919" s="4">
        <v>1316.21</v>
      </c>
    </row>
    <row r="5920" spans="1:2">
      <c r="A5920" s="3">
        <v>44881</v>
      </c>
      <c r="B5920" s="4">
        <v>1336.65</v>
      </c>
    </row>
    <row r="5921" spans="1:2">
      <c r="A5921" s="3">
        <v>44882</v>
      </c>
      <c r="B5921" s="4">
        <v>1342.65</v>
      </c>
    </row>
    <row r="5922" spans="1:2">
      <c r="A5922" s="3">
        <v>44883</v>
      </c>
      <c r="B5922" s="4">
        <v>1339.71</v>
      </c>
    </row>
    <row r="5923" spans="1:2">
      <c r="A5923" s="3">
        <v>44886</v>
      </c>
      <c r="B5923" s="4">
        <v>1359.3</v>
      </c>
    </row>
    <row r="5924" spans="1:2">
      <c r="A5924" s="3">
        <v>44887</v>
      </c>
      <c r="B5924" s="4">
        <v>1352.65</v>
      </c>
    </row>
    <row r="5925" spans="1:2">
      <c r="A5925" s="3">
        <v>44888</v>
      </c>
      <c r="B5925" s="4">
        <v>1336.85</v>
      </c>
    </row>
    <row r="5926" spans="1:2">
      <c r="A5926" s="3">
        <v>44889</v>
      </c>
      <c r="B5926" s="4">
        <v>1326.69</v>
      </c>
    </row>
    <row r="5927" spans="1:2">
      <c r="A5927" s="3">
        <v>44890</v>
      </c>
      <c r="B5927" s="4">
        <v>1334.48</v>
      </c>
    </row>
    <row r="5928" spans="1:2">
      <c r="A5928" s="3">
        <v>44893</v>
      </c>
      <c r="B5928" s="4">
        <v>1339.75</v>
      </c>
    </row>
    <row r="5929" spans="1:2">
      <c r="A5929" s="3">
        <v>44894</v>
      </c>
      <c r="B5929" s="4">
        <v>1325.36</v>
      </c>
    </row>
    <row r="5930" spans="1:2">
      <c r="A5930" s="3">
        <v>44895</v>
      </c>
      <c r="B5930" s="4">
        <v>1301.6500000000001</v>
      </c>
    </row>
    <row r="5931" spans="1:2">
      <c r="A5931" s="3">
        <v>44896</v>
      </c>
      <c r="B5931" s="4">
        <v>1304.23</v>
      </c>
    </row>
    <row r="5932" spans="1:2">
      <c r="A5932" s="3">
        <v>44897</v>
      </c>
      <c r="B5932" s="4">
        <v>1297.8900000000001</v>
      </c>
    </row>
    <row r="5933" spans="1:2">
      <c r="A5933" s="3">
        <v>44900</v>
      </c>
      <c r="B5933" s="4">
        <v>1305.49</v>
      </c>
    </row>
    <row r="5934" spans="1:2">
      <c r="A5934" s="3">
        <v>44901</v>
      </c>
      <c r="B5934" s="4">
        <v>1319.79</v>
      </c>
    </row>
    <row r="5935" spans="1:2">
      <c r="A5935" s="3">
        <v>44902</v>
      </c>
      <c r="B5935" s="4">
        <v>1314.38</v>
      </c>
    </row>
    <row r="5936" spans="1:2">
      <c r="A5936" s="3">
        <v>44903</v>
      </c>
      <c r="B5936" s="4">
        <v>1315.83</v>
      </c>
    </row>
    <row r="5937" spans="1:2">
      <c r="A5937" s="3">
        <v>44904</v>
      </c>
      <c r="B5937" s="4">
        <v>1303.8699999999999</v>
      </c>
    </row>
    <row r="5938" spans="1:2">
      <c r="A5938" s="3">
        <v>44907</v>
      </c>
      <c r="B5938" s="4">
        <v>1306.08</v>
      </c>
    </row>
    <row r="5939" spans="1:2">
      <c r="A5939" s="3">
        <v>44908</v>
      </c>
      <c r="B5939" s="4">
        <v>1289.1300000000001</v>
      </c>
    </row>
    <row r="5940" spans="1:2">
      <c r="A5940" s="3">
        <v>44909</v>
      </c>
      <c r="B5940" s="4">
        <v>1295.42</v>
      </c>
    </row>
    <row r="5941" spans="1:2">
      <c r="A5941" s="3">
        <v>44910</v>
      </c>
      <c r="B5941" s="4">
        <v>1318.51</v>
      </c>
    </row>
    <row r="5942" spans="1:2">
      <c r="A5942" s="3">
        <v>44911</v>
      </c>
      <c r="B5942" s="4">
        <v>1309.47</v>
      </c>
    </row>
    <row r="5943" spans="1:2">
      <c r="A5943" s="3">
        <v>44914</v>
      </c>
      <c r="B5943" s="4">
        <v>1301.29</v>
      </c>
    </row>
    <row r="5944" spans="1:2">
      <c r="A5944" s="3">
        <v>44915</v>
      </c>
      <c r="B5944" s="4">
        <v>1283.71</v>
      </c>
    </row>
    <row r="5945" spans="1:2">
      <c r="A5945" s="3">
        <v>44916</v>
      </c>
      <c r="B5945" s="4">
        <v>1279.21</v>
      </c>
    </row>
    <row r="5946" spans="1:2">
      <c r="A5946" s="3">
        <v>44917</v>
      </c>
      <c r="B5946" s="4">
        <v>1291.6400000000001</v>
      </c>
    </row>
    <row r="5947" spans="1:2">
      <c r="A5947" s="3">
        <v>44918</v>
      </c>
      <c r="B5947" s="4">
        <v>1279.55</v>
      </c>
    </row>
    <row r="5948" spans="1:2">
      <c r="A5948" s="3">
        <v>44921</v>
      </c>
      <c r="B5948" s="4">
        <v>1273.9100000000001</v>
      </c>
    </row>
    <row r="5949" spans="1:2">
      <c r="A5949" s="3">
        <v>44922</v>
      </c>
      <c r="B5949" s="4">
        <v>1271.79</v>
      </c>
    </row>
    <row r="5950" spans="1:2">
      <c r="A5950" s="3">
        <v>44923</v>
      </c>
      <c r="B5950" s="4">
        <v>1274.3699999999999</v>
      </c>
    </row>
    <row r="5951" spans="1:2">
      <c r="A5951" s="3">
        <v>44924</v>
      </c>
      <c r="B5951" s="4">
        <v>1260.8499999999999</v>
      </c>
    </row>
    <row r="5952" spans="1:2">
      <c r="A5952" s="3">
        <v>44925</v>
      </c>
      <c r="B5952" s="4">
        <v>1260.92</v>
      </c>
    </row>
    <row r="5953" spans="1:2">
      <c r="A5953" s="3">
        <v>44928</v>
      </c>
      <c r="B5953" s="4">
        <v>1269.03</v>
      </c>
    </row>
    <row r="5954" spans="1:2">
      <c r="A5954" s="3">
        <v>44929</v>
      </c>
      <c r="B5954" s="4">
        <v>1279.0999999999999</v>
      </c>
    </row>
    <row r="5955" spans="1:2">
      <c r="A5955" s="3">
        <v>44930</v>
      </c>
      <c r="B5955" s="4">
        <v>1270.98</v>
      </c>
    </row>
    <row r="5956" spans="1:2">
      <c r="A5956" s="3">
        <v>44931</v>
      </c>
      <c r="B5956" s="4">
        <v>1274.26</v>
      </c>
    </row>
    <row r="5957" spans="1:2">
      <c r="A5957" s="3">
        <v>44932</v>
      </c>
      <c r="B5957" s="4">
        <v>1253.5</v>
      </c>
    </row>
    <row r="5958" spans="1:2">
      <c r="A5958" s="3">
        <v>44935</v>
      </c>
      <c r="B5958" s="4">
        <v>1239.28</v>
      </c>
    </row>
    <row r="5959" spans="1:2">
      <c r="A5959" s="3">
        <v>44936</v>
      </c>
      <c r="B5959" s="4">
        <v>1240.8</v>
      </c>
    </row>
    <row r="5960" spans="1:2">
      <c r="A5960" s="3">
        <v>44937</v>
      </c>
      <c r="B5960" s="4">
        <v>1242.5</v>
      </c>
    </row>
    <row r="5961" spans="1:2">
      <c r="A5961" s="3">
        <v>44938</v>
      </c>
      <c r="B5961" s="4">
        <v>1239.1199999999999</v>
      </c>
    </row>
    <row r="5962" spans="1:2">
      <c r="A5962" s="3">
        <v>44939</v>
      </c>
      <c r="B5962" s="4">
        <v>1237.26</v>
      </c>
    </row>
    <row r="5963" spans="1:2">
      <c r="A5963" s="3">
        <v>44942</v>
      </c>
      <c r="B5963" s="4">
        <v>1241.6099999999999</v>
      </c>
    </row>
    <row r="5964" spans="1:2">
      <c r="A5964" s="3">
        <v>44943</v>
      </c>
      <c r="B5964" s="4">
        <v>1237.3399999999999</v>
      </c>
    </row>
    <row r="5965" spans="1:2">
      <c r="A5965" s="3">
        <v>44944</v>
      </c>
      <c r="B5965" s="4">
        <v>1237.69</v>
      </c>
    </row>
    <row r="5966" spans="1:2">
      <c r="A5966" s="3">
        <v>44945</v>
      </c>
      <c r="B5966" s="4">
        <v>1232.21</v>
      </c>
    </row>
    <row r="5967" spans="1:2">
      <c r="A5967" s="3">
        <v>44946</v>
      </c>
      <c r="B5967" s="4">
        <v>1228.8599999999999</v>
      </c>
    </row>
    <row r="5968" spans="1:2">
      <c r="A5968" s="3">
        <v>44949</v>
      </c>
      <c r="B5968" s="4">
        <v>1229.97</v>
      </c>
    </row>
    <row r="5969" spans="1:2">
      <c r="A5969" s="3">
        <v>44950</v>
      </c>
      <c r="B5969" s="4">
        <v>1232.57</v>
      </c>
    </row>
    <row r="5970" spans="1:2">
      <c r="A5970" s="3">
        <v>44951</v>
      </c>
      <c r="B5970" s="4">
        <v>1232.57</v>
      </c>
    </row>
    <row r="5971" spans="1:2">
      <c r="A5971" s="3">
        <v>44952</v>
      </c>
      <c r="B5971" s="4">
        <v>1231.8399999999999</v>
      </c>
    </row>
    <row r="5972" spans="1:2">
      <c r="A5972" s="3">
        <v>44953</v>
      </c>
      <c r="B5972" s="4">
        <v>1229.6199999999999</v>
      </c>
    </row>
    <row r="5973" spans="1:2">
      <c r="A5973" s="3">
        <v>44956</v>
      </c>
      <c r="B5973" s="4">
        <v>1231.46</v>
      </c>
    </row>
    <row r="5974" spans="1:2">
      <c r="A5974" s="3">
        <v>44957</v>
      </c>
      <c r="B5974" s="4">
        <v>1233.3</v>
      </c>
    </row>
    <row r="5975" spans="1:2">
      <c r="A5975" s="3">
        <v>44958</v>
      </c>
      <c r="B5975" s="4">
        <v>1222.28</v>
      </c>
    </row>
    <row r="5976" spans="1:2">
      <c r="A5976" s="3">
        <v>44959</v>
      </c>
      <c r="B5976" s="4">
        <v>1224.78</v>
      </c>
    </row>
    <row r="5977" spans="1:2">
      <c r="A5977" s="3">
        <v>44960</v>
      </c>
      <c r="B5977" s="4">
        <v>1247.46</v>
      </c>
    </row>
    <row r="5978" spans="1:2">
      <c r="A5978" s="3">
        <v>44963</v>
      </c>
      <c r="B5978" s="4">
        <v>1260.25</v>
      </c>
    </row>
    <row r="5979" spans="1:2">
      <c r="A5979" s="3">
        <v>44964</v>
      </c>
      <c r="B5979" s="4">
        <v>1255.68</v>
      </c>
    </row>
    <row r="5980" spans="1:2">
      <c r="A5980" s="3">
        <v>44965</v>
      </c>
      <c r="B5980" s="4">
        <v>1260.46</v>
      </c>
    </row>
    <row r="5981" spans="1:2">
      <c r="A5981" s="3">
        <v>44966</v>
      </c>
      <c r="B5981" s="4">
        <v>1264.44</v>
      </c>
    </row>
    <row r="5982" spans="1:2">
      <c r="A5982" s="3">
        <v>44967</v>
      </c>
      <c r="B5982" s="4">
        <v>1267.45</v>
      </c>
    </row>
    <row r="5983" spans="1:2">
      <c r="A5983" s="3">
        <v>44970</v>
      </c>
      <c r="B5983" s="4">
        <v>1272.8900000000001</v>
      </c>
    </row>
    <row r="5984" spans="1:2">
      <c r="A5984" s="3">
        <v>44971</v>
      </c>
      <c r="B5984" s="4">
        <v>1272.53</v>
      </c>
    </row>
    <row r="5985" spans="1:2">
      <c r="A5985" s="3">
        <v>44972</v>
      </c>
      <c r="B5985" s="4">
        <v>1283.54</v>
      </c>
    </row>
    <row r="5986" spans="1:2">
      <c r="A5986" s="3">
        <v>44973</v>
      </c>
      <c r="B5986" s="4">
        <v>1289.51</v>
      </c>
    </row>
    <row r="5987" spans="1:2">
      <c r="A5987" s="3">
        <v>44974</v>
      </c>
      <c r="B5987" s="4">
        <v>1295.8699999999999</v>
      </c>
    </row>
    <row r="5988" spans="1:2">
      <c r="A5988" s="3">
        <v>44977</v>
      </c>
      <c r="B5988" s="4">
        <v>1296.04</v>
      </c>
    </row>
    <row r="5989" spans="1:2">
      <c r="A5989" s="3">
        <v>44978</v>
      </c>
      <c r="B5989" s="4">
        <v>1305.75</v>
      </c>
    </row>
    <row r="5990" spans="1:2">
      <c r="A5990" s="3">
        <v>44979</v>
      </c>
      <c r="B5990" s="4">
        <v>1302.6500000000001</v>
      </c>
    </row>
    <row r="5991" spans="1:2">
      <c r="A5991" s="3">
        <v>44980</v>
      </c>
      <c r="B5991" s="4">
        <v>1297.8900000000001</v>
      </c>
    </row>
    <row r="5992" spans="1:2">
      <c r="A5992" s="3">
        <v>44981</v>
      </c>
      <c r="B5992" s="4">
        <v>1314.45</v>
      </c>
    </row>
    <row r="5993" spans="1:2">
      <c r="A5993" s="3">
        <v>44984</v>
      </c>
      <c r="B5993" s="4">
        <v>1317.4</v>
      </c>
    </row>
    <row r="5994" spans="1:2">
      <c r="A5994" s="3">
        <v>44985</v>
      </c>
      <c r="B5994" s="4">
        <v>1323.02</v>
      </c>
    </row>
    <row r="5995" spans="1:2">
      <c r="A5995" s="3">
        <v>44986</v>
      </c>
      <c r="B5995" s="4">
        <v>1305.4100000000001</v>
      </c>
    </row>
    <row r="5996" spans="1:2">
      <c r="A5996" s="3">
        <v>44987</v>
      </c>
      <c r="B5996" s="4">
        <v>1310.97</v>
      </c>
    </row>
    <row r="5997" spans="1:2">
      <c r="A5997" s="3">
        <v>44988</v>
      </c>
      <c r="B5997" s="4">
        <v>1295.73</v>
      </c>
    </row>
    <row r="5998" spans="1:2">
      <c r="A5998" s="3">
        <v>44991</v>
      </c>
      <c r="B5998" s="4">
        <v>1296.8599999999999</v>
      </c>
    </row>
    <row r="5999" spans="1:2">
      <c r="A5999" s="3">
        <v>44992</v>
      </c>
      <c r="B5999" s="4">
        <v>1318.29</v>
      </c>
    </row>
    <row r="6000" spans="1:2">
      <c r="A6000" s="3">
        <v>44993</v>
      </c>
      <c r="B6000" s="4">
        <v>1316.38</v>
      </c>
    </row>
    <row r="6001" spans="1:2">
      <c r="A6001" s="3">
        <v>44994</v>
      </c>
      <c r="B6001" s="4">
        <v>1325.51</v>
      </c>
    </row>
    <row r="6002" spans="1:2">
      <c r="A6002" s="3">
        <v>44995</v>
      </c>
      <c r="B6002" s="4">
        <v>1320.24</v>
      </c>
    </row>
    <row r="6003" spans="1:2">
      <c r="A6003" s="3">
        <v>44998</v>
      </c>
      <c r="B6003" s="4">
        <v>1296.58</v>
      </c>
    </row>
    <row r="6004" spans="1:2">
      <c r="A6004" s="3">
        <v>44999</v>
      </c>
      <c r="B6004" s="4">
        <v>1304.55</v>
      </c>
    </row>
    <row r="6005" spans="1:2">
      <c r="A6005" s="3">
        <v>45000</v>
      </c>
      <c r="B6005" s="4">
        <v>1313.04</v>
      </c>
    </row>
    <row r="6006" spans="1:2">
      <c r="A6006" s="3">
        <v>45001</v>
      </c>
      <c r="B6006" s="4">
        <v>1300.8499999999999</v>
      </c>
    </row>
    <row r="6007" spans="1:2">
      <c r="A6007" s="3">
        <v>45002</v>
      </c>
      <c r="B6007" s="4">
        <v>1308.3699999999999</v>
      </c>
    </row>
    <row r="6008" spans="1:2">
      <c r="A6008" s="3">
        <v>45005</v>
      </c>
      <c r="B6008" s="4">
        <v>1304.3599999999999</v>
      </c>
    </row>
    <row r="6009" spans="1:2">
      <c r="A6009" s="3">
        <v>45006</v>
      </c>
      <c r="B6009" s="4">
        <v>1303.42</v>
      </c>
    </row>
    <row r="6010" spans="1:2">
      <c r="A6010" s="3">
        <v>45007</v>
      </c>
      <c r="B6010" s="4">
        <v>1297.8499999999999</v>
      </c>
    </row>
    <row r="6011" spans="1:2">
      <c r="A6011" s="3">
        <v>45008</v>
      </c>
      <c r="B6011" s="4">
        <v>1286.23</v>
      </c>
    </row>
    <row r="6012" spans="1:2">
      <c r="A6012" s="3">
        <v>45009</v>
      </c>
      <c r="B6012" s="4">
        <v>1294.6600000000001</v>
      </c>
    </row>
    <row r="6013" spans="1:2">
      <c r="A6013" s="3">
        <v>45012</v>
      </c>
      <c r="B6013" s="4">
        <v>1297.92</v>
      </c>
    </row>
    <row r="6014" spans="1:2">
      <c r="A6014" s="3">
        <v>45013</v>
      </c>
      <c r="B6014" s="4">
        <v>1297.04</v>
      </c>
    </row>
    <row r="6015" spans="1:2">
      <c r="A6015" s="3">
        <v>45014</v>
      </c>
      <c r="B6015" s="4">
        <v>1305.3</v>
      </c>
    </row>
    <row r="6016" spans="1:2">
      <c r="A6016" s="3">
        <v>45015</v>
      </c>
      <c r="B6016" s="4">
        <v>1296.55</v>
      </c>
    </row>
    <row r="6017" spans="1:2">
      <c r="A6017" s="3">
        <v>45016</v>
      </c>
      <c r="B6017" s="4">
        <v>1306.1099999999999</v>
      </c>
    </row>
    <row r="6018" spans="1:2">
      <c r="A6018" s="3">
        <v>45019</v>
      </c>
      <c r="B6018" s="4">
        <v>1308.58</v>
      </c>
    </row>
    <row r="6019" spans="1:2">
      <c r="A6019" s="3">
        <v>45020</v>
      </c>
      <c r="B6019" s="4">
        <v>1310.08</v>
      </c>
    </row>
    <row r="6020" spans="1:2">
      <c r="A6020" s="3">
        <v>45021</v>
      </c>
      <c r="B6020" s="4">
        <v>1317.05</v>
      </c>
    </row>
    <row r="6021" spans="1:2">
      <c r="A6021" s="3">
        <v>45022</v>
      </c>
      <c r="B6021" s="4">
        <v>1318.5</v>
      </c>
    </row>
    <row r="6022" spans="1:2">
      <c r="A6022" s="3">
        <v>45023</v>
      </c>
      <c r="B6022" s="4">
        <v>1316.3</v>
      </c>
    </row>
    <row r="6023" spans="1:2">
      <c r="A6023" s="3">
        <v>45026</v>
      </c>
      <c r="B6023" s="4">
        <v>1320.62</v>
      </c>
    </row>
    <row r="6024" spans="1:2">
      <c r="A6024" s="3">
        <v>45027</v>
      </c>
      <c r="B6024" s="4">
        <v>1322.03</v>
      </c>
    </row>
    <row r="6025" spans="1:2">
      <c r="A6025" s="3">
        <v>45028</v>
      </c>
      <c r="B6025" s="4">
        <v>1322.63</v>
      </c>
    </row>
    <row r="6026" spans="1:2">
      <c r="A6026" s="3">
        <v>45029</v>
      </c>
      <c r="B6026" s="4">
        <v>1301.1400000000001</v>
      </c>
    </row>
    <row r="6027" spans="1:2">
      <c r="A6027" s="3">
        <v>45030</v>
      </c>
      <c r="B6027" s="4">
        <v>1304</v>
      </c>
    </row>
    <row r="6028" spans="1:2">
      <c r="A6028" s="3">
        <v>45033</v>
      </c>
      <c r="B6028" s="4">
        <v>1319.11</v>
      </c>
    </row>
    <row r="6029" spans="1:2">
      <c r="A6029" s="3">
        <v>45034</v>
      </c>
      <c r="B6029" s="4">
        <v>1319.13</v>
      </c>
    </row>
    <row r="6030" spans="1:2">
      <c r="A6030" s="3">
        <v>45035</v>
      </c>
      <c r="B6030" s="4">
        <v>1329.71</v>
      </c>
    </row>
    <row r="6031" spans="1:2">
      <c r="A6031" s="3">
        <v>45036</v>
      </c>
      <c r="B6031" s="4">
        <v>1323.61</v>
      </c>
    </row>
    <row r="6032" spans="1:2">
      <c r="A6032" s="3">
        <v>45037</v>
      </c>
      <c r="B6032" s="4">
        <v>1329.36</v>
      </c>
    </row>
    <row r="6033" spans="1:2">
      <c r="A6033" s="3">
        <v>45040</v>
      </c>
      <c r="B6033" s="4">
        <v>1332.51</v>
      </c>
    </row>
    <row r="6034" spans="1:2">
      <c r="A6034" s="3">
        <v>45041</v>
      </c>
      <c r="B6034" s="4">
        <v>1340.89</v>
      </c>
    </row>
    <row r="6035" spans="1:2">
      <c r="A6035" s="3">
        <v>45042</v>
      </c>
      <c r="B6035" s="4">
        <v>1338.01</v>
      </c>
    </row>
    <row r="6036" spans="1:2">
      <c r="A6036" s="3">
        <v>45043</v>
      </c>
      <c r="B6036" s="4">
        <v>1339.17</v>
      </c>
    </row>
    <row r="6037" spans="1:2">
      <c r="A6037" s="3">
        <v>45044</v>
      </c>
      <c r="B6037" s="4">
        <v>1337.78</v>
      </c>
    </row>
    <row r="6038" spans="1:2">
      <c r="A6038" s="3">
        <v>45047</v>
      </c>
      <c r="B6038" s="4">
        <v>1342.18</v>
      </c>
    </row>
    <row r="6039" spans="1:2">
      <c r="A6039" s="3">
        <v>45048</v>
      </c>
      <c r="B6039" s="4">
        <v>1342.21</v>
      </c>
    </row>
    <row r="6040" spans="1:2">
      <c r="A6040" s="3">
        <v>45049</v>
      </c>
      <c r="B6040" s="4">
        <v>1334.44</v>
      </c>
    </row>
    <row r="6041" spans="1:2">
      <c r="A6041" s="3">
        <v>45050</v>
      </c>
      <c r="B6041" s="4">
        <v>1322.95</v>
      </c>
    </row>
    <row r="6042" spans="1:2">
      <c r="A6042" s="3">
        <v>45051</v>
      </c>
      <c r="B6042" s="4">
        <v>1317.47</v>
      </c>
    </row>
    <row r="6043" spans="1:2">
      <c r="A6043" s="3">
        <v>45054</v>
      </c>
      <c r="B6043" s="4">
        <v>1321.49</v>
      </c>
    </row>
    <row r="6044" spans="1:2">
      <c r="A6044" s="3">
        <v>45055</v>
      </c>
      <c r="B6044" s="4">
        <v>1325.92</v>
      </c>
    </row>
    <row r="6045" spans="1:2">
      <c r="A6045" s="3">
        <v>45056</v>
      </c>
      <c r="B6045" s="4">
        <v>1317.76</v>
      </c>
    </row>
    <row r="6046" spans="1:2">
      <c r="A6046" s="3">
        <v>45057</v>
      </c>
      <c r="B6046" s="4">
        <v>1330.83</v>
      </c>
    </row>
    <row r="6047" spans="1:2">
      <c r="A6047" s="3">
        <v>45058</v>
      </c>
      <c r="B6047" s="4">
        <v>1342.41</v>
      </c>
    </row>
    <row r="6048" spans="1:2">
      <c r="A6048" s="3">
        <v>45061</v>
      </c>
      <c r="B6048" s="4">
        <v>1335.36</v>
      </c>
    </row>
    <row r="6049" spans="1:2">
      <c r="A6049" s="3">
        <v>45062</v>
      </c>
      <c r="B6049" s="4">
        <v>1342.35</v>
      </c>
    </row>
    <row r="6050" spans="1:2">
      <c r="A6050" s="3">
        <v>45063</v>
      </c>
      <c r="B6050" s="4">
        <v>1334.23</v>
      </c>
    </row>
    <row r="6051" spans="1:2">
      <c r="A6051" s="3">
        <v>45064</v>
      </c>
      <c r="B6051" s="4">
        <v>1334.43</v>
      </c>
    </row>
    <row r="6052" spans="1:2">
      <c r="A6052" s="3">
        <v>45065</v>
      </c>
      <c r="B6052" s="4">
        <v>1325.2</v>
      </c>
    </row>
    <row r="6053" spans="1:2">
      <c r="A6053" s="3">
        <v>45068</v>
      </c>
      <c r="B6053" s="4">
        <v>1313.75</v>
      </c>
    </row>
    <row r="6054" spans="1:2">
      <c r="A6054" s="3">
        <v>45069</v>
      </c>
      <c r="B6054" s="4">
        <v>1319.21</v>
      </c>
    </row>
    <row r="6055" spans="1:2">
      <c r="A6055" s="3">
        <v>45070</v>
      </c>
      <c r="B6055" s="4">
        <v>1318.43</v>
      </c>
    </row>
    <row r="6056" spans="1:2">
      <c r="A6056" s="3">
        <v>45071</v>
      </c>
      <c r="B6056" s="4">
        <v>1331.19</v>
      </c>
    </row>
    <row r="6057" spans="1:2">
      <c r="A6057" s="3">
        <v>45072</v>
      </c>
      <c r="B6057" s="4">
        <v>1322.66</v>
      </c>
    </row>
    <row r="6058" spans="1:2">
      <c r="A6058" s="3">
        <v>45075</v>
      </c>
      <c r="B6058" s="4">
        <v>1324.07</v>
      </c>
    </row>
    <row r="6059" spans="1:2">
      <c r="A6059" s="3">
        <v>45076</v>
      </c>
      <c r="B6059" s="4">
        <v>1319.76</v>
      </c>
    </row>
    <row r="6060" spans="1:2">
      <c r="A6060" s="3">
        <v>45077</v>
      </c>
      <c r="B6060" s="4">
        <v>1320.56</v>
      </c>
    </row>
    <row r="6061" spans="1:2">
      <c r="A6061" s="3">
        <v>45078</v>
      </c>
      <c r="B6061" s="4">
        <v>1312.64</v>
      </c>
    </row>
    <row r="6062" spans="1:2">
      <c r="A6062" s="3">
        <v>45079</v>
      </c>
      <c r="B6062" s="4">
        <v>1305.92</v>
      </c>
    </row>
    <row r="6063" spans="1:2">
      <c r="A6063" s="3">
        <v>45082</v>
      </c>
      <c r="B6063" s="4">
        <v>1300.78</v>
      </c>
    </row>
    <row r="6064" spans="1:2">
      <c r="A6064" s="3">
        <v>45083</v>
      </c>
      <c r="B6064" s="4">
        <v>1299.19</v>
      </c>
    </row>
    <row r="6065" spans="1:2">
      <c r="A6065" s="3">
        <v>45084</v>
      </c>
      <c r="B6065" s="4">
        <v>1308.26</v>
      </c>
    </row>
    <row r="6066" spans="1:2">
      <c r="A6066" s="3">
        <v>45085</v>
      </c>
      <c r="B6066" s="4">
        <v>1295.47</v>
      </c>
    </row>
    <row r="6067" spans="1:2">
      <c r="A6067" s="3">
        <v>45086</v>
      </c>
      <c r="B6067" s="4">
        <v>1287.32</v>
      </c>
    </row>
    <row r="6068" spans="1:2">
      <c r="A6068" s="3">
        <v>45089</v>
      </c>
      <c r="B6068" s="4">
        <v>1284.54</v>
      </c>
    </row>
    <row r="6069" spans="1:2">
      <c r="A6069" s="3">
        <v>45090</v>
      </c>
      <c r="B6069" s="4">
        <v>1267.7</v>
      </c>
    </row>
    <row r="6070" spans="1:2">
      <c r="A6070" s="3">
        <v>45091</v>
      </c>
      <c r="B6070" s="4">
        <v>1274.01</v>
      </c>
    </row>
    <row r="6071" spans="1:2">
      <c r="A6071" s="3">
        <v>45092</v>
      </c>
      <c r="B6071" s="4">
        <v>1270</v>
      </c>
    </row>
    <row r="6072" spans="1:2">
      <c r="A6072" s="3">
        <v>45093</v>
      </c>
      <c r="B6072" s="4">
        <v>1276.1500000000001</v>
      </c>
    </row>
    <row r="6073" spans="1:2">
      <c r="A6073" s="3">
        <v>45096</v>
      </c>
      <c r="B6073" s="4">
        <v>1282.26</v>
      </c>
    </row>
    <row r="6074" spans="1:2">
      <c r="A6074" s="3">
        <v>45097</v>
      </c>
      <c r="B6074" s="4">
        <v>1288.23</v>
      </c>
    </row>
    <row r="6075" spans="1:2">
      <c r="A6075" s="3">
        <v>45098</v>
      </c>
      <c r="B6075" s="4">
        <v>1288.33</v>
      </c>
    </row>
    <row r="6076" spans="1:2">
      <c r="A6076" s="3">
        <v>45099</v>
      </c>
      <c r="B6076" s="4">
        <v>1298.18</v>
      </c>
    </row>
    <row r="6077" spans="1:2">
      <c r="A6077" s="3">
        <v>45100</v>
      </c>
      <c r="B6077" s="4">
        <v>1308.4100000000001</v>
      </c>
    </row>
    <row r="6078" spans="1:2">
      <c r="A6078" s="3">
        <v>45103</v>
      </c>
      <c r="B6078" s="4">
        <v>1304.98</v>
      </c>
    </row>
    <row r="6079" spans="1:2">
      <c r="A6079" s="3">
        <v>45104</v>
      </c>
      <c r="B6079" s="4">
        <v>1299.18</v>
      </c>
    </row>
    <row r="6080" spans="1:2">
      <c r="A6080" s="3">
        <v>45105</v>
      </c>
      <c r="B6080" s="4">
        <v>1308.9000000000001</v>
      </c>
    </row>
    <row r="6081" spans="1:2">
      <c r="A6081" s="3">
        <v>45106</v>
      </c>
      <c r="B6081" s="4">
        <v>1322.21</v>
      </c>
    </row>
    <row r="6082" spans="1:2">
      <c r="A6082" s="3">
        <v>45107</v>
      </c>
      <c r="B6082" s="4">
        <v>1315.11</v>
      </c>
    </row>
    <row r="6083" spans="1:2">
      <c r="A6083" s="3">
        <v>45110</v>
      </c>
      <c r="B6083" s="4">
        <v>1304.2</v>
      </c>
    </row>
    <row r="6084" spans="1:2">
      <c r="A6084" s="3">
        <v>45111</v>
      </c>
      <c r="B6084" s="4">
        <v>1294.3499999999999</v>
      </c>
    </row>
    <row r="6085" spans="1:2">
      <c r="A6085" s="3">
        <v>45112</v>
      </c>
      <c r="B6085" s="4">
        <v>1303.5899999999999</v>
      </c>
    </row>
    <row r="6086" spans="1:2">
      <c r="A6086" s="3">
        <v>45113</v>
      </c>
      <c r="B6086" s="4">
        <v>1309.1099999999999</v>
      </c>
    </row>
    <row r="6087" spans="1:2">
      <c r="A6087" s="3">
        <v>45114</v>
      </c>
      <c r="B6087" s="4">
        <v>1297.9000000000001</v>
      </c>
    </row>
    <row r="6088" spans="1:2">
      <c r="A6088" s="3">
        <v>45117</v>
      </c>
      <c r="B6088" s="4">
        <v>1299.4000000000001</v>
      </c>
    </row>
    <row r="6089" spans="1:2">
      <c r="A6089" s="3">
        <v>45118</v>
      </c>
      <c r="B6089" s="4">
        <v>1291.47</v>
      </c>
    </row>
    <row r="6090" spans="1:2">
      <c r="A6090" s="3">
        <v>45119</v>
      </c>
      <c r="B6090" s="4">
        <v>1274.49</v>
      </c>
    </row>
    <row r="6091" spans="1:2">
      <c r="A6091" s="3">
        <v>45120</v>
      </c>
      <c r="B6091" s="4">
        <v>1266.73</v>
      </c>
    </row>
    <row r="6092" spans="1:2">
      <c r="A6092" s="3">
        <v>45121</v>
      </c>
      <c r="B6092" s="4">
        <v>1268.31</v>
      </c>
    </row>
    <row r="6093" spans="1:2">
      <c r="A6093" s="3">
        <v>45124</v>
      </c>
      <c r="B6093" s="4">
        <v>1263.17</v>
      </c>
    </row>
    <row r="6094" spans="1:2">
      <c r="A6094" s="3">
        <v>45125</v>
      </c>
      <c r="B6094" s="4">
        <v>1264.95</v>
      </c>
    </row>
    <row r="6095" spans="1:2">
      <c r="A6095" s="3">
        <v>45126</v>
      </c>
      <c r="B6095" s="4">
        <v>1266.94</v>
      </c>
    </row>
    <row r="6096" spans="1:2">
      <c r="A6096" s="3">
        <v>45127</v>
      </c>
      <c r="B6096" s="4">
        <v>1276.53</v>
      </c>
    </row>
    <row r="6097" spans="1:2">
      <c r="A6097" s="3">
        <v>45128</v>
      </c>
      <c r="B6097" s="4">
        <v>1286.19</v>
      </c>
    </row>
    <row r="6098" spans="1:2">
      <c r="A6098" s="3">
        <v>45131</v>
      </c>
      <c r="B6098" s="4">
        <v>1280.45</v>
      </c>
    </row>
    <row r="6099" spans="1:2">
      <c r="A6099" s="3">
        <v>45132</v>
      </c>
      <c r="B6099" s="4">
        <v>1276.18</v>
      </c>
    </row>
    <row r="6100" spans="1:2">
      <c r="A6100" s="3">
        <v>45133</v>
      </c>
      <c r="B6100" s="4">
        <v>1270.8</v>
      </c>
    </row>
    <row r="6101" spans="1:2">
      <c r="A6101" s="3">
        <v>45134</v>
      </c>
      <c r="B6101" s="4">
        <v>1283.78</v>
      </c>
    </row>
    <row r="6102" spans="1:2">
      <c r="A6102" s="3">
        <v>45135</v>
      </c>
      <c r="B6102" s="4">
        <v>1272.83</v>
      </c>
    </row>
    <row r="6103" spans="1:2">
      <c r="A6103" s="3">
        <v>45138</v>
      </c>
      <c r="B6103" s="4">
        <v>1277.8599999999999</v>
      </c>
    </row>
    <row r="6104" spans="1:2">
      <c r="A6104" s="3">
        <v>45139</v>
      </c>
      <c r="B6104" s="4">
        <v>1289</v>
      </c>
    </row>
    <row r="6105" spans="1:2">
      <c r="A6105" s="3">
        <v>45140</v>
      </c>
      <c r="B6105" s="4">
        <v>1298.93</v>
      </c>
    </row>
    <row r="6106" spans="1:2">
      <c r="A6106" s="3">
        <v>45141</v>
      </c>
      <c r="B6106" s="4">
        <v>1299.01</v>
      </c>
    </row>
    <row r="6107" spans="1:2">
      <c r="A6107" s="3">
        <v>45142</v>
      </c>
      <c r="B6107" s="4">
        <v>1304.08</v>
      </c>
    </row>
    <row r="6108" spans="1:2">
      <c r="A6108" s="3">
        <v>45145</v>
      </c>
      <c r="B6108" s="4">
        <v>1307.3</v>
      </c>
    </row>
    <row r="6109" spans="1:2">
      <c r="A6109" s="3">
        <v>45146</v>
      </c>
      <c r="B6109" s="4">
        <v>1316.72</v>
      </c>
    </row>
    <row r="6110" spans="1:2">
      <c r="A6110" s="3">
        <v>45147</v>
      </c>
      <c r="B6110" s="4">
        <v>1313.08</v>
      </c>
    </row>
    <row r="6111" spans="1:2">
      <c r="A6111" s="3">
        <v>45148</v>
      </c>
      <c r="B6111" s="4">
        <v>1316.9</v>
      </c>
    </row>
    <row r="6112" spans="1:2">
      <c r="A6112" s="3">
        <v>45149</v>
      </c>
      <c r="B6112" s="4">
        <v>1330.3</v>
      </c>
    </row>
    <row r="6113" spans="1:2">
      <c r="A6113" s="3">
        <v>45152</v>
      </c>
      <c r="B6113" s="4">
        <v>1336.8</v>
      </c>
    </row>
    <row r="6114" spans="1:2">
      <c r="A6114" s="3">
        <v>45153</v>
      </c>
      <c r="B6114" s="4">
        <v>1336.42</v>
      </c>
    </row>
    <row r="6115" spans="1:2">
      <c r="A6115" s="3">
        <v>45154</v>
      </c>
      <c r="B6115" s="4">
        <v>1341.22</v>
      </c>
    </row>
    <row r="6116" spans="1:2">
      <c r="A6116" s="3">
        <v>45155</v>
      </c>
      <c r="B6116" s="4">
        <v>1339.27</v>
      </c>
    </row>
    <row r="6117" spans="1:2">
      <c r="A6117" s="3">
        <v>45156</v>
      </c>
      <c r="B6117" s="4">
        <v>1339.17</v>
      </c>
    </row>
    <row r="6118" spans="1:2">
      <c r="A6118" s="3">
        <v>45159</v>
      </c>
      <c r="B6118" s="4">
        <v>1339.15</v>
      </c>
    </row>
    <row r="6119" spans="1:2">
      <c r="A6119" s="3">
        <v>45160</v>
      </c>
      <c r="B6119" s="4">
        <v>1339.81</v>
      </c>
    </row>
    <row r="6120" spans="1:2">
      <c r="A6120" s="3">
        <v>45161</v>
      </c>
      <c r="B6120" s="4">
        <v>1326.42</v>
      </c>
    </row>
    <row r="6121" spans="1:2">
      <c r="A6121" s="3">
        <v>45162</v>
      </c>
      <c r="B6121" s="4">
        <v>1327.35</v>
      </c>
    </row>
    <row r="6122" spans="1:2">
      <c r="A6122" s="3">
        <v>45163</v>
      </c>
      <c r="B6122" s="4">
        <v>1323.53</v>
      </c>
    </row>
    <row r="6123" spans="1:2">
      <c r="A6123" s="3">
        <v>45166</v>
      </c>
      <c r="B6123" s="4">
        <v>1323.81</v>
      </c>
    </row>
    <row r="6124" spans="1:2">
      <c r="A6124" s="3">
        <v>45167</v>
      </c>
      <c r="B6124" s="4">
        <v>1318.06</v>
      </c>
    </row>
    <row r="6125" spans="1:2">
      <c r="A6125" s="3">
        <v>45168</v>
      </c>
      <c r="B6125" s="4">
        <v>1323.49</v>
      </c>
    </row>
    <row r="6126" spans="1:2">
      <c r="A6126" s="3">
        <v>45169</v>
      </c>
      <c r="B6126" s="4">
        <v>1325.14</v>
      </c>
    </row>
    <row r="6127" spans="1:2">
      <c r="A6127" s="3">
        <v>45170</v>
      </c>
      <c r="B6127" s="4">
        <v>1317.55</v>
      </c>
    </row>
    <row r="6128" spans="1:2">
      <c r="A6128" s="3">
        <v>45173</v>
      </c>
      <c r="B6128" s="4">
        <v>1317.21</v>
      </c>
    </row>
    <row r="6129" spans="1:2">
      <c r="A6129" s="3">
        <v>45174</v>
      </c>
      <c r="B6129" s="4">
        <v>1329.05</v>
      </c>
    </row>
    <row r="6130" spans="1:2">
      <c r="A6130" s="3">
        <v>45175</v>
      </c>
      <c r="B6130" s="4">
        <v>1333.58</v>
      </c>
    </row>
    <row r="6131" spans="1:2">
      <c r="A6131" s="3">
        <v>45176</v>
      </c>
      <c r="B6131" s="4">
        <v>1333.45</v>
      </c>
    </row>
    <row r="6132" spans="1:2">
      <c r="A6132" s="3">
        <v>45177</v>
      </c>
      <c r="B6132" s="4">
        <v>1334.96</v>
      </c>
    </row>
    <row r="6133" spans="1:2">
      <c r="A6133" s="3">
        <v>45180</v>
      </c>
      <c r="B6133" s="4">
        <v>1325.49</v>
      </c>
    </row>
    <row r="6134" spans="1:2">
      <c r="A6134" s="3">
        <v>45181</v>
      </c>
      <c r="B6134" s="4">
        <v>1326.15</v>
      </c>
    </row>
    <row r="6135" spans="1:2">
      <c r="A6135" s="3">
        <v>45182</v>
      </c>
      <c r="B6135" s="4">
        <v>1326.59</v>
      </c>
    </row>
    <row r="6136" spans="1:2">
      <c r="A6136" s="3">
        <v>45183</v>
      </c>
      <c r="B6136" s="4">
        <v>1329.52</v>
      </c>
    </row>
    <row r="6137" spans="1:2">
      <c r="A6137" s="3">
        <v>45184</v>
      </c>
      <c r="B6137" s="4">
        <v>1328.46</v>
      </c>
    </row>
    <row r="6138" spans="1:2">
      <c r="A6138" s="3">
        <v>45187</v>
      </c>
      <c r="B6138" s="4">
        <v>1323.57</v>
      </c>
    </row>
    <row r="6139" spans="1:2">
      <c r="A6139" s="3">
        <v>45188</v>
      </c>
      <c r="B6139" s="4">
        <v>1328.62</v>
      </c>
    </row>
    <row r="6140" spans="1:2">
      <c r="A6140" s="3">
        <v>45189</v>
      </c>
      <c r="B6140" s="4">
        <v>1332.92</v>
      </c>
    </row>
    <row r="6141" spans="1:2">
      <c r="A6141" s="3">
        <v>45190</v>
      </c>
      <c r="B6141" s="4">
        <v>1339</v>
      </c>
    </row>
    <row r="6142" spans="1:2">
      <c r="A6142" s="3">
        <v>45191</v>
      </c>
      <c r="B6142" s="4">
        <v>1334.03</v>
      </c>
    </row>
    <row r="6143" spans="1:2">
      <c r="A6143" s="3">
        <v>45194</v>
      </c>
      <c r="B6143" s="4">
        <v>1338.01</v>
      </c>
    </row>
    <row r="6144" spans="1:2">
      <c r="A6144" s="3">
        <v>45195</v>
      </c>
      <c r="B6144" s="4">
        <v>1352.93</v>
      </c>
    </row>
    <row r="6145" spans="1:2">
      <c r="A6145" s="3">
        <v>45196</v>
      </c>
      <c r="B6145" s="4">
        <v>1354.54</v>
      </c>
    </row>
    <row r="6146" spans="1:2">
      <c r="A6146" s="3">
        <v>45197</v>
      </c>
      <c r="B6146" s="4">
        <v>1349.56</v>
      </c>
    </row>
    <row r="6147" spans="1:2">
      <c r="A6147" s="3">
        <v>45198</v>
      </c>
      <c r="B6147" s="4">
        <v>1352.31</v>
      </c>
    </row>
    <row r="6148" spans="1:2">
      <c r="A6148" s="3">
        <v>45201</v>
      </c>
      <c r="B6148" s="4">
        <v>1355.84</v>
      </c>
    </row>
    <row r="6149" spans="1:2">
      <c r="A6149" s="3">
        <v>45202</v>
      </c>
      <c r="B6149" s="4">
        <v>1361.08</v>
      </c>
    </row>
    <row r="6150" spans="1:2">
      <c r="A6150" s="3">
        <v>45203</v>
      </c>
      <c r="B6150" s="4">
        <v>1351.62</v>
      </c>
    </row>
    <row r="6151" spans="1:2">
      <c r="A6151" s="3">
        <v>45204</v>
      </c>
      <c r="B6151" s="4">
        <v>1345.72</v>
      </c>
    </row>
    <row r="6152" spans="1:2">
      <c r="A6152" s="3">
        <v>45205</v>
      </c>
      <c r="B6152" s="4">
        <v>1344.61</v>
      </c>
    </row>
    <row r="6153" spans="1:2">
      <c r="A6153" s="3">
        <v>45208</v>
      </c>
      <c r="B6153" s="4">
        <v>1346.51</v>
      </c>
    </row>
    <row r="6154" spans="1:2">
      <c r="A6154" s="3">
        <v>45209</v>
      </c>
      <c r="B6154" s="4">
        <v>1341.33</v>
      </c>
    </row>
    <row r="6155" spans="1:2">
      <c r="A6155" s="3">
        <v>45210</v>
      </c>
      <c r="B6155" s="4">
        <v>1338.42</v>
      </c>
    </row>
    <row r="6156" spans="1:2">
      <c r="A6156" s="3">
        <v>45211</v>
      </c>
      <c r="B6156" s="4">
        <v>1348.96</v>
      </c>
    </row>
    <row r="6157" spans="1:2">
      <c r="A6157" s="3">
        <v>45212</v>
      </c>
      <c r="B6157" s="4">
        <v>1352.21</v>
      </c>
    </row>
    <row r="6158" spans="1:2">
      <c r="A6158" s="3">
        <v>45215</v>
      </c>
      <c r="B6158" s="4">
        <v>1347.91</v>
      </c>
    </row>
    <row r="6159" spans="1:2">
      <c r="A6159" s="3">
        <v>45216</v>
      </c>
      <c r="B6159" s="4">
        <v>1352.98</v>
      </c>
    </row>
    <row r="6160" spans="1:2">
      <c r="A6160" s="3">
        <v>45217</v>
      </c>
      <c r="B6160" s="4">
        <v>1353.86</v>
      </c>
    </row>
    <row r="6161" spans="1:2">
      <c r="A6161" s="3">
        <v>45218</v>
      </c>
      <c r="B6161" s="4">
        <v>1356.02</v>
      </c>
    </row>
    <row r="6162" spans="1:2">
      <c r="A6162" s="3">
        <v>45219</v>
      </c>
      <c r="B6162" s="4">
        <v>1349.08</v>
      </c>
    </row>
    <row r="6163" spans="1:2">
      <c r="A6163" s="3">
        <v>45222</v>
      </c>
      <c r="B6163" s="4">
        <v>1342.12</v>
      </c>
    </row>
    <row r="6164" spans="1:2">
      <c r="A6164" s="3">
        <v>45223</v>
      </c>
      <c r="B6164" s="4">
        <v>1343.88</v>
      </c>
    </row>
    <row r="6165" spans="1:2">
      <c r="A6165" s="3">
        <v>45224</v>
      </c>
      <c r="B6165" s="4">
        <v>1352.44</v>
      </c>
    </row>
    <row r="6166" spans="1:2">
      <c r="A6166" s="3">
        <v>45225</v>
      </c>
      <c r="B6166" s="4">
        <v>1352.69</v>
      </c>
    </row>
    <row r="6167" spans="1:2">
      <c r="A6167" s="3">
        <v>45226</v>
      </c>
      <c r="B6167" s="4">
        <v>1354.91</v>
      </c>
    </row>
    <row r="6168" spans="1:2">
      <c r="A6168" s="3">
        <v>45229</v>
      </c>
      <c r="B6168" s="4">
        <v>1345.63</v>
      </c>
    </row>
    <row r="6169" spans="1:2">
      <c r="A6169" s="3">
        <v>45230</v>
      </c>
      <c r="B6169" s="4">
        <v>1352.15</v>
      </c>
    </row>
    <row r="6170" spans="1:2">
      <c r="A6170" s="3">
        <v>45231</v>
      </c>
      <c r="B6170" s="4">
        <v>1347.79</v>
      </c>
    </row>
    <row r="6171" spans="1:2">
      <c r="A6171" s="3">
        <v>45232</v>
      </c>
      <c r="B6171" s="4">
        <v>1333.59</v>
      </c>
    </row>
    <row r="6172" spans="1:2">
      <c r="A6172" s="3">
        <v>45233</v>
      </c>
      <c r="B6172" s="4">
        <v>1308.23</v>
      </c>
    </row>
    <row r="6173" spans="1:2">
      <c r="A6173" s="3">
        <v>45236</v>
      </c>
      <c r="B6173" s="4">
        <v>1298.29</v>
      </c>
    </row>
    <row r="6174" spans="1:2">
      <c r="A6174" s="3">
        <v>45237</v>
      </c>
      <c r="B6174" s="4">
        <v>1304.49</v>
      </c>
    </row>
    <row r="6175" spans="1:2">
      <c r="A6175" s="3">
        <v>45238</v>
      </c>
      <c r="B6175" s="4">
        <v>1307.71</v>
      </c>
    </row>
    <row r="6176" spans="1:2">
      <c r="A6176" s="3">
        <v>45239</v>
      </c>
      <c r="B6176" s="4">
        <v>1317.04</v>
      </c>
    </row>
    <row r="6177" spans="1:2">
      <c r="A6177" s="3">
        <v>45240</v>
      </c>
      <c r="B6177" s="4">
        <v>1316.51</v>
      </c>
    </row>
    <row r="6178" spans="1:2">
      <c r="A6178" s="3">
        <v>45243</v>
      </c>
      <c r="B6178" s="4">
        <v>1319.11</v>
      </c>
    </row>
    <row r="6179" spans="1:2">
      <c r="A6179" s="3">
        <v>45244</v>
      </c>
      <c r="B6179" s="4">
        <v>1304.6500000000001</v>
      </c>
    </row>
    <row r="6180" spans="1:2">
      <c r="A6180" s="3">
        <v>45245</v>
      </c>
      <c r="B6180" s="4">
        <v>1304.6099999999999</v>
      </c>
    </row>
    <row r="6181" spans="1:2">
      <c r="A6181" s="3">
        <v>45246</v>
      </c>
      <c r="B6181" s="4">
        <v>1292.3399999999999</v>
      </c>
    </row>
    <row r="6182" spans="1:2">
      <c r="A6182" s="3">
        <v>45247</v>
      </c>
      <c r="B6182" s="4">
        <v>1294.3499999999999</v>
      </c>
    </row>
    <row r="6183" spans="1:2">
      <c r="A6183" s="3">
        <v>45250</v>
      </c>
      <c r="B6183" s="4">
        <v>1286.92</v>
      </c>
    </row>
    <row r="6184" spans="1:2">
      <c r="A6184" s="3">
        <v>45251</v>
      </c>
      <c r="B6184" s="4">
        <v>1294.52</v>
      </c>
    </row>
    <row r="6185" spans="1:2">
      <c r="A6185" s="3">
        <v>45252</v>
      </c>
      <c r="B6185" s="4">
        <v>1300.9000000000001</v>
      </c>
    </row>
    <row r="6186" spans="1:2">
      <c r="A6186" s="3">
        <v>45253</v>
      </c>
      <c r="B6186" s="4">
        <v>1300.2</v>
      </c>
    </row>
    <row r="6187" spans="1:2">
      <c r="A6187" s="3">
        <v>45254</v>
      </c>
      <c r="B6187" s="4">
        <v>1302.97</v>
      </c>
    </row>
    <row r="6188" spans="1:2">
      <c r="A6188" s="3">
        <v>45257</v>
      </c>
      <c r="B6188" s="4">
        <v>1296.95</v>
      </c>
    </row>
    <row r="6189" spans="1:2">
      <c r="A6189" s="3">
        <v>45258</v>
      </c>
      <c r="B6189" s="4">
        <v>1287.25</v>
      </c>
    </row>
    <row r="6190" spans="1:2">
      <c r="A6190" s="3">
        <v>45259</v>
      </c>
      <c r="B6190" s="4">
        <v>1291.17</v>
      </c>
    </row>
    <row r="6191" spans="1:2">
      <c r="A6191" s="3">
        <v>45260</v>
      </c>
      <c r="B6191" s="4">
        <v>1299.3499999999999</v>
      </c>
    </row>
    <row r="6192" spans="1:2">
      <c r="A6192" s="3">
        <v>45261</v>
      </c>
      <c r="B6192" s="4">
        <v>1293.4000000000001</v>
      </c>
    </row>
    <row r="6193" spans="1:2">
      <c r="A6193" s="3">
        <v>45264</v>
      </c>
      <c r="B6193" s="4">
        <v>1309.75</v>
      </c>
    </row>
    <row r="6194" spans="1:2">
      <c r="A6194" s="3">
        <v>45265</v>
      </c>
      <c r="B6194" s="4">
        <v>1313.58</v>
      </c>
    </row>
    <row r="6195" spans="1:2">
      <c r="A6195" s="3">
        <v>45266</v>
      </c>
      <c r="B6195" s="4">
        <v>1316.15</v>
      </c>
    </row>
    <row r="6196" spans="1:2">
      <c r="A6196" s="3">
        <v>45267</v>
      </c>
      <c r="B6196" s="4">
        <v>1313</v>
      </c>
    </row>
    <row r="6197" spans="1:2">
      <c r="A6197" s="3">
        <v>45268</v>
      </c>
      <c r="B6197" s="4">
        <v>1316.41</v>
      </c>
    </row>
    <row r="6198" spans="1:2">
      <c r="A6198" s="3">
        <v>45271</v>
      </c>
      <c r="B6198" s="4">
        <v>1316.25</v>
      </c>
    </row>
    <row r="6199" spans="1:2">
      <c r="A6199" s="3">
        <v>45272</v>
      </c>
      <c r="B6199" s="4">
        <v>1310.9</v>
      </c>
    </row>
    <row r="6200" spans="1:2">
      <c r="A6200" s="3">
        <v>45273</v>
      </c>
      <c r="B6200" s="4">
        <v>1294.83</v>
      </c>
    </row>
    <row r="6201" spans="1:2">
      <c r="A6201" s="3">
        <v>45274</v>
      </c>
      <c r="B6201" s="4">
        <v>1288.6500000000001</v>
      </c>
    </row>
    <row r="6202" spans="1:2">
      <c r="A6202" s="3">
        <v>45275</v>
      </c>
      <c r="B6202" s="4">
        <v>1300.4000000000001</v>
      </c>
    </row>
    <row r="6203" spans="1:2">
      <c r="A6203" s="3">
        <v>45278</v>
      </c>
      <c r="B6203" s="4">
        <v>1302.8900000000001</v>
      </c>
    </row>
    <row r="6204" spans="1:2">
      <c r="A6204" s="3">
        <v>45279</v>
      </c>
      <c r="B6204" s="4">
        <v>1300.21</v>
      </c>
    </row>
    <row r="6205" spans="1:2">
      <c r="A6205" s="3">
        <v>45280</v>
      </c>
      <c r="B6205" s="4">
        <v>1303.08</v>
      </c>
    </row>
    <row r="6206" spans="1:2">
      <c r="A6206" s="3">
        <v>45281</v>
      </c>
      <c r="B6206" s="4">
        <v>1294.8599999999999</v>
      </c>
    </row>
    <row r="6207" spans="1:2">
      <c r="A6207" s="3">
        <v>45282</v>
      </c>
      <c r="B6207" s="4">
        <v>1297.25</v>
      </c>
    </row>
    <row r="6208" spans="1:2">
      <c r="A6208" s="3">
        <v>45285</v>
      </c>
      <c r="B6208" s="4">
        <v>1295.43</v>
      </c>
    </row>
    <row r="6209" spans="1:2">
      <c r="A6209" s="3">
        <v>45286</v>
      </c>
      <c r="B6209" s="4">
        <v>1293.99</v>
      </c>
    </row>
    <row r="6210" spans="1:2">
      <c r="A6210" s="3">
        <v>45287</v>
      </c>
      <c r="B6210" s="4">
        <v>1292.78</v>
      </c>
    </row>
    <row r="6211" spans="1:2">
      <c r="A6211" s="3">
        <v>45288</v>
      </c>
      <c r="B6211" s="4">
        <v>1289.23</v>
      </c>
    </row>
    <row r="6212" spans="1:2">
      <c r="A6212" s="3">
        <v>45289</v>
      </c>
      <c r="B6212" s="4">
        <v>1294.4000000000001</v>
      </c>
    </row>
    <row r="6213" spans="1:2">
      <c r="A6213" s="3">
        <v>45292</v>
      </c>
      <c r="B6213" s="4">
        <v>1293.54</v>
      </c>
    </row>
    <row r="6214" spans="1:2">
      <c r="A6214" s="3">
        <v>45293</v>
      </c>
      <c r="B6214" s="4">
        <v>1311.32</v>
      </c>
    </row>
    <row r="6215" spans="1:2">
      <c r="A6215" s="3">
        <v>45294</v>
      </c>
      <c r="B6215" s="4">
        <v>1309.5</v>
      </c>
    </row>
    <row r="6216" spans="1:2">
      <c r="A6216" s="3">
        <v>45295</v>
      </c>
      <c r="B6216" s="4">
        <v>1313.08</v>
      </c>
    </row>
    <row r="6217" spans="1:2">
      <c r="A6217" s="3">
        <v>45296</v>
      </c>
      <c r="B6217" s="4">
        <v>1314.16</v>
      </c>
    </row>
    <row r="6218" spans="1:2">
      <c r="A6218" s="3">
        <v>45299</v>
      </c>
      <c r="B6218" s="4">
        <v>1311.77</v>
      </c>
    </row>
    <row r="6219" spans="1:2">
      <c r="A6219" s="3">
        <v>45300</v>
      </c>
      <c r="B6219" s="4">
        <v>1320.08</v>
      </c>
    </row>
    <row r="6220" spans="1:2">
      <c r="A6220" s="3">
        <v>45301</v>
      </c>
      <c r="B6220" s="4">
        <v>1318.93</v>
      </c>
    </row>
    <row r="6221" spans="1:2">
      <c r="A6221" s="3">
        <v>45302</v>
      </c>
      <c r="B6221" s="4">
        <v>1313.86</v>
      </c>
    </row>
    <row r="6222" spans="1:2">
      <c r="A6222" s="3">
        <v>45303</v>
      </c>
      <c r="B6222" s="4">
        <v>1313.22</v>
      </c>
    </row>
    <row r="6223" spans="1:2">
      <c r="A6223" s="3">
        <v>45306</v>
      </c>
      <c r="B6223" s="4">
        <v>1319.82</v>
      </c>
    </row>
    <row r="6224" spans="1:2">
      <c r="A6224" s="3">
        <v>45307</v>
      </c>
      <c r="B6224" s="4">
        <v>1338.13</v>
      </c>
    </row>
    <row r="6225" spans="1:2">
      <c r="A6225" s="3">
        <v>45308</v>
      </c>
      <c r="B6225" s="4">
        <v>1343.95</v>
      </c>
    </row>
    <row r="6226" spans="1:2">
      <c r="A6226" s="3">
        <v>45309</v>
      </c>
      <c r="B6226" s="4">
        <v>1338.43</v>
      </c>
    </row>
    <row r="6227" spans="1:2">
      <c r="A6227" s="3">
        <v>45310</v>
      </c>
      <c r="B6227" s="4">
        <v>1333.66</v>
      </c>
    </row>
    <row r="6228" spans="1:2">
      <c r="A6228" s="3">
        <v>45313</v>
      </c>
      <c r="B6228" s="4">
        <v>1339.05</v>
      </c>
    </row>
    <row r="6229" spans="1:2">
      <c r="A6229" s="3">
        <v>45314</v>
      </c>
      <c r="B6229" s="4">
        <v>1337.74</v>
      </c>
    </row>
    <row r="6230" spans="1:2">
      <c r="A6230" s="3">
        <v>45315</v>
      </c>
      <c r="B6230" s="4">
        <v>1331.98</v>
      </c>
    </row>
    <row r="6231" spans="1:2">
      <c r="A6231" s="3">
        <v>45316</v>
      </c>
      <c r="B6231" s="4">
        <v>1336.27</v>
      </c>
    </row>
    <row r="6232" spans="1:2">
      <c r="A6232" s="3">
        <v>45317</v>
      </c>
      <c r="B6232" s="4">
        <v>1336.75</v>
      </c>
    </row>
    <row r="6233" spans="1:2">
      <c r="A6233" s="3">
        <v>45320</v>
      </c>
      <c r="B6233" s="4">
        <v>1332.96</v>
      </c>
    </row>
    <row r="6234" spans="1:2">
      <c r="A6234" s="3">
        <v>45321</v>
      </c>
      <c r="B6234" s="4">
        <v>1328.53</v>
      </c>
    </row>
    <row r="6235" spans="1:2">
      <c r="A6235" s="3">
        <v>45322</v>
      </c>
      <c r="B6235" s="4">
        <v>1333.59</v>
      </c>
    </row>
    <row r="6236" spans="1:2">
      <c r="A6236" s="3">
        <v>45323</v>
      </c>
      <c r="B6236" s="4">
        <v>1328.95</v>
      </c>
    </row>
    <row r="6237" spans="1:2">
      <c r="A6237" s="3">
        <v>45324</v>
      </c>
      <c r="B6237" s="4">
        <v>1337.76</v>
      </c>
    </row>
    <row r="6238" spans="1:2">
      <c r="A6238" s="3">
        <v>45327</v>
      </c>
      <c r="B6238" s="4">
        <v>1333.13</v>
      </c>
    </row>
    <row r="6239" spans="1:2">
      <c r="A6239" s="3">
        <v>45328</v>
      </c>
      <c r="B6239" s="4">
        <v>1326.87</v>
      </c>
    </row>
    <row r="6240" spans="1:2">
      <c r="A6240" s="3">
        <v>45329</v>
      </c>
      <c r="B6240" s="4">
        <v>1328.29</v>
      </c>
    </row>
    <row r="6241" spans="1:2">
      <c r="A6241" s="3">
        <v>45330</v>
      </c>
      <c r="B6241" s="4">
        <v>1331.29</v>
      </c>
    </row>
    <row r="6242" spans="1:2">
      <c r="A6242" s="3">
        <v>45331</v>
      </c>
      <c r="B6242" s="4">
        <v>1330.07</v>
      </c>
    </row>
    <row r="6243" spans="1:2">
      <c r="A6243" s="3">
        <v>45334</v>
      </c>
      <c r="B6243" s="4">
        <v>1328.66</v>
      </c>
    </row>
    <row r="6244" spans="1:2">
      <c r="A6244" s="3">
        <v>45335</v>
      </c>
      <c r="B6244" s="4">
        <v>1340.73</v>
      </c>
    </row>
    <row r="6245" spans="1:2">
      <c r="A6245" s="3">
        <v>45336</v>
      </c>
      <c r="B6245" s="4">
        <v>1329.91</v>
      </c>
    </row>
    <row r="6246" spans="1:2">
      <c r="A6246" s="3">
        <v>45337</v>
      </c>
      <c r="B6246" s="4">
        <v>1328.55</v>
      </c>
    </row>
    <row r="6247" spans="1:2">
      <c r="A6247" s="3">
        <v>45338</v>
      </c>
      <c r="B6247" s="4">
        <v>1331.29</v>
      </c>
    </row>
    <row r="6248" spans="1:2">
      <c r="A6248" s="3">
        <v>45341</v>
      </c>
      <c r="B6248" s="4">
        <v>1333.72</v>
      </c>
    </row>
    <row r="6249" spans="1:2">
      <c r="A6249" s="3">
        <v>45342</v>
      </c>
      <c r="B6249" s="4">
        <v>1333.79</v>
      </c>
    </row>
    <row r="6250" spans="1:2">
      <c r="A6250" s="3">
        <v>45343</v>
      </c>
      <c r="B6250" s="4">
        <v>1333.04</v>
      </c>
    </row>
    <row r="6251" spans="1:2">
      <c r="A6251" s="3">
        <v>45344</v>
      </c>
      <c r="B6251" s="4">
        <v>1327.25</v>
      </c>
    </row>
    <row r="6252" spans="1:2">
      <c r="A6252" s="3">
        <v>45345</v>
      </c>
      <c r="B6252" s="4">
        <v>1329.95</v>
      </c>
    </row>
    <row r="6253" spans="1:2">
      <c r="A6253" s="3">
        <v>45348</v>
      </c>
      <c r="B6253" s="4">
        <v>1331.9</v>
      </c>
    </row>
    <row r="6254" spans="1:2">
      <c r="A6254" s="3">
        <v>45349</v>
      </c>
      <c r="B6254" s="4">
        <v>1332.05</v>
      </c>
    </row>
    <row r="6255" spans="1:2">
      <c r="A6255" s="3">
        <v>45350</v>
      </c>
      <c r="B6255" s="4">
        <v>1334.05</v>
      </c>
    </row>
    <row r="6256" spans="1:2">
      <c r="A6256" s="3">
        <v>45351</v>
      </c>
      <c r="B6256" s="4">
        <v>1334.78</v>
      </c>
    </row>
    <row r="6257" spans="1:2">
      <c r="A6257" s="3">
        <v>45352</v>
      </c>
      <c r="B6257" s="4">
        <v>1330.52</v>
      </c>
    </row>
    <row r="6258" spans="1:2">
      <c r="A6258" s="3">
        <v>45355</v>
      </c>
      <c r="B6258" s="4">
        <v>1330.89</v>
      </c>
    </row>
    <row r="6259" spans="1:2">
      <c r="A6259" s="3">
        <v>45356</v>
      </c>
      <c r="B6259" s="4">
        <v>1335.4</v>
      </c>
    </row>
    <row r="6260" spans="1:2">
      <c r="A6260" s="3">
        <v>45357</v>
      </c>
      <c r="B6260" s="4">
        <v>1329.03</v>
      </c>
    </row>
    <row r="6261" spans="1:2">
      <c r="A6261" s="3">
        <v>45358</v>
      </c>
      <c r="B6261" s="4">
        <v>1323.09</v>
      </c>
    </row>
    <row r="6262" spans="1:2">
      <c r="A6262" s="3">
        <v>45359</v>
      </c>
      <c r="B6262" s="4">
        <v>1316</v>
      </c>
    </row>
    <row r="6263" spans="1:2">
      <c r="A6263" s="3">
        <v>45362</v>
      </c>
      <c r="B6263" s="4">
        <v>1310.74</v>
      </c>
    </row>
    <row r="6264" spans="1:2">
      <c r="A6264" s="3">
        <v>45363</v>
      </c>
      <c r="B6264" s="4">
        <v>1311.68</v>
      </c>
    </row>
    <row r="6265" spans="1:2">
      <c r="A6265" s="3">
        <v>45364</v>
      </c>
      <c r="B6265" s="4">
        <v>1313.79</v>
      </c>
    </row>
    <row r="6266" spans="1:2">
      <c r="A6266" s="3">
        <v>45365</v>
      </c>
      <c r="B6266" s="4">
        <v>1323.43</v>
      </c>
    </row>
    <row r="6267" spans="1:2">
      <c r="A6267" s="3">
        <v>45366</v>
      </c>
      <c r="B6267" s="4">
        <v>1330.63</v>
      </c>
    </row>
    <row r="6268" spans="1:2">
      <c r="A6268" s="3">
        <v>45369</v>
      </c>
      <c r="B6268" s="4">
        <v>1336.21</v>
      </c>
    </row>
    <row r="6269" spans="1:2">
      <c r="A6269" s="3">
        <v>45370</v>
      </c>
      <c r="B6269" s="4">
        <v>1337.24</v>
      </c>
    </row>
    <row r="6270" spans="1:2">
      <c r="A6270" s="3">
        <v>45371</v>
      </c>
      <c r="B6270" s="4">
        <v>1329.18</v>
      </c>
    </row>
    <row r="6271" spans="1:2">
      <c r="A6271" s="3">
        <v>45372</v>
      </c>
      <c r="B6271" s="4">
        <v>1334.07</v>
      </c>
    </row>
    <row r="6272" spans="1:2">
      <c r="A6272" s="3">
        <v>45373</v>
      </c>
      <c r="B6272" s="4">
        <v>1343.43</v>
      </c>
    </row>
    <row r="6273" spans="1:2">
      <c r="A6273" s="3">
        <v>45376</v>
      </c>
      <c r="B6273" s="4">
        <v>1338.84</v>
      </c>
    </row>
    <row r="6274" spans="1:2">
      <c r="A6274" s="3">
        <v>45377</v>
      </c>
      <c r="B6274" s="4">
        <v>1342.89</v>
      </c>
    </row>
    <row r="6275" spans="1:2">
      <c r="A6275" s="3">
        <v>45378</v>
      </c>
      <c r="B6275" s="4">
        <v>1349.82</v>
      </c>
    </row>
    <row r="6276" spans="1:2">
      <c r="A6276" s="3">
        <v>45379</v>
      </c>
      <c r="B6276" s="4">
        <v>1349.48</v>
      </c>
    </row>
    <row r="6277" spans="1:2">
      <c r="A6277" s="3">
        <v>45380</v>
      </c>
      <c r="B6277" s="4">
        <v>1345.09</v>
      </c>
    </row>
    <row r="6278" spans="1:2">
      <c r="A6278" s="3">
        <v>45383</v>
      </c>
      <c r="B6278" s="4">
        <v>1353.34</v>
      </c>
    </row>
    <row r="6279" spans="1:2">
      <c r="A6279" s="3">
        <v>45384</v>
      </c>
      <c r="B6279" s="4">
        <v>1351.45</v>
      </c>
    </row>
    <row r="6280" spans="1:2">
      <c r="A6280" s="3">
        <v>45385</v>
      </c>
      <c r="B6280" s="4">
        <v>1344.74</v>
      </c>
    </row>
    <row r="6281" spans="1:2">
      <c r="A6281" s="3">
        <v>45386</v>
      </c>
      <c r="B6281" s="4">
        <v>1351.08</v>
      </c>
    </row>
    <row r="6282" spans="1:2">
      <c r="A6282" s="3">
        <v>45387</v>
      </c>
      <c r="B6282" s="4">
        <v>1350.91</v>
      </c>
    </row>
    <row r="6283" spans="1:2">
      <c r="A6283" s="3">
        <v>45390</v>
      </c>
      <c r="B6283" s="4">
        <v>1353.78</v>
      </c>
    </row>
    <row r="6284" spans="1:2">
      <c r="A6284" s="3">
        <v>45391</v>
      </c>
      <c r="B6284" s="4">
        <v>1351.03</v>
      </c>
    </row>
    <row r="6285" spans="1:2">
      <c r="A6285" s="3">
        <v>45392</v>
      </c>
      <c r="B6285" s="4">
        <v>1363.43</v>
      </c>
    </row>
    <row r="6286" spans="1:2">
      <c r="A6286" s="3">
        <v>45393</v>
      </c>
      <c r="B6286" s="4">
        <v>1367.01</v>
      </c>
    </row>
    <row r="6287" spans="1:2">
      <c r="A6287" s="3">
        <v>45394</v>
      </c>
      <c r="B6287" s="4">
        <v>1379.69</v>
      </c>
    </row>
    <row r="6288" spans="1:2">
      <c r="A6288" s="3">
        <v>45397</v>
      </c>
      <c r="B6288" s="4">
        <v>1386.91</v>
      </c>
    </row>
    <row r="6289" spans="1:2">
      <c r="A6289" s="3">
        <v>45398</v>
      </c>
      <c r="B6289" s="4">
        <v>1389.5</v>
      </c>
    </row>
    <row r="6290" spans="1:2">
      <c r="A6290" s="3">
        <v>45399</v>
      </c>
      <c r="B6290" s="4">
        <v>1378.86</v>
      </c>
    </row>
    <row r="6291" spans="1:2">
      <c r="A6291" s="3">
        <v>45400</v>
      </c>
      <c r="B6291" s="4">
        <v>1379.41</v>
      </c>
    </row>
    <row r="6292" spans="1:2">
      <c r="A6292" s="3">
        <v>45401</v>
      </c>
      <c r="B6292" s="4">
        <v>1374.3</v>
      </c>
    </row>
    <row r="6293" spans="1:2">
      <c r="A6293" s="3">
        <v>45404</v>
      </c>
      <c r="B6293" s="4">
        <v>1378.73</v>
      </c>
    </row>
    <row r="6294" spans="1:2">
      <c r="A6294" s="3">
        <v>45405</v>
      </c>
      <c r="B6294" s="4">
        <v>1373.05</v>
      </c>
    </row>
    <row r="6295" spans="1:2">
      <c r="A6295" s="3">
        <v>45406</v>
      </c>
      <c r="B6295" s="4">
        <v>1377.03</v>
      </c>
    </row>
    <row r="6296" spans="1:2">
      <c r="A6296" s="3">
        <v>45407</v>
      </c>
      <c r="B6296" s="4">
        <v>1371.41</v>
      </c>
    </row>
    <row r="6297" spans="1:2">
      <c r="A6297" s="3">
        <v>45408</v>
      </c>
      <c r="B6297" s="4">
        <v>1376.43</v>
      </c>
    </row>
    <row r="6298" spans="1:2">
      <c r="A6298" s="3">
        <v>45411</v>
      </c>
      <c r="B6298" s="4">
        <v>1374.67</v>
      </c>
    </row>
    <row r="6299" spans="1:2">
      <c r="A6299" s="3">
        <v>45412</v>
      </c>
      <c r="B6299" s="4">
        <v>1385.38</v>
      </c>
    </row>
    <row r="6300" spans="1:2">
      <c r="A6300" s="3">
        <v>45413</v>
      </c>
      <c r="B6300" s="4">
        <v>1377.25</v>
      </c>
    </row>
    <row r="6301" spans="1:2">
      <c r="A6301" s="3">
        <v>45414</v>
      </c>
      <c r="B6301" s="4">
        <v>1366.75</v>
      </c>
    </row>
    <row r="6302" spans="1:2">
      <c r="A6302" s="3">
        <v>45415</v>
      </c>
      <c r="B6302" s="4">
        <v>1354.63</v>
      </c>
    </row>
    <row r="6303" spans="1:2">
      <c r="A6303" s="3">
        <v>45418</v>
      </c>
      <c r="B6303" s="4">
        <v>1354.91</v>
      </c>
    </row>
    <row r="6304" spans="1:2">
      <c r="A6304" s="3">
        <v>45419</v>
      </c>
      <c r="B6304" s="4">
        <v>1358.79</v>
      </c>
    </row>
    <row r="6305" spans="1:2">
      <c r="A6305" s="3">
        <v>45420</v>
      </c>
      <c r="B6305" s="4">
        <v>1364.39</v>
      </c>
    </row>
    <row r="6306" spans="1:2">
      <c r="A6306" s="3">
        <v>45421</v>
      </c>
      <c r="B6306" s="4">
        <v>1365.09</v>
      </c>
    </row>
    <row r="6307" spans="1:2">
      <c r="A6307" s="3">
        <v>45422</v>
      </c>
      <c r="B6307" s="4">
        <v>1369.65</v>
      </c>
    </row>
    <row r="6308" spans="1:2">
      <c r="A6308" s="3">
        <v>45425</v>
      </c>
      <c r="B6308" s="4">
        <v>1366.11</v>
      </c>
    </row>
    <row r="6309" spans="1:2">
      <c r="A6309" s="3">
        <v>45426</v>
      </c>
      <c r="B6309" s="4">
        <v>1364.79</v>
      </c>
    </row>
    <row r="6310" spans="1:2">
      <c r="A6310" s="3">
        <v>45427</v>
      </c>
      <c r="B6310" s="4">
        <v>1352.96</v>
      </c>
    </row>
    <row r="6311" spans="1:2">
      <c r="A6311" s="3">
        <v>45428</v>
      </c>
      <c r="B6311" s="4">
        <v>1348.49</v>
      </c>
    </row>
    <row r="6312" spans="1:2">
      <c r="A6312" s="3">
        <v>45429</v>
      </c>
      <c r="B6312" s="4">
        <v>1351.76</v>
      </c>
    </row>
    <row r="6313" spans="1:2">
      <c r="A6313" s="3">
        <v>45432</v>
      </c>
      <c r="B6313" s="4">
        <v>1359.97</v>
      </c>
    </row>
    <row r="6314" spans="1:2">
      <c r="A6314" s="3">
        <v>45433</v>
      </c>
      <c r="B6314" s="4">
        <v>1363</v>
      </c>
    </row>
    <row r="6315" spans="1:2">
      <c r="A6315" s="3">
        <v>45434</v>
      </c>
      <c r="B6315" s="4">
        <v>1364.73</v>
      </c>
    </row>
    <row r="6316" spans="1:2">
      <c r="A6316" s="3">
        <v>45435</v>
      </c>
      <c r="B6316" s="4">
        <v>1367.34</v>
      </c>
    </row>
    <row r="6317" spans="1:2">
      <c r="A6317" s="3">
        <v>45436</v>
      </c>
      <c r="B6317" s="4">
        <v>1365.93</v>
      </c>
    </row>
    <row r="6318" spans="1:2">
      <c r="A6318" s="3">
        <v>45439</v>
      </c>
      <c r="B6318" s="4">
        <v>1359.93</v>
      </c>
    </row>
    <row r="6319" spans="1:2">
      <c r="A6319" s="3">
        <v>45440</v>
      </c>
      <c r="B6319" s="4">
        <v>1362.42</v>
      </c>
    </row>
    <row r="6320" spans="1:2">
      <c r="A6320" s="3">
        <v>45441</v>
      </c>
      <c r="B6320" s="4">
        <v>1370.08</v>
      </c>
    </row>
    <row r="6321" spans="1:2">
      <c r="A6321" s="3">
        <v>45442</v>
      </c>
      <c r="B6321" s="4">
        <v>1374.74</v>
      </c>
    </row>
    <row r="6322" spans="1:2">
      <c r="A6322" s="3">
        <v>45443</v>
      </c>
      <c r="B6322" s="4">
        <v>1381.68</v>
      </c>
    </row>
    <row r="6323" spans="1:2">
      <c r="A6323" s="3">
        <v>45446</v>
      </c>
      <c r="B6323" s="4">
        <v>1370.36</v>
      </c>
    </row>
    <row r="6324" spans="1:2">
      <c r="A6324" s="3">
        <v>45447</v>
      </c>
      <c r="B6324" s="4">
        <v>1372.93</v>
      </c>
    </row>
    <row r="6325" spans="1:2">
      <c r="A6325" s="3">
        <v>45448</v>
      </c>
      <c r="B6325" s="4">
        <v>1368.48</v>
      </c>
    </row>
    <row r="6326" spans="1:2">
      <c r="A6326" s="3">
        <v>45449</v>
      </c>
      <c r="B6326" s="4">
        <v>1363.71</v>
      </c>
    </row>
    <row r="6327" spans="1:2">
      <c r="A6327" s="3">
        <v>45450</v>
      </c>
      <c r="B6327" s="4">
        <v>1378.8</v>
      </c>
    </row>
    <row r="6328" spans="1:2">
      <c r="A6328" s="3">
        <v>45453</v>
      </c>
      <c r="B6328" s="4">
        <v>1373.6</v>
      </c>
    </row>
    <row r="6329" spans="1:2">
      <c r="A6329" s="3">
        <v>45454</v>
      </c>
      <c r="B6329" s="4">
        <v>1377.5</v>
      </c>
    </row>
    <row r="6330" spans="1:2">
      <c r="A6330" s="3">
        <v>45455</v>
      </c>
      <c r="B6330" s="4">
        <v>1369.84</v>
      </c>
    </row>
    <row r="6331" spans="1:2">
      <c r="A6331" s="3">
        <v>45456</v>
      </c>
      <c r="B6331" s="4">
        <v>1375.35</v>
      </c>
    </row>
    <row r="6332" spans="1:2">
      <c r="A6332" s="3">
        <v>45457</v>
      </c>
      <c r="B6332" s="4">
        <v>1381.84</v>
      </c>
    </row>
    <row r="6333" spans="1:2">
      <c r="A6333" s="3">
        <v>45460</v>
      </c>
      <c r="B6333" s="4">
        <v>1378.46</v>
      </c>
    </row>
    <row r="6334" spans="1:2">
      <c r="A6334" s="3">
        <v>45461</v>
      </c>
      <c r="B6334" s="4">
        <v>1378.64</v>
      </c>
    </row>
    <row r="6335" spans="1:2">
      <c r="A6335" s="3">
        <v>45462</v>
      </c>
      <c r="B6335" s="4">
        <v>1380.97</v>
      </c>
    </row>
    <row r="6336" spans="1:2">
      <c r="A6336" s="3">
        <v>45463</v>
      </c>
      <c r="B6336" s="4">
        <v>1391.93</v>
      </c>
    </row>
    <row r="6337" spans="1:2">
      <c r="A6337" s="3">
        <v>45464</v>
      </c>
      <c r="B6337" s="4">
        <v>1387.01</v>
      </c>
    </row>
    <row r="6338" spans="1:2">
      <c r="A6338" s="3">
        <v>45467</v>
      </c>
      <c r="B6338" s="4">
        <v>1386.37</v>
      </c>
    </row>
    <row r="6339" spans="1:2">
      <c r="A6339" s="3">
        <v>45468</v>
      </c>
      <c r="B6339" s="4">
        <v>1390.44</v>
      </c>
    </row>
    <row r="6340" spans="1:2">
      <c r="A6340" s="3">
        <v>45469</v>
      </c>
      <c r="B6340" s="4">
        <v>1392.9</v>
      </c>
    </row>
    <row r="6341" spans="1:2">
      <c r="A6341" s="3">
        <v>45470</v>
      </c>
      <c r="B6341" s="4">
        <v>1386.35</v>
      </c>
    </row>
    <row r="6342" spans="1:2">
      <c r="A6342" s="3">
        <v>45471</v>
      </c>
      <c r="B6342" s="4">
        <v>1380.73</v>
      </c>
    </row>
    <row r="6343" spans="1:2">
      <c r="A6343" s="3">
        <v>45474</v>
      </c>
      <c r="B6343" s="4">
        <v>1382.5</v>
      </c>
    </row>
    <row r="6344" spans="1:2">
      <c r="A6344" s="3">
        <v>45475</v>
      </c>
      <c r="B6344" s="4">
        <v>1386.03</v>
      </c>
    </row>
    <row r="6345" spans="1:2">
      <c r="A6345" s="3">
        <v>45476</v>
      </c>
      <c r="B6345" s="4">
        <v>1386.8</v>
      </c>
    </row>
    <row r="6346" spans="1:2">
      <c r="A6346" s="3">
        <v>45477</v>
      </c>
      <c r="B6346" s="4">
        <v>1380.22</v>
      </c>
    </row>
    <row r="6347" spans="1:2">
      <c r="A6347" s="3">
        <v>45478</v>
      </c>
      <c r="B6347" s="4">
        <v>1376.57</v>
      </c>
    </row>
    <row r="6348" spans="1:2">
      <c r="A6348" s="3">
        <v>45481</v>
      </c>
      <c r="B6348" s="4">
        <v>1383.27</v>
      </c>
    </row>
    <row r="6349" spans="1:2">
      <c r="A6349" s="3">
        <v>45482</v>
      </c>
      <c r="B6349" s="4">
        <v>1382.92</v>
      </c>
    </row>
    <row r="6350" spans="1:2">
      <c r="A6350" s="3">
        <v>45483</v>
      </c>
      <c r="B6350" s="4">
        <v>1382.81</v>
      </c>
    </row>
    <row r="6351" spans="1:2">
      <c r="A6351" s="3">
        <v>45484</v>
      </c>
      <c r="B6351" s="4">
        <v>1370.96</v>
      </c>
    </row>
    <row r="6352" spans="1:2">
      <c r="A6352" s="3">
        <v>45485</v>
      </c>
      <c r="B6352" s="4">
        <v>1373.67</v>
      </c>
    </row>
    <row r="6353" spans="1:2">
      <c r="A6353" s="3">
        <v>45488</v>
      </c>
      <c r="B6353" s="4">
        <v>1384.17</v>
      </c>
    </row>
    <row r="6354" spans="1:2">
      <c r="A6354" s="3">
        <v>45489</v>
      </c>
      <c r="B6354" s="4">
        <v>1382.77</v>
      </c>
    </row>
    <row r="6355" spans="1:2">
      <c r="A6355" s="3">
        <v>45490</v>
      </c>
      <c r="B6355" s="4">
        <v>1378.51</v>
      </c>
    </row>
    <row r="6356" spans="1:2">
      <c r="A6356" s="3">
        <v>45491</v>
      </c>
      <c r="B6356" s="4">
        <v>1384.48</v>
      </c>
    </row>
    <row r="6357" spans="1:2">
      <c r="A6357" s="3">
        <v>45492</v>
      </c>
      <c r="B6357" s="4">
        <v>1388.79</v>
      </c>
    </row>
    <row r="6358" spans="1:2">
      <c r="A6358" s="3">
        <v>45495</v>
      </c>
      <c r="B6358" s="4">
        <v>1386.99</v>
      </c>
    </row>
    <row r="6359" spans="1:2">
      <c r="A6359" s="3">
        <v>45496</v>
      </c>
      <c r="B6359" s="4">
        <v>1384.59</v>
      </c>
    </row>
    <row r="6360" spans="1:2">
      <c r="A6360" s="3">
        <v>45497</v>
      </c>
      <c r="B6360" s="4">
        <v>1382.17</v>
      </c>
    </row>
    <row r="6361" spans="1:2">
      <c r="A6361" s="3">
        <v>45498</v>
      </c>
      <c r="B6361" s="4">
        <v>1382.22</v>
      </c>
    </row>
    <row r="6362" spans="1:2">
      <c r="A6362" s="3">
        <v>45499</v>
      </c>
      <c r="B6362" s="4">
        <v>1383.72</v>
      </c>
    </row>
    <row r="6363" spans="1:2">
      <c r="A6363" s="3">
        <v>45502</v>
      </c>
      <c r="B6363" s="4">
        <v>1380.57</v>
      </c>
    </row>
    <row r="6364" spans="1:2">
      <c r="A6364" s="3">
        <v>45503</v>
      </c>
      <c r="B6364" s="4">
        <v>1382.81</v>
      </c>
    </row>
    <row r="6365" spans="1:2">
      <c r="A6365" s="3">
        <v>45504</v>
      </c>
      <c r="B6365" s="4">
        <v>1369.08</v>
      </c>
    </row>
    <row r="6366" spans="1:2">
      <c r="A6366" s="3">
        <v>45505</v>
      </c>
      <c r="B6366" s="4">
        <v>1369.08</v>
      </c>
    </row>
    <row r="6367" spans="1:2">
      <c r="A6367" s="3">
        <v>45506</v>
      </c>
      <c r="B6367" s="4">
        <v>1356.63</v>
      </c>
    </row>
    <row r="6368" spans="1:2">
      <c r="A6368" s="3">
        <v>45509</v>
      </c>
      <c r="B6368" s="4">
        <v>1366.4</v>
      </c>
    </row>
    <row r="6369" spans="1:2">
      <c r="A6369" s="3">
        <v>45510</v>
      </c>
      <c r="B6369" s="4">
        <v>1374.52</v>
      </c>
    </row>
    <row r="6370" spans="1:2">
      <c r="A6370" s="3">
        <v>45511</v>
      </c>
      <c r="B6370" s="4">
        <v>1374.47</v>
      </c>
    </row>
    <row r="6371" spans="1:2">
      <c r="A6371" s="3">
        <v>45512</v>
      </c>
      <c r="B6371" s="4">
        <v>1373.43</v>
      </c>
    </row>
    <row r="6372" spans="1:2">
      <c r="A6372" s="3">
        <v>45513</v>
      </c>
      <c r="B6372" s="4">
        <v>1364.19</v>
      </c>
    </row>
    <row r="6373" spans="1:2">
      <c r="A6373" s="3">
        <v>45516</v>
      </c>
      <c r="B6373" s="4">
        <v>1368.88</v>
      </c>
    </row>
    <row r="6374" spans="1:2">
      <c r="A6374" s="3">
        <v>45517</v>
      </c>
      <c r="B6374" s="4">
        <v>1361.41</v>
      </c>
    </row>
    <row r="6375" spans="1:2">
      <c r="A6375" s="3">
        <v>45518</v>
      </c>
      <c r="B6375" s="4">
        <v>1356</v>
      </c>
    </row>
    <row r="6376" spans="1:2">
      <c r="A6376" s="3">
        <v>45519</v>
      </c>
      <c r="B6376" s="4">
        <v>1364.22</v>
      </c>
    </row>
    <row r="6377" spans="1:2">
      <c r="A6377" s="3">
        <v>45520</v>
      </c>
      <c r="B6377" s="4">
        <v>1349.11</v>
      </c>
    </row>
    <row r="6378" spans="1:2">
      <c r="A6378" s="3">
        <v>45523</v>
      </c>
      <c r="B6378" s="4">
        <v>1331.64</v>
      </c>
    </row>
    <row r="6379" spans="1:2">
      <c r="A6379" s="3">
        <v>45524</v>
      </c>
      <c r="B6379" s="4">
        <v>1327.54</v>
      </c>
    </row>
    <row r="6380" spans="1:2">
      <c r="A6380" s="3">
        <v>45525</v>
      </c>
      <c r="B6380" s="4">
        <v>1332.76</v>
      </c>
    </row>
    <row r="6381" spans="1:2">
      <c r="A6381" s="3">
        <v>45526</v>
      </c>
      <c r="B6381" s="4">
        <v>1341.29</v>
      </c>
    </row>
    <row r="6382" spans="1:2">
      <c r="A6382" s="3">
        <v>45527</v>
      </c>
      <c r="B6382" s="4">
        <v>1323.43</v>
      </c>
    </row>
    <row r="6383" spans="1:2">
      <c r="A6383" s="3">
        <v>45530</v>
      </c>
      <c r="B6383" s="4">
        <v>1327.48</v>
      </c>
    </row>
    <row r="6384" spans="1:2">
      <c r="A6384" s="3">
        <v>45531</v>
      </c>
      <c r="B6384" s="4">
        <v>1325.77</v>
      </c>
    </row>
    <row r="6385" spans="1:2">
      <c r="A6385" s="3">
        <v>45532</v>
      </c>
      <c r="B6385" s="4">
        <v>1335.98</v>
      </c>
    </row>
    <row r="6386" spans="1:2">
      <c r="A6386" s="3">
        <v>45533</v>
      </c>
      <c r="B6386" s="4">
        <v>1333.24</v>
      </c>
    </row>
    <row r="6387" spans="1:2">
      <c r="A6387" s="3">
        <v>45534</v>
      </c>
      <c r="B6387" s="4">
        <v>1336.56</v>
      </c>
    </row>
    <row r="6388" spans="1:2">
      <c r="A6388" s="3">
        <v>45537</v>
      </c>
      <c r="B6388" s="4">
        <v>1337.48</v>
      </c>
    </row>
    <row r="6389" spans="1:2">
      <c r="A6389" s="3">
        <v>45538</v>
      </c>
      <c r="B6389" s="4">
        <v>1339.29</v>
      </c>
    </row>
    <row r="6390" spans="1:2">
      <c r="A6390" s="3">
        <v>45539</v>
      </c>
      <c r="B6390" s="4">
        <v>1333.34</v>
      </c>
    </row>
    <row r="6391" spans="1:2">
      <c r="A6391" s="3">
        <v>45540</v>
      </c>
      <c r="B6391" s="4">
        <v>1333.04</v>
      </c>
    </row>
    <row r="6392" spans="1:2">
      <c r="A6392" s="3">
        <v>45541</v>
      </c>
      <c r="B6392" s="4">
        <v>1337.26</v>
      </c>
    </row>
    <row r="6393" spans="1:2">
      <c r="A6393" s="3">
        <v>45544</v>
      </c>
      <c r="B6393" s="4">
        <v>1341.66</v>
      </c>
    </row>
    <row r="6394" spans="1:2">
      <c r="A6394" s="3">
        <v>45545</v>
      </c>
      <c r="B6394" s="4">
        <v>1343.21</v>
      </c>
    </row>
    <row r="6395" spans="1:2">
      <c r="A6395" s="3">
        <v>45546</v>
      </c>
      <c r="B6395" s="4">
        <v>1338.99</v>
      </c>
    </row>
    <row r="6396" spans="1:2">
      <c r="A6396" s="3">
        <v>45547</v>
      </c>
      <c r="B6396" s="4">
        <v>1335.56</v>
      </c>
    </row>
    <row r="6397" spans="1:2">
      <c r="A6397" s="3">
        <v>45548</v>
      </c>
      <c r="B6397" s="4">
        <v>1328.21</v>
      </c>
    </row>
    <row r="6398" spans="1:2">
      <c r="A6398" s="3">
        <v>45551</v>
      </c>
      <c r="B6398" s="4">
        <v>1320.45</v>
      </c>
    </row>
    <row r="6399" spans="1:2">
      <c r="A6399" s="3">
        <v>45552</v>
      </c>
      <c r="B6399" s="4">
        <v>1318.6</v>
      </c>
    </row>
    <row r="6400" spans="1:2">
      <c r="A6400" s="3">
        <v>45553</v>
      </c>
      <c r="B6400" s="4">
        <v>1319.09</v>
      </c>
    </row>
    <row r="6401" spans="1:2">
      <c r="A6401" s="3">
        <v>45554</v>
      </c>
      <c r="B6401" s="4">
        <v>1326.86</v>
      </c>
    </row>
    <row r="6402" spans="1:2">
      <c r="A6402" s="3">
        <v>45555</v>
      </c>
      <c r="B6402" s="4">
        <v>1331.64</v>
      </c>
    </row>
    <row r="6403" spans="1:2">
      <c r="A6403" s="3">
        <v>45558</v>
      </c>
      <c r="B6403" s="4">
        <v>1333.62</v>
      </c>
    </row>
    <row r="6404" spans="1:2">
      <c r="A6404" s="3">
        <v>45559</v>
      </c>
      <c r="B6404" s="4">
        <v>1325.18</v>
      </c>
    </row>
    <row r="6405" spans="1:2">
      <c r="A6405" s="3">
        <v>45560</v>
      </c>
      <c r="B6405" s="4">
        <v>1333.54</v>
      </c>
    </row>
    <row r="6406" spans="1:2">
      <c r="A6406" s="3">
        <v>45561</v>
      </c>
      <c r="B6406" s="4">
        <v>1312.72</v>
      </c>
    </row>
    <row r="6407" spans="1:2">
      <c r="A6407" s="3">
        <v>45562</v>
      </c>
      <c r="B6407" s="4">
        <v>1308.3</v>
      </c>
    </row>
    <row r="6408" spans="1:2">
      <c r="A6408" s="3">
        <v>45565</v>
      </c>
      <c r="B6408" s="4">
        <v>1317.01</v>
      </c>
    </row>
    <row r="6409" spans="1:2">
      <c r="A6409" s="3">
        <v>45566</v>
      </c>
      <c r="B6409" s="4">
        <v>1323.77</v>
      </c>
    </row>
    <row r="6410" spans="1:2">
      <c r="A6410" s="3">
        <v>45567</v>
      </c>
      <c r="B6410" s="4">
        <v>1323.82</v>
      </c>
    </row>
    <row r="6411" spans="1:2">
      <c r="A6411" s="3">
        <v>45568</v>
      </c>
      <c r="B6411" s="4">
        <v>1333.21</v>
      </c>
    </row>
    <row r="6412" spans="1:2">
      <c r="A6412" s="3">
        <v>45569</v>
      </c>
      <c r="B6412" s="4">
        <v>1346.41</v>
      </c>
    </row>
    <row r="6413" spans="1:2">
      <c r="A6413" s="3">
        <v>45572</v>
      </c>
      <c r="B6413" s="4">
        <v>1345.15</v>
      </c>
    </row>
    <row r="6414" spans="1:2">
      <c r="A6414" s="3">
        <v>45573</v>
      </c>
      <c r="B6414" s="4">
        <v>1339.28</v>
      </c>
    </row>
    <row r="6415" spans="1:2">
      <c r="A6415" s="3">
        <v>45574</v>
      </c>
      <c r="B6415" s="4">
        <v>1345.7</v>
      </c>
    </row>
    <row r="6416" spans="1:2">
      <c r="A6416" s="3">
        <v>45575</v>
      </c>
      <c r="B6416" s="4">
        <v>1349.15</v>
      </c>
    </row>
    <row r="6417" spans="1:2">
      <c r="A6417" s="3">
        <v>45576</v>
      </c>
      <c r="B6417" s="4">
        <v>1348.41</v>
      </c>
    </row>
    <row r="6418" spans="1:2">
      <c r="A6418" s="3">
        <v>45579</v>
      </c>
      <c r="B6418" s="4">
        <v>1356.26</v>
      </c>
    </row>
    <row r="6419" spans="1:2">
      <c r="A6419" s="3">
        <v>45580</v>
      </c>
      <c r="B6419" s="4">
        <v>1363.65</v>
      </c>
    </row>
    <row r="6420" spans="1:2">
      <c r="A6420" s="3">
        <v>45581</v>
      </c>
      <c r="B6420" s="4">
        <v>1363.7</v>
      </c>
    </row>
    <row r="6421" spans="1:2">
      <c r="A6421" s="3">
        <v>45582</v>
      </c>
      <c r="B6421" s="4">
        <v>1369.84</v>
      </c>
    </row>
    <row r="6422" spans="1:2">
      <c r="A6422" s="3">
        <v>45583</v>
      </c>
      <c r="B6422" s="4">
        <v>1368.37</v>
      </c>
    </row>
    <row r="6423" spans="1:2">
      <c r="A6423" s="3">
        <v>45586</v>
      </c>
      <c r="B6423" s="4">
        <v>1379.02</v>
      </c>
    </row>
    <row r="6424" spans="1:2">
      <c r="A6424" s="3">
        <v>45587</v>
      </c>
      <c r="B6424" s="4">
        <v>1378.27</v>
      </c>
    </row>
    <row r="6425" spans="1:2">
      <c r="A6425" s="3">
        <v>45588</v>
      </c>
      <c r="B6425" s="4">
        <v>1379.93</v>
      </c>
    </row>
    <row r="6426" spans="1:2">
      <c r="A6426" s="3">
        <v>45589</v>
      </c>
      <c r="B6426" s="4">
        <v>1378.55</v>
      </c>
    </row>
    <row r="6427" spans="1:2">
      <c r="A6427" s="3">
        <v>45590</v>
      </c>
      <c r="B6427" s="4">
        <v>1387.95</v>
      </c>
    </row>
    <row r="6428" spans="1:2">
      <c r="A6428" s="3">
        <v>45593</v>
      </c>
      <c r="B6428" s="4">
        <v>1382.09</v>
      </c>
    </row>
    <row r="6429" spans="1:2">
      <c r="A6429" s="3">
        <v>45594</v>
      </c>
      <c r="B6429" s="4">
        <v>1383.24</v>
      </c>
    </row>
    <row r="6430" spans="1:2">
      <c r="A6430" s="3">
        <v>45595</v>
      </c>
      <c r="B6430" s="4">
        <v>1378.27</v>
      </c>
    </row>
    <row r="6431" spans="1:2">
      <c r="A6431" s="3">
        <v>45596</v>
      </c>
      <c r="B6431" s="4">
        <v>1372.58</v>
      </c>
    </row>
    <row r="6432" spans="1:2">
      <c r="A6432" s="3">
        <v>45597</v>
      </c>
      <c r="B6432" s="4">
        <v>1378.48</v>
      </c>
    </row>
    <row r="6433" spans="1:2">
      <c r="A6433" s="3">
        <v>45600</v>
      </c>
      <c r="B6433" s="4">
        <v>1372.6</v>
      </c>
    </row>
    <row r="6434" spans="1:2">
      <c r="A6434" s="3">
        <v>45601</v>
      </c>
      <c r="B6434" s="4">
        <v>1376.88</v>
      </c>
    </row>
    <row r="6435" spans="1:2">
      <c r="A6435" s="3">
        <v>45602</v>
      </c>
      <c r="B6435" s="4">
        <v>1400.36</v>
      </c>
    </row>
    <row r="6436" spans="1:2">
      <c r="A6436" s="3">
        <v>45603</v>
      </c>
      <c r="B6436" s="4">
        <v>1379.89</v>
      </c>
    </row>
    <row r="6437" spans="1:2">
      <c r="A6437" s="3">
        <v>45604</v>
      </c>
      <c r="B6437" s="4">
        <v>1396.23</v>
      </c>
    </row>
    <row r="6438" spans="1:2">
      <c r="A6438" s="3">
        <v>45607</v>
      </c>
      <c r="B6438" s="4">
        <v>1399.08</v>
      </c>
    </row>
    <row r="6439" spans="1:2">
      <c r="A6439" s="3">
        <v>45608</v>
      </c>
      <c r="B6439" s="4">
        <v>1405.8</v>
      </c>
    </row>
    <row r="6440" spans="1:2">
      <c r="A6440" s="3">
        <v>45609</v>
      </c>
      <c r="B6440" s="4">
        <v>1404.09</v>
      </c>
    </row>
    <row r="6441" spans="1:2">
      <c r="A6441" s="3">
        <v>45610</v>
      </c>
      <c r="B6441" s="4">
        <v>1404.75</v>
      </c>
    </row>
    <row r="6442" spans="1:2">
      <c r="A6442" s="3">
        <v>45611</v>
      </c>
      <c r="B6442" s="4">
        <v>1393.68</v>
      </c>
    </row>
    <row r="6443" spans="1:2">
      <c r="A6443" s="3">
        <v>45614</v>
      </c>
      <c r="B6443" s="4">
        <v>1390.5</v>
      </c>
    </row>
    <row r="6444" spans="1:2">
      <c r="A6444" s="3">
        <v>45615</v>
      </c>
      <c r="B6444" s="4">
        <v>1392.32</v>
      </c>
    </row>
    <row r="6445" spans="1:2">
      <c r="A6445" s="3">
        <v>45616</v>
      </c>
      <c r="B6445" s="4">
        <v>1398.02</v>
      </c>
    </row>
    <row r="6446" spans="1:2">
      <c r="A6446" s="3">
        <v>45617</v>
      </c>
      <c r="B6446" s="4">
        <v>1399.15</v>
      </c>
    </row>
    <row r="6447" spans="1:2">
      <c r="A6447" s="3">
        <v>45618</v>
      </c>
      <c r="B6447" s="4">
        <v>1402.4</v>
      </c>
    </row>
    <row r="6448" spans="1:2">
      <c r="A6448" s="3">
        <v>45621</v>
      </c>
      <c r="B6448" s="4">
        <v>1398.06</v>
      </c>
    </row>
    <row r="6449" spans="1:2">
      <c r="A6449" s="3">
        <v>45622</v>
      </c>
      <c r="B6449" s="4">
        <v>1396.24</v>
      </c>
    </row>
    <row r="6450" spans="1:2">
      <c r="A6450" s="3">
        <v>45623</v>
      </c>
      <c r="B6450" s="4">
        <v>1388.58</v>
      </c>
    </row>
    <row r="6451" spans="1:2">
      <c r="A6451" s="3">
        <v>45624</v>
      </c>
      <c r="B6451" s="4">
        <v>1393.73</v>
      </c>
    </row>
    <row r="6452" spans="1:2">
      <c r="A6452" s="3">
        <v>45625</v>
      </c>
      <c r="B6452" s="4">
        <v>1394.67</v>
      </c>
    </row>
    <row r="6453" spans="1:2">
      <c r="A6453" s="3">
        <v>45628</v>
      </c>
      <c r="B6453" s="4">
        <v>1403.96</v>
      </c>
    </row>
    <row r="6454" spans="1:2">
      <c r="A6454" s="3">
        <v>45629</v>
      </c>
      <c r="B6454" s="4">
        <v>1414.47</v>
      </c>
    </row>
    <row r="6455" spans="1:2">
      <c r="A6455" s="3">
        <v>45630</v>
      </c>
      <c r="B6455" s="4">
        <v>1411.13</v>
      </c>
    </row>
    <row r="6456" spans="1:2">
      <c r="A6456" s="3">
        <v>45631</v>
      </c>
      <c r="B6456" s="4">
        <v>1413.28</v>
      </c>
    </row>
    <row r="6457" spans="1:2">
      <c r="A6457" s="3">
        <v>45632</v>
      </c>
      <c r="B6457" s="4">
        <v>1424.14</v>
      </c>
    </row>
    <row r="6458" spans="1:2">
      <c r="A6458" s="3">
        <v>45635</v>
      </c>
      <c r="B6458" s="4">
        <v>1428.4</v>
      </c>
    </row>
    <row r="6459" spans="1:2">
      <c r="A6459" s="3">
        <v>45636</v>
      </c>
      <c r="B6459" s="4">
        <v>1434.3</v>
      </c>
    </row>
    <row r="6460" spans="1:2">
      <c r="A6460" s="3">
        <v>45637</v>
      </c>
      <c r="B6460" s="4">
        <v>1427.81</v>
      </c>
    </row>
    <row r="6461" spans="1:2">
      <c r="A6461" s="3">
        <v>45638</v>
      </c>
      <c r="B6461" s="4">
        <v>1430.67</v>
      </c>
    </row>
    <row r="6462" spans="1:2">
      <c r="A6462" s="3">
        <v>45639</v>
      </c>
      <c r="B6462" s="4">
        <v>1434.03</v>
      </c>
    </row>
    <row r="6463" spans="1:2">
      <c r="A6463" s="3">
        <v>45642</v>
      </c>
      <c r="B6463" s="4">
        <v>1436.81</v>
      </c>
    </row>
    <row r="6464" spans="1:2">
      <c r="A6464" s="3">
        <v>45643</v>
      </c>
      <c r="B6464" s="4">
        <v>1437.39</v>
      </c>
    </row>
    <row r="6465" spans="1:2">
      <c r="A6465" s="3">
        <v>45644</v>
      </c>
      <c r="B6465" s="4">
        <v>1452.7</v>
      </c>
    </row>
    <row r="6466" spans="1:2">
      <c r="A6466" s="3">
        <v>45645</v>
      </c>
      <c r="B6466" s="4">
        <v>1444.52</v>
      </c>
    </row>
    <row r="6467" spans="1:2">
      <c r="A6467" s="3">
        <v>45646</v>
      </c>
      <c r="B6467" s="4">
        <v>1444.57</v>
      </c>
    </row>
    <row r="6468" spans="1:2">
      <c r="A6468" s="3">
        <v>45649</v>
      </c>
      <c r="B6468" s="4">
        <v>1451.28</v>
      </c>
    </row>
    <row r="6469" spans="1:2">
      <c r="A6469" s="3">
        <v>45650</v>
      </c>
      <c r="B6469" s="4">
        <v>1458.93</v>
      </c>
    </row>
    <row r="6470" spans="1:2">
      <c r="A6470" s="3">
        <v>45651</v>
      </c>
      <c r="B6470" s="4">
        <v>1456.52</v>
      </c>
    </row>
    <row r="6471" spans="1:2">
      <c r="A6471" s="3">
        <v>45652</v>
      </c>
      <c r="B6471" s="4">
        <v>1467.08</v>
      </c>
    </row>
    <row r="6472" spans="1:2">
      <c r="A6472" s="3">
        <v>45653</v>
      </c>
      <c r="B6472" s="4">
        <v>1472.5</v>
      </c>
    </row>
    <row r="6473" spans="1:2">
      <c r="A6473" s="3">
        <v>45656</v>
      </c>
      <c r="B6473" s="4">
        <v>1469.25</v>
      </c>
    </row>
    <row r="6474" spans="1:2">
      <c r="A6474" s="3">
        <v>45657</v>
      </c>
      <c r="B6474" s="4">
        <v>1476.78</v>
      </c>
    </row>
    <row r="6475" spans="1:2">
      <c r="A6475" s="3">
        <v>45658</v>
      </c>
      <c r="B6475" s="4">
        <v>1476.78</v>
      </c>
    </row>
    <row r="6476" spans="1:2">
      <c r="A6476" s="3">
        <v>45659</v>
      </c>
      <c r="B6476" s="4">
        <v>1469.77</v>
      </c>
    </row>
    <row r="6477" spans="1:2">
      <c r="A6477" s="3">
        <v>45660</v>
      </c>
      <c r="B6477" s="4">
        <v>1468.37</v>
      </c>
    </row>
    <row r="6478" spans="1:2">
      <c r="A6478" s="3">
        <v>45663</v>
      </c>
      <c r="B6478" s="4">
        <v>1461.08</v>
      </c>
    </row>
    <row r="6479" spans="1:2">
      <c r="A6479" s="3">
        <v>45664</v>
      </c>
      <c r="B6479" s="4">
        <v>1453.11</v>
      </c>
    </row>
    <row r="6480" spans="1:2">
      <c r="A6480" s="3">
        <v>45665</v>
      </c>
      <c r="B6480" s="4">
        <v>1458.48</v>
      </c>
    </row>
    <row r="6481" spans="1:2">
      <c r="A6481" s="3">
        <v>45666</v>
      </c>
      <c r="B6481" s="4">
        <v>1457.41</v>
      </c>
    </row>
    <row r="6482" spans="1:2">
      <c r="A6482" s="3">
        <v>45667</v>
      </c>
      <c r="B6482" s="4">
        <v>1473.08</v>
      </c>
    </row>
    <row r="6483" spans="1:2">
      <c r="A6483" s="3">
        <v>45670</v>
      </c>
      <c r="B6483" s="4">
        <v>1464.38</v>
      </c>
    </row>
    <row r="6484" spans="1:2">
      <c r="A6484" s="3">
        <v>45671</v>
      </c>
      <c r="B6484" s="4">
        <v>1458.16</v>
      </c>
    </row>
    <row r="6485" spans="1:2">
      <c r="A6485" s="3">
        <v>45672</v>
      </c>
      <c r="B6485" s="4">
        <v>1454.54</v>
      </c>
    </row>
    <row r="6486" spans="1:2">
      <c r="A6486" s="3">
        <v>45673</v>
      </c>
      <c r="B6486" s="4">
        <v>1455.75</v>
      </c>
    </row>
    <row r="6487" spans="1:2">
      <c r="A6487" s="3">
        <v>45674</v>
      </c>
      <c r="B6487" s="4">
        <v>1456.03</v>
      </c>
    </row>
    <row r="6488" spans="1:2">
      <c r="A6488" s="3">
        <v>45677</v>
      </c>
      <c r="B6488" s="4">
        <v>1436.67</v>
      </c>
    </row>
    <row r="6489" spans="1:2">
      <c r="A6489" s="3">
        <v>45678</v>
      </c>
      <c r="B6489" s="4">
        <v>1431.65</v>
      </c>
    </row>
    <row r="6490" spans="1:2">
      <c r="A6490" s="3">
        <v>45679</v>
      </c>
      <c r="B6490" s="4">
        <v>1435.12</v>
      </c>
    </row>
    <row r="6491" spans="1:2">
      <c r="A6491" s="3">
        <v>45680</v>
      </c>
      <c r="B6491" s="4">
        <v>1434.3</v>
      </c>
    </row>
    <row r="6492" spans="1:2">
      <c r="A6492" s="3">
        <v>45681</v>
      </c>
      <c r="B6492" s="4">
        <v>1427.98</v>
      </c>
    </row>
    <row r="6493" spans="1:2">
      <c r="A6493" s="3">
        <v>45684</v>
      </c>
      <c r="B6493" s="4">
        <v>1432.84</v>
      </c>
    </row>
    <row r="6494" spans="1:2">
      <c r="A6494" s="3">
        <v>45685</v>
      </c>
      <c r="B6494" s="4">
        <v>1445.37</v>
      </c>
    </row>
    <row r="6495" spans="1:2">
      <c r="A6495" s="3">
        <v>45686</v>
      </c>
      <c r="B6495" s="4">
        <v>1441.66</v>
      </c>
    </row>
    <row r="6496" spans="1:2">
      <c r="A6496" s="3">
        <v>45687</v>
      </c>
      <c r="B6496" s="4">
        <v>1443.57</v>
      </c>
    </row>
    <row r="6497" spans="1:2">
      <c r="A6497" s="3">
        <v>45688</v>
      </c>
      <c r="B6497" s="4">
        <v>1455.7</v>
      </c>
    </row>
    <row r="6498" spans="1:2">
      <c r="A6498" s="3">
        <v>45691</v>
      </c>
      <c r="B6498" s="4">
        <v>1458.57</v>
      </c>
    </row>
    <row r="6499" spans="1:2">
      <c r="A6499" s="3">
        <v>45692</v>
      </c>
      <c r="B6499" s="4">
        <v>1452.53</v>
      </c>
    </row>
    <row r="6500" spans="1:2">
      <c r="A6500" s="3">
        <v>45693</v>
      </c>
      <c r="B6500" s="4">
        <v>1443.76</v>
      </c>
    </row>
    <row r="6501" spans="1:2">
      <c r="A6501" s="3">
        <v>45694</v>
      </c>
      <c r="B6501" s="4">
        <v>1445.55</v>
      </c>
    </row>
    <row r="6502" spans="1:2">
      <c r="A6502" s="3">
        <v>45695</v>
      </c>
      <c r="B6502" s="4">
        <v>1453.44</v>
      </c>
    </row>
    <row r="6503" spans="1:2">
      <c r="A6503" s="3">
        <v>45698</v>
      </c>
      <c r="B6503" s="4">
        <v>1450.55</v>
      </c>
    </row>
    <row r="6504" spans="1:2">
      <c r="A6504" s="3">
        <v>45699</v>
      </c>
      <c r="B6504" s="4">
        <v>1450.86</v>
      </c>
    </row>
    <row r="6505" spans="1:2">
      <c r="A6505" s="3">
        <v>45700</v>
      </c>
      <c r="B6505" s="4">
        <v>1450.74</v>
      </c>
    </row>
    <row r="6506" spans="1:2">
      <c r="A6506" s="3">
        <v>45701</v>
      </c>
      <c r="B6506" s="4">
        <v>1439.33</v>
      </c>
    </row>
    <row r="6507" spans="1:2">
      <c r="A6507" s="3">
        <v>45702</v>
      </c>
      <c r="B6507" s="4">
        <v>1439.43</v>
      </c>
    </row>
    <row r="6508" spans="1:2">
      <c r="A6508" s="3">
        <v>45705</v>
      </c>
      <c r="B6508" s="4">
        <v>1441.28</v>
      </c>
    </row>
    <row r="6509" spans="1:2">
      <c r="A6509" s="3">
        <v>45706</v>
      </c>
      <c r="B6509" s="4">
        <v>1440.71</v>
      </c>
    </row>
    <row r="6510" spans="1:2">
      <c r="A6510" s="3">
        <v>45707</v>
      </c>
      <c r="B6510" s="4">
        <v>1439</v>
      </c>
    </row>
    <row r="6511" spans="1:2">
      <c r="A6511" s="3">
        <v>45708</v>
      </c>
      <c r="B6511" s="4">
        <v>1430.7</v>
      </c>
    </row>
    <row r="6512" spans="1:2">
      <c r="A6512" s="3">
        <v>45709</v>
      </c>
      <c r="B6512" s="4">
        <v>1433</v>
      </c>
    </row>
    <row r="6513" spans="1:2">
      <c r="A6513" s="3">
        <v>45712</v>
      </c>
      <c r="B6513" s="4">
        <v>1428.64</v>
      </c>
    </row>
    <row r="6514" spans="1:2">
      <c r="A6514" s="3">
        <v>45713</v>
      </c>
      <c r="B6514" s="4">
        <v>1433</v>
      </c>
    </row>
    <row r="6515" spans="1:2">
      <c r="A6515" s="3">
        <v>45714</v>
      </c>
      <c r="B6515" s="4">
        <v>1433.2</v>
      </c>
    </row>
    <row r="6516" spans="1:2">
      <c r="A6516" s="3">
        <v>45715</v>
      </c>
      <c r="B6516" s="4">
        <v>1450.48</v>
      </c>
    </row>
    <row r="6517" spans="1:2">
      <c r="A6517" s="3">
        <v>45716</v>
      </c>
      <c r="B6517" s="4">
        <v>1461.28</v>
      </c>
    </row>
    <row r="6518" spans="1:2">
      <c r="A6518" s="3">
        <v>45719</v>
      </c>
      <c r="B6518" s="4">
        <v>1457.94</v>
      </c>
    </row>
    <row r="6519" spans="1:2">
      <c r="A6519" s="3">
        <v>45720</v>
      </c>
      <c r="B6519" s="4">
        <v>1453.15</v>
      </c>
    </row>
    <row r="6520" spans="1:2">
      <c r="A6520" s="3">
        <v>45721</v>
      </c>
      <c r="B6520" s="4">
        <v>1445</v>
      </c>
    </row>
    <row r="6521" spans="1:2">
      <c r="A6521" s="3">
        <v>45722</v>
      </c>
      <c r="B6521" s="4">
        <v>1447.34</v>
      </c>
    </row>
    <row r="6522" spans="1:2">
      <c r="A6522" s="3">
        <v>45723</v>
      </c>
      <c r="B6522" s="4">
        <v>1449</v>
      </c>
    </row>
    <row r="6523" spans="1:2">
      <c r="A6523" s="3">
        <v>45726</v>
      </c>
      <c r="B6523" s="4">
        <v>1459.23</v>
      </c>
    </row>
    <row r="6524" spans="1:2">
      <c r="A6524" s="3">
        <v>45727</v>
      </c>
      <c r="B6524" s="4">
        <v>1451.08</v>
      </c>
    </row>
    <row r="6525" spans="1:2">
      <c r="A6525" s="3">
        <v>45728</v>
      </c>
      <c r="B6525" s="4">
        <v>1451</v>
      </c>
    </row>
    <row r="6526" spans="1:2">
      <c r="A6526" s="3">
        <v>45729</v>
      </c>
      <c r="B6526" s="4">
        <v>1453.23</v>
      </c>
    </row>
    <row r="6527" spans="1:2">
      <c r="A6527" s="3">
        <v>45730</v>
      </c>
      <c r="B6527" s="4">
        <v>1450.62</v>
      </c>
    </row>
    <row r="6528" spans="1:2">
      <c r="A6528" s="3">
        <v>45733</v>
      </c>
      <c r="B6528" s="4">
        <v>1442.95</v>
      </c>
    </row>
    <row r="6529" spans="1:2">
      <c r="A6529" s="3">
        <v>45734</v>
      </c>
      <c r="B6529" s="4">
        <v>1448.83</v>
      </c>
    </row>
    <row r="6530" spans="1:2">
      <c r="A6530" s="3">
        <v>45735</v>
      </c>
      <c r="B6530" s="4">
        <v>1460.7</v>
      </c>
    </row>
    <row r="6531" spans="1:2">
      <c r="A6531" s="3">
        <v>45736</v>
      </c>
      <c r="B6531" s="4">
        <v>1465.72</v>
      </c>
    </row>
    <row r="6532" spans="1:2">
      <c r="A6532" s="3">
        <v>45737</v>
      </c>
      <c r="B6532" s="4">
        <v>1463.32</v>
      </c>
    </row>
    <row r="6533" spans="1:2">
      <c r="A6533" s="3">
        <v>45740</v>
      </c>
      <c r="B6533" s="4">
        <v>1466.98</v>
      </c>
    </row>
    <row r="6534" spans="1:2">
      <c r="A6534" s="3">
        <v>45741</v>
      </c>
      <c r="B6534" s="4">
        <v>1462.98</v>
      </c>
    </row>
    <row r="6535" spans="1:2">
      <c r="A6535" s="3">
        <v>45742</v>
      </c>
      <c r="B6535" s="4">
        <v>1467.87</v>
      </c>
    </row>
    <row r="6536" spans="1:2">
      <c r="A6536" s="3">
        <v>45743</v>
      </c>
      <c r="B6536" s="4">
        <v>1464.66</v>
      </c>
    </row>
    <row r="6537" spans="1:2">
      <c r="A6537" s="3">
        <v>45744</v>
      </c>
      <c r="B6537" s="4">
        <v>1469.87</v>
      </c>
    </row>
    <row r="6538" spans="1:2">
      <c r="A6538" s="3">
        <v>45747</v>
      </c>
      <c r="B6538" s="4">
        <v>1472.05</v>
      </c>
    </row>
    <row r="6539" spans="1:2">
      <c r="A6539" s="3">
        <v>45748</v>
      </c>
      <c r="B6539" s="4">
        <v>1469.94</v>
      </c>
    </row>
    <row r="6540" spans="1:2">
      <c r="A6540" s="3">
        <v>45749</v>
      </c>
      <c r="B6540" s="4">
        <v>1463.19</v>
      </c>
    </row>
    <row r="6541" spans="1:2">
      <c r="A6541" s="3">
        <v>45750</v>
      </c>
      <c r="B6541" s="4">
        <v>1450.57</v>
      </c>
    </row>
    <row r="6542" spans="1:2">
      <c r="A6542" s="3">
        <v>45751</v>
      </c>
      <c r="B6542" s="4">
        <v>1458.51</v>
      </c>
    </row>
    <row r="6543" spans="1:2">
      <c r="A6543" s="3">
        <v>45753</v>
      </c>
      <c r="B6543" s="4">
        <v>1459.52</v>
      </c>
    </row>
    <row r="6544" spans="1:2">
      <c r="A6544" s="3">
        <v>45754</v>
      </c>
      <c r="B6544" s="4">
        <v>1464.07</v>
      </c>
    </row>
  </sheetData>
  <phoneticPr fontId="2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017BF-083A-C046-8770-1C19E5449790}">
  <dimension ref="A1:H22"/>
  <sheetViews>
    <sheetView workbookViewId="0">
      <selection activeCell="C1" sqref="C1:C1048576"/>
    </sheetView>
  </sheetViews>
  <sheetFormatPr defaultColWidth="11.5546875" defaultRowHeight="17.25"/>
  <cols>
    <col min="1" max="1" width="11.109375" style="5" customWidth="1"/>
    <col min="2" max="2" width="32.109375" customWidth="1"/>
    <col min="3" max="3" width="27.6640625" style="188" customWidth="1"/>
    <col min="4" max="4" width="17" style="13" customWidth="1"/>
    <col min="5" max="5" width="32.109375" customWidth="1"/>
    <col min="6" max="6" width="16" customWidth="1"/>
    <col min="7" max="7" width="20.6640625" customWidth="1"/>
    <col min="8" max="8" width="18" customWidth="1"/>
    <col min="9" max="9" width="20.33203125" customWidth="1"/>
  </cols>
  <sheetData>
    <row r="1" spans="1:8" s="69" customFormat="1" ht="18" thickBot="1">
      <c r="A1" s="72" t="s">
        <v>878</v>
      </c>
      <c r="B1" s="75" t="s">
        <v>877</v>
      </c>
      <c r="C1" s="187" t="s">
        <v>923</v>
      </c>
      <c r="D1" s="74" t="s">
        <v>891</v>
      </c>
      <c r="E1" s="74" t="s">
        <v>924</v>
      </c>
      <c r="F1" s="74" t="s">
        <v>890</v>
      </c>
      <c r="G1" s="73" t="s">
        <v>892</v>
      </c>
      <c r="H1" s="75" t="s">
        <v>893</v>
      </c>
    </row>
    <row r="2" spans="1:8">
      <c r="A2" s="76" t="s">
        <v>72</v>
      </c>
      <c r="B2" s="86" t="s">
        <v>849</v>
      </c>
      <c r="C2" s="188">
        <v>251042049.22049403</v>
      </c>
      <c r="D2" s="13" t="s">
        <v>68</v>
      </c>
      <c r="E2" s="77" t="s">
        <v>68</v>
      </c>
      <c r="F2" s="77" t="s">
        <v>68</v>
      </c>
      <c r="G2" s="77" t="s">
        <v>68</v>
      </c>
      <c r="H2" s="78" t="s">
        <v>887</v>
      </c>
    </row>
    <row r="3" spans="1:8">
      <c r="A3" s="79" t="s">
        <v>870</v>
      </c>
      <c r="B3" s="87" t="s">
        <v>850</v>
      </c>
      <c r="C3" s="188">
        <v>66233835.245926574</v>
      </c>
      <c r="D3" s="13" t="s">
        <v>68</v>
      </c>
      <c r="E3" s="80" t="s">
        <v>68</v>
      </c>
      <c r="F3" s="80" t="s">
        <v>68</v>
      </c>
      <c r="G3" s="80" t="s">
        <v>68</v>
      </c>
      <c r="H3" s="81" t="s">
        <v>887</v>
      </c>
    </row>
    <row r="4" spans="1:8">
      <c r="A4" s="79" t="s">
        <v>871</v>
      </c>
      <c r="B4" s="87" t="s">
        <v>851</v>
      </c>
      <c r="C4" s="188">
        <v>52098781.784649551</v>
      </c>
      <c r="D4" s="13" t="s">
        <v>68</v>
      </c>
      <c r="E4" s="80" t="s">
        <v>68</v>
      </c>
      <c r="F4" s="80" t="s">
        <v>68</v>
      </c>
      <c r="G4" s="80" t="s">
        <v>68</v>
      </c>
      <c r="H4" s="81" t="s">
        <v>887</v>
      </c>
    </row>
    <row r="5" spans="1:8">
      <c r="A5" s="79" t="s">
        <v>872</v>
      </c>
      <c r="B5" s="87" t="s">
        <v>852</v>
      </c>
      <c r="C5" s="188">
        <v>338484182.95066041</v>
      </c>
      <c r="D5" s="13" t="s">
        <v>925</v>
      </c>
      <c r="E5" s="80" t="s">
        <v>920</v>
      </c>
      <c r="F5" s="80" t="s">
        <v>68</v>
      </c>
      <c r="G5" s="80" t="s">
        <v>68</v>
      </c>
      <c r="H5" s="81" t="s">
        <v>887</v>
      </c>
    </row>
    <row r="6" spans="1:8">
      <c r="A6" s="79" t="s">
        <v>205</v>
      </c>
      <c r="B6" s="87" t="s">
        <v>853</v>
      </c>
      <c r="C6" s="189">
        <v>192420000</v>
      </c>
      <c r="D6" s="13" t="s">
        <v>925</v>
      </c>
      <c r="E6" s="80" t="s">
        <v>920</v>
      </c>
      <c r="F6" s="80" t="s">
        <v>68</v>
      </c>
      <c r="G6" s="80" t="s">
        <v>68</v>
      </c>
      <c r="H6" s="81" t="s">
        <v>887</v>
      </c>
    </row>
    <row r="7" spans="1:8">
      <c r="A7" s="79" t="s">
        <v>39</v>
      </c>
      <c r="B7" s="87" t="s">
        <v>854</v>
      </c>
      <c r="C7" s="188">
        <v>492053649.84840721</v>
      </c>
      <c r="D7" s="13" t="s">
        <v>68</v>
      </c>
      <c r="E7" s="80" t="s">
        <v>68</v>
      </c>
      <c r="F7" s="80" t="s">
        <v>68</v>
      </c>
      <c r="G7" s="80" t="s">
        <v>922</v>
      </c>
      <c r="H7" s="81" t="s">
        <v>887</v>
      </c>
    </row>
    <row r="8" spans="1:8">
      <c r="A8" s="79" t="s">
        <v>151</v>
      </c>
      <c r="B8" s="87" t="s">
        <v>855</v>
      </c>
      <c r="C8" s="188">
        <v>66292705.086700179</v>
      </c>
      <c r="D8" s="13" t="s">
        <v>68</v>
      </c>
      <c r="E8" s="80" t="s">
        <v>68</v>
      </c>
      <c r="F8" s="80" t="s">
        <v>68</v>
      </c>
      <c r="G8" s="80" t="s">
        <v>922</v>
      </c>
      <c r="H8" s="81" t="s">
        <v>887</v>
      </c>
    </row>
    <row r="9" spans="1:8">
      <c r="A9" s="79" t="s">
        <v>873</v>
      </c>
      <c r="B9" s="87" t="s">
        <v>856</v>
      </c>
      <c r="C9" s="188">
        <v>43212889.79262168</v>
      </c>
      <c r="D9" s="13" t="s">
        <v>68</v>
      </c>
      <c r="E9" s="80" t="s">
        <v>68</v>
      </c>
      <c r="F9" s="80" t="s">
        <v>68</v>
      </c>
      <c r="G9" s="80" t="s">
        <v>922</v>
      </c>
      <c r="H9" s="81" t="s">
        <v>887</v>
      </c>
    </row>
    <row r="10" spans="1:8">
      <c r="A10" s="79" t="s">
        <v>65</v>
      </c>
      <c r="B10" s="87" t="s">
        <v>857</v>
      </c>
      <c r="C10" s="188">
        <v>78394791.279238656</v>
      </c>
      <c r="D10" s="13" t="s">
        <v>880</v>
      </c>
      <c r="E10" s="80" t="s">
        <v>921</v>
      </c>
      <c r="F10" s="80" t="s">
        <v>887</v>
      </c>
      <c r="G10" s="80" t="s">
        <v>887</v>
      </c>
      <c r="H10" s="81" t="s">
        <v>887</v>
      </c>
    </row>
    <row r="11" spans="1:8">
      <c r="A11" s="79" t="s">
        <v>198</v>
      </c>
      <c r="B11" s="87" t="s">
        <v>858</v>
      </c>
      <c r="C11" s="188">
        <v>11366644.861785293</v>
      </c>
      <c r="D11" s="13" t="s">
        <v>884</v>
      </c>
      <c r="E11" s="80" t="s">
        <v>921</v>
      </c>
      <c r="F11" s="80" t="s">
        <v>887</v>
      </c>
      <c r="G11" s="80" t="s">
        <v>68</v>
      </c>
      <c r="H11" s="81" t="s">
        <v>887</v>
      </c>
    </row>
    <row r="12" spans="1:8">
      <c r="A12" s="79" t="s">
        <v>31</v>
      </c>
      <c r="B12" s="87" t="s">
        <v>859</v>
      </c>
      <c r="C12" s="188">
        <v>30488210.05795563</v>
      </c>
      <c r="D12" s="13" t="s">
        <v>883</v>
      </c>
      <c r="E12" s="80" t="s">
        <v>921</v>
      </c>
      <c r="F12" s="80" t="s">
        <v>887</v>
      </c>
      <c r="G12" s="80" t="s">
        <v>68</v>
      </c>
      <c r="H12" s="81" t="s">
        <v>68</v>
      </c>
    </row>
    <row r="13" spans="1:8">
      <c r="A13" s="79" t="s">
        <v>295</v>
      </c>
      <c r="B13" s="87" t="s">
        <v>860</v>
      </c>
      <c r="C13" s="188">
        <v>34242028.763710946</v>
      </c>
      <c r="D13" s="13" t="s">
        <v>68</v>
      </c>
      <c r="E13" s="80" t="s">
        <v>68</v>
      </c>
      <c r="F13" s="80" t="s">
        <v>68</v>
      </c>
      <c r="G13" s="80" t="s">
        <v>922</v>
      </c>
      <c r="H13" s="81" t="s">
        <v>887</v>
      </c>
    </row>
    <row r="14" spans="1:8">
      <c r="A14" s="79" t="s">
        <v>29</v>
      </c>
      <c r="B14" s="87" t="s">
        <v>861</v>
      </c>
      <c r="C14" s="188">
        <v>41764134.06271892</v>
      </c>
      <c r="D14" s="13" t="s">
        <v>882</v>
      </c>
      <c r="E14" s="80" t="s">
        <v>921</v>
      </c>
      <c r="F14" s="80" t="s">
        <v>887</v>
      </c>
      <c r="G14" s="80" t="s">
        <v>68</v>
      </c>
      <c r="H14" s="81" t="s">
        <v>68</v>
      </c>
    </row>
    <row r="15" spans="1:8">
      <c r="A15" s="79" t="s">
        <v>79</v>
      </c>
      <c r="B15" s="87" t="s">
        <v>862</v>
      </c>
      <c r="C15" s="188">
        <v>327984653.90894336</v>
      </c>
      <c r="D15" s="13" t="s">
        <v>880</v>
      </c>
      <c r="E15" s="80" t="s">
        <v>921</v>
      </c>
      <c r="F15" s="80" t="s">
        <v>887</v>
      </c>
      <c r="G15" s="80" t="s">
        <v>887</v>
      </c>
      <c r="H15" s="81" t="s">
        <v>887</v>
      </c>
    </row>
    <row r="16" spans="1:8">
      <c r="A16" s="79" t="s">
        <v>874</v>
      </c>
      <c r="B16" s="87" t="s">
        <v>863</v>
      </c>
      <c r="C16" s="188">
        <v>61482039.853174374</v>
      </c>
      <c r="D16" s="13" t="s">
        <v>880</v>
      </c>
      <c r="E16" s="80" t="s">
        <v>921</v>
      </c>
      <c r="F16" s="80" t="s">
        <v>887</v>
      </c>
      <c r="G16" s="80" t="s">
        <v>887</v>
      </c>
      <c r="H16" s="81" t="s">
        <v>887</v>
      </c>
    </row>
    <row r="17" spans="1:8">
      <c r="A17" s="79" t="s">
        <v>506</v>
      </c>
      <c r="B17" s="87" t="s">
        <v>864</v>
      </c>
      <c r="C17" s="188">
        <v>283629686.32001239</v>
      </c>
      <c r="D17" s="13" t="s">
        <v>881</v>
      </c>
      <c r="E17" s="80" t="s">
        <v>921</v>
      </c>
      <c r="F17" s="80" t="s">
        <v>887</v>
      </c>
      <c r="G17" s="80" t="s">
        <v>887</v>
      </c>
      <c r="H17" s="81" t="s">
        <v>887</v>
      </c>
    </row>
    <row r="18" spans="1:8">
      <c r="A18" s="79" t="s">
        <v>555</v>
      </c>
      <c r="B18" s="87" t="s">
        <v>865</v>
      </c>
      <c r="C18" s="188">
        <v>57080362.159746468</v>
      </c>
      <c r="D18" s="13" t="s">
        <v>881</v>
      </c>
      <c r="E18" s="80" t="s">
        <v>921</v>
      </c>
      <c r="F18" s="80" t="s">
        <v>887</v>
      </c>
      <c r="G18" s="80" t="s">
        <v>887</v>
      </c>
      <c r="H18" s="81" t="s">
        <v>887</v>
      </c>
    </row>
    <row r="19" spans="1:8">
      <c r="A19" s="79" t="s">
        <v>875</v>
      </c>
      <c r="B19" s="87" t="s">
        <v>866</v>
      </c>
      <c r="C19" s="188">
        <v>13324937.642901201</v>
      </c>
      <c r="D19" s="13" t="s">
        <v>881</v>
      </c>
      <c r="E19" s="80" t="s">
        <v>920</v>
      </c>
      <c r="F19" s="80" t="s">
        <v>68</v>
      </c>
      <c r="G19" s="80" t="s">
        <v>887</v>
      </c>
      <c r="H19" s="81" t="s">
        <v>887</v>
      </c>
    </row>
    <row r="20" spans="1:8">
      <c r="A20" s="79" t="s">
        <v>700</v>
      </c>
      <c r="B20" s="87" t="s">
        <v>867</v>
      </c>
      <c r="C20" s="188">
        <v>44600339.904284239</v>
      </c>
      <c r="D20" s="13" t="s">
        <v>881</v>
      </c>
      <c r="E20" s="80" t="s">
        <v>921</v>
      </c>
      <c r="F20" s="80" t="s">
        <v>887</v>
      </c>
      <c r="G20" s="80" t="s">
        <v>887</v>
      </c>
      <c r="H20" s="81" t="s">
        <v>887</v>
      </c>
    </row>
    <row r="21" spans="1:8">
      <c r="A21" s="79" t="s">
        <v>622</v>
      </c>
      <c r="B21" s="87" t="s">
        <v>868</v>
      </c>
      <c r="C21" s="188">
        <v>34656368.934293799</v>
      </c>
      <c r="D21" s="13" t="s">
        <v>68</v>
      </c>
      <c r="E21" s="80" t="s">
        <v>68</v>
      </c>
      <c r="F21" s="80" t="s">
        <v>68</v>
      </c>
      <c r="G21" s="80" t="s">
        <v>68</v>
      </c>
      <c r="H21" s="81" t="s">
        <v>887</v>
      </c>
    </row>
    <row r="22" spans="1:8" ht="18" thickBot="1">
      <c r="A22" s="82" t="s">
        <v>876</v>
      </c>
      <c r="B22" s="88" t="s">
        <v>869</v>
      </c>
      <c r="C22" s="190">
        <v>0</v>
      </c>
      <c r="D22" s="83" t="s">
        <v>68</v>
      </c>
      <c r="E22" s="84" t="s">
        <v>68</v>
      </c>
      <c r="F22" s="84" t="s">
        <v>887</v>
      </c>
      <c r="G22" s="84" t="s">
        <v>68</v>
      </c>
      <c r="H22" s="85" t="s">
        <v>887</v>
      </c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CEEAD-125B-B443-8772-61A68D98CD0E}">
  <dimension ref="A1:B11"/>
  <sheetViews>
    <sheetView zoomScale="125" workbookViewId="0">
      <selection sqref="A1:B11"/>
    </sheetView>
  </sheetViews>
  <sheetFormatPr defaultColWidth="11.5546875" defaultRowHeight="17.25"/>
  <cols>
    <col min="1" max="1" width="20.33203125" customWidth="1"/>
    <col min="2" max="2" width="21.109375" customWidth="1"/>
  </cols>
  <sheetData>
    <row r="1" spans="1:2">
      <c r="A1" t="s">
        <v>900</v>
      </c>
      <c r="B1" s="69" t="s">
        <v>888</v>
      </c>
    </row>
    <row r="2" spans="1:2">
      <c r="A2" s="70" t="s">
        <v>882</v>
      </c>
      <c r="B2">
        <v>0.6</v>
      </c>
    </row>
    <row r="3" spans="1:2">
      <c r="A3" s="70" t="s">
        <v>883</v>
      </c>
      <c r="B3">
        <v>0.8</v>
      </c>
    </row>
    <row r="4" spans="1:2">
      <c r="A4" s="70" t="s">
        <v>881</v>
      </c>
      <c r="B4">
        <v>0.4</v>
      </c>
    </row>
    <row r="5" spans="1:2">
      <c r="A5" s="70" t="s">
        <v>884</v>
      </c>
      <c r="B5">
        <v>0.8</v>
      </c>
    </row>
    <row r="6" spans="1:2">
      <c r="A6" s="70" t="s">
        <v>880</v>
      </c>
      <c r="B6">
        <v>0.3</v>
      </c>
    </row>
    <row r="7" spans="1:2">
      <c r="A7" s="71" t="s">
        <v>886</v>
      </c>
      <c r="B7">
        <v>0.2</v>
      </c>
    </row>
    <row r="8" spans="1:2">
      <c r="A8" s="71" t="s">
        <v>885</v>
      </c>
      <c r="B8">
        <v>0.45</v>
      </c>
    </row>
    <row r="9" spans="1:2">
      <c r="A9" s="70" t="s">
        <v>879</v>
      </c>
      <c r="B9">
        <v>0</v>
      </c>
    </row>
    <row r="10" spans="1:2">
      <c r="A10" s="70" t="s">
        <v>889</v>
      </c>
      <c r="B10">
        <v>0</v>
      </c>
    </row>
    <row r="11" spans="1:2">
      <c r="A11" s="70" t="s">
        <v>925</v>
      </c>
      <c r="B11">
        <v>0.5</v>
      </c>
    </row>
  </sheetData>
  <phoneticPr fontId="28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004AE-B42D-384C-BFF1-B002B96DD67C}">
  <dimension ref="A1:C22"/>
  <sheetViews>
    <sheetView workbookViewId="0">
      <selection activeCell="E22" sqref="E22"/>
    </sheetView>
  </sheetViews>
  <sheetFormatPr defaultColWidth="11.5546875" defaultRowHeight="17.25"/>
  <cols>
    <col min="2" max="3" width="17.6640625" customWidth="1"/>
  </cols>
  <sheetData>
    <row r="1" spans="1:3" s="89" customFormat="1" ht="18" thickBot="1">
      <c r="A1" s="97" t="s">
        <v>878</v>
      </c>
      <c r="B1" s="90" t="s">
        <v>926</v>
      </c>
      <c r="C1" s="91" t="s">
        <v>927</v>
      </c>
    </row>
    <row r="2" spans="1:3">
      <c r="A2" s="98" t="s">
        <v>72</v>
      </c>
      <c r="B2" s="92">
        <v>-2</v>
      </c>
      <c r="C2" s="93">
        <v>7.4999504811462376</v>
      </c>
    </row>
    <row r="3" spans="1:3">
      <c r="A3" s="99" t="s">
        <v>870</v>
      </c>
      <c r="B3" s="13">
        <v>-2</v>
      </c>
      <c r="C3" s="94">
        <v>7.4999504811462376</v>
      </c>
    </row>
    <row r="4" spans="1:3">
      <c r="A4" s="99" t="s">
        <v>871</v>
      </c>
      <c r="B4" s="13">
        <v>-2</v>
      </c>
      <c r="C4" s="94">
        <v>7.4999504811462376</v>
      </c>
    </row>
    <row r="5" spans="1:3">
      <c r="A5" s="99" t="s">
        <v>872</v>
      </c>
      <c r="B5" s="13">
        <v>-2</v>
      </c>
      <c r="C5" s="94">
        <v>7.4999504811462376</v>
      </c>
    </row>
    <row r="6" spans="1:3">
      <c r="A6" s="99" t="s">
        <v>205</v>
      </c>
      <c r="B6" s="13">
        <v>-2</v>
      </c>
      <c r="C6" s="94">
        <v>7.4999504811462376</v>
      </c>
    </row>
    <row r="7" spans="1:3">
      <c r="A7" s="99" t="s">
        <v>39</v>
      </c>
      <c r="B7" s="13">
        <v>0</v>
      </c>
      <c r="C7" s="94">
        <v>1.4861108333333333</v>
      </c>
    </row>
    <row r="8" spans="1:3">
      <c r="A8" s="99" t="s">
        <v>151</v>
      </c>
      <c r="B8" s="13">
        <v>2.486110833333333</v>
      </c>
      <c r="C8" s="94">
        <v>8.9527291277181007</v>
      </c>
    </row>
    <row r="9" spans="1:3">
      <c r="A9" s="99" t="s">
        <v>873</v>
      </c>
      <c r="B9" s="13">
        <v>1.4861108333333333</v>
      </c>
      <c r="C9" s="94">
        <v>2.486110833333333</v>
      </c>
    </row>
    <row r="10" spans="1:3">
      <c r="A10" s="99" t="s">
        <v>65</v>
      </c>
      <c r="B10" s="13">
        <v>0</v>
      </c>
      <c r="C10" s="94">
        <v>6.9999513499403223</v>
      </c>
    </row>
    <row r="11" spans="1:3">
      <c r="A11" s="99" t="s">
        <v>198</v>
      </c>
      <c r="B11" s="13">
        <v>0</v>
      </c>
      <c r="C11" s="94">
        <v>1.9999860999829493</v>
      </c>
    </row>
    <row r="12" spans="1:3">
      <c r="A12" s="99" t="s">
        <v>31</v>
      </c>
      <c r="B12" s="13">
        <v>1.9527777777777782</v>
      </c>
      <c r="C12" s="94">
        <v>4.4527604027564651</v>
      </c>
    </row>
    <row r="13" spans="1:3">
      <c r="A13" s="99" t="s">
        <v>295</v>
      </c>
      <c r="B13" s="13">
        <v>1.9527777777777782</v>
      </c>
      <c r="C13" s="94">
        <v>3.9527638777607272</v>
      </c>
    </row>
    <row r="14" spans="1:3">
      <c r="A14" s="99" t="s">
        <v>29</v>
      </c>
      <c r="B14" s="13">
        <v>1.9527777777777782</v>
      </c>
      <c r="C14" s="94">
        <v>6.452746502739414</v>
      </c>
    </row>
    <row r="15" spans="1:3">
      <c r="A15" s="99" t="s">
        <v>79</v>
      </c>
      <c r="B15" s="13">
        <v>0</v>
      </c>
      <c r="C15" s="94">
        <v>4.4999765437008499</v>
      </c>
    </row>
    <row r="16" spans="1:3">
      <c r="A16" s="99" t="s">
        <v>874</v>
      </c>
      <c r="B16" s="13">
        <v>4.4999765437008499</v>
      </c>
      <c r="C16" s="94">
        <v>5.4999713311899274</v>
      </c>
    </row>
    <row r="17" spans="1:3">
      <c r="A17" s="99" t="s">
        <v>506</v>
      </c>
      <c r="B17" s="13">
        <v>1.9527777777777782</v>
      </c>
      <c r="C17" s="94">
        <v>8.9527291277181007</v>
      </c>
    </row>
    <row r="18" spans="1:3">
      <c r="A18" s="99" t="s">
        <v>555</v>
      </c>
      <c r="B18" s="13">
        <v>1.9527777777777782</v>
      </c>
      <c r="C18" s="94">
        <v>8.9527291277181007</v>
      </c>
    </row>
    <row r="19" spans="1:3">
      <c r="A19" s="99" t="s">
        <v>875</v>
      </c>
      <c r="B19" s="13">
        <v>1.9527777777777782</v>
      </c>
      <c r="C19" s="94">
        <v>8.9527291277181007</v>
      </c>
    </row>
    <row r="20" spans="1:3">
      <c r="A20" s="99" t="s">
        <v>700</v>
      </c>
      <c r="B20" s="13">
        <v>1.9527777777777782</v>
      </c>
      <c r="C20" s="94">
        <v>3.9527638777607272</v>
      </c>
    </row>
    <row r="21" spans="1:3">
      <c r="A21" s="99" t="s">
        <v>622</v>
      </c>
      <c r="B21" s="13">
        <v>1.9527777777777782</v>
      </c>
      <c r="C21" s="94">
        <v>3.9527638777607272</v>
      </c>
    </row>
    <row r="22" spans="1:3" ht="18" thickBot="1">
      <c r="A22" s="100" t="s">
        <v>876</v>
      </c>
      <c r="B22" s="95">
        <v>1.9527777777777782</v>
      </c>
      <c r="C22" s="96">
        <v>10.452729127718101</v>
      </c>
    </row>
  </sheetData>
  <phoneticPr fontId="2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1164-D087-5845-96EF-1582F68A4D0D}">
  <dimension ref="A1:P36"/>
  <sheetViews>
    <sheetView showGridLines="0" zoomScale="75" workbookViewId="0">
      <selection activeCell="D36" sqref="D36"/>
    </sheetView>
  </sheetViews>
  <sheetFormatPr defaultColWidth="11.5546875" defaultRowHeight="17.25"/>
  <cols>
    <col min="1" max="1" width="15.33203125" customWidth="1"/>
    <col min="2" max="2" width="22.77734375" customWidth="1"/>
    <col min="3" max="3" width="75.6640625" customWidth="1"/>
    <col min="4" max="4" width="47.33203125" customWidth="1"/>
    <col min="5" max="6" width="14.109375" customWidth="1"/>
    <col min="7" max="7" width="19.109375" customWidth="1"/>
    <col min="8" max="8" width="24.77734375" customWidth="1"/>
    <col min="9" max="10" width="24.44140625" customWidth="1"/>
    <col min="11" max="11" width="15.77734375" customWidth="1"/>
    <col min="12" max="12" width="14.6640625" customWidth="1"/>
    <col min="13" max="13" width="32.33203125" customWidth="1"/>
    <col min="14" max="14" width="28.33203125" customWidth="1"/>
    <col min="15" max="16" width="19.44140625" customWidth="1"/>
  </cols>
  <sheetData>
    <row r="1" spans="1:16" ht="18" thickBot="1">
      <c r="A1" s="126" t="s">
        <v>973</v>
      </c>
      <c r="B1" s="159" t="s">
        <v>962</v>
      </c>
      <c r="C1" s="170" t="s">
        <v>979</v>
      </c>
      <c r="D1" s="131" t="s">
        <v>985</v>
      </c>
      <c r="E1" s="102" t="s">
        <v>928</v>
      </c>
      <c r="F1" s="102" t="s">
        <v>929</v>
      </c>
      <c r="G1" s="102" t="s">
        <v>930</v>
      </c>
      <c r="H1" s="102" t="s">
        <v>931</v>
      </c>
      <c r="I1" s="131" t="s">
        <v>932</v>
      </c>
      <c r="J1" s="101" t="s">
        <v>972</v>
      </c>
      <c r="K1" s="102" t="s">
        <v>926</v>
      </c>
      <c r="L1" s="103" t="s">
        <v>927</v>
      </c>
      <c r="M1" s="102" t="s">
        <v>933</v>
      </c>
      <c r="N1" s="102" t="s">
        <v>934</v>
      </c>
      <c r="O1" s="102" t="s">
        <v>935</v>
      </c>
      <c r="P1" s="103" t="s">
        <v>936</v>
      </c>
    </row>
    <row r="2" spans="1:16">
      <c r="A2" s="149" t="s">
        <v>39</v>
      </c>
      <c r="B2" s="160"/>
      <c r="C2" s="171"/>
      <c r="D2" s="173" t="s">
        <v>937</v>
      </c>
      <c r="E2" s="105"/>
      <c r="F2" s="105"/>
      <c r="G2" s="106"/>
      <c r="H2" s="106"/>
      <c r="I2" s="133"/>
      <c r="J2" s="134"/>
      <c r="K2" s="135"/>
      <c r="L2" s="136"/>
      <c r="M2" s="106"/>
      <c r="N2" s="106"/>
      <c r="O2" s="107"/>
      <c r="P2" s="108"/>
    </row>
    <row r="3" spans="1:16">
      <c r="A3" s="127" t="s">
        <v>39</v>
      </c>
      <c r="B3" s="5" t="s">
        <v>937</v>
      </c>
      <c r="C3" s="166"/>
      <c r="D3" s="164" t="s">
        <v>938</v>
      </c>
      <c r="E3" s="122">
        <v>41062</v>
      </c>
      <c r="F3" s="122">
        <v>41117</v>
      </c>
      <c r="G3" s="104">
        <v>1.8333333333333333</v>
      </c>
      <c r="H3" s="104">
        <v>38146.97</v>
      </c>
      <c r="I3" s="137"/>
      <c r="J3" s="138"/>
      <c r="K3" s="104"/>
      <c r="L3" s="139"/>
      <c r="M3" s="104">
        <v>-1.8333333333333333</v>
      </c>
      <c r="N3" s="104">
        <v>0</v>
      </c>
      <c r="O3">
        <v>45</v>
      </c>
      <c r="P3" s="109">
        <v>55</v>
      </c>
    </row>
    <row r="4" spans="1:16">
      <c r="A4" s="127" t="s">
        <v>39</v>
      </c>
      <c r="B4" s="5" t="s">
        <v>937</v>
      </c>
      <c r="C4" s="167" t="s">
        <v>938</v>
      </c>
      <c r="D4" s="164" t="s">
        <v>939</v>
      </c>
      <c r="E4" s="122">
        <v>41111</v>
      </c>
      <c r="F4" s="122">
        <v>41171</v>
      </c>
      <c r="G4" s="104">
        <v>2</v>
      </c>
      <c r="H4" s="104">
        <v>9301.85</v>
      </c>
      <c r="I4" s="137"/>
      <c r="J4" s="138"/>
      <c r="K4" s="104"/>
      <c r="L4" s="139"/>
      <c r="M4" s="104">
        <v>-0.2</v>
      </c>
      <c r="N4" s="104">
        <v>1.8</v>
      </c>
      <c r="O4">
        <v>55</v>
      </c>
      <c r="P4" s="109">
        <v>66</v>
      </c>
    </row>
    <row r="5" spans="1:16" ht="18" thickBot="1">
      <c r="A5" s="127" t="s">
        <v>39</v>
      </c>
      <c r="B5" s="5" t="s">
        <v>937</v>
      </c>
      <c r="C5" s="167" t="s">
        <v>939</v>
      </c>
      <c r="D5" s="172" t="s">
        <v>940</v>
      </c>
      <c r="E5" s="110">
        <v>41170</v>
      </c>
      <c r="F5" s="110">
        <v>41255</v>
      </c>
      <c r="G5" s="111">
        <v>2.8333333333333335</v>
      </c>
      <c r="H5" s="111">
        <v>9059.7199999999993</v>
      </c>
      <c r="I5" s="140"/>
      <c r="J5" s="141"/>
      <c r="K5" s="111"/>
      <c r="L5" s="142"/>
      <c r="M5" s="111">
        <v>1.7666666666666666</v>
      </c>
      <c r="N5" s="111">
        <v>4.5999999999999996</v>
      </c>
      <c r="O5" s="112">
        <v>66</v>
      </c>
      <c r="P5" s="113">
        <v>78</v>
      </c>
    </row>
    <row r="6" spans="1:16">
      <c r="A6" s="150"/>
      <c r="B6" s="161"/>
      <c r="C6" s="168"/>
      <c r="D6" s="174" t="s">
        <v>941</v>
      </c>
      <c r="E6" s="114"/>
      <c r="F6" s="114"/>
      <c r="G6" s="115"/>
      <c r="H6" s="115"/>
      <c r="I6" s="132"/>
      <c r="J6" s="130"/>
      <c r="K6" s="115"/>
      <c r="L6" s="124"/>
      <c r="M6" s="115"/>
      <c r="N6" s="115"/>
      <c r="O6" s="116"/>
      <c r="P6" s="117"/>
    </row>
    <row r="7" spans="1:16">
      <c r="A7" s="127" t="s">
        <v>39</v>
      </c>
      <c r="B7" s="5" t="s">
        <v>974</v>
      </c>
      <c r="C7" s="167" t="s">
        <v>940</v>
      </c>
      <c r="D7" s="164" t="s">
        <v>965</v>
      </c>
      <c r="E7" s="122">
        <v>41256</v>
      </c>
      <c r="F7" s="122">
        <v>41282</v>
      </c>
      <c r="G7" s="104">
        <v>0.8666666666666667</v>
      </c>
      <c r="H7" s="104">
        <v>256.94</v>
      </c>
      <c r="I7" s="137"/>
      <c r="J7" s="138"/>
      <c r="K7" s="104"/>
      <c r="L7" s="139"/>
      <c r="M7" s="104">
        <v>4.6333333333333337</v>
      </c>
      <c r="N7" s="104">
        <v>5.5</v>
      </c>
      <c r="O7">
        <v>66</v>
      </c>
      <c r="P7" s="109">
        <v>69</v>
      </c>
    </row>
    <row r="8" spans="1:16" ht="18" thickBot="1">
      <c r="A8" s="127" t="s">
        <v>39</v>
      </c>
      <c r="B8" s="5" t="s">
        <v>974</v>
      </c>
      <c r="C8" s="167" t="s">
        <v>965</v>
      </c>
      <c r="D8" s="172" t="s">
        <v>942</v>
      </c>
      <c r="E8" s="110">
        <v>41289</v>
      </c>
      <c r="F8" s="110">
        <v>41446</v>
      </c>
      <c r="G8" s="111">
        <v>5.2333333333333334</v>
      </c>
      <c r="H8" s="111">
        <v>5095.2299999999996</v>
      </c>
      <c r="I8" s="140"/>
      <c r="J8" s="141"/>
      <c r="K8" s="111"/>
      <c r="L8" s="142"/>
      <c r="M8" s="111">
        <v>5.7333333333333334</v>
      </c>
      <c r="N8" s="111">
        <v>10.966666666666667</v>
      </c>
      <c r="O8" s="112">
        <v>69</v>
      </c>
      <c r="P8" s="113">
        <v>100</v>
      </c>
    </row>
    <row r="9" spans="1:16">
      <c r="A9" s="150"/>
      <c r="B9" s="161"/>
      <c r="C9" s="168"/>
      <c r="D9" s="174" t="s">
        <v>943</v>
      </c>
      <c r="E9" s="114"/>
      <c r="F9" s="114"/>
      <c r="G9" s="115"/>
      <c r="H9" s="115"/>
      <c r="I9" s="132"/>
      <c r="J9" s="130"/>
      <c r="K9" s="115"/>
      <c r="L9" s="124"/>
      <c r="M9" s="115"/>
      <c r="N9" s="115"/>
      <c r="O9" s="116"/>
      <c r="P9" s="117"/>
    </row>
    <row r="10" spans="1:16">
      <c r="A10" s="127" t="s">
        <v>39</v>
      </c>
      <c r="B10" s="5" t="s">
        <v>974</v>
      </c>
      <c r="C10" s="167" t="s">
        <v>965</v>
      </c>
      <c r="D10" s="164" t="s">
        <v>963</v>
      </c>
      <c r="E10" s="122">
        <v>41268</v>
      </c>
      <c r="F10" s="122">
        <v>41347</v>
      </c>
      <c r="G10" s="104">
        <v>2.6333333333333333</v>
      </c>
      <c r="H10" s="104">
        <v>1736.3</v>
      </c>
      <c r="I10" s="137"/>
      <c r="J10" s="138"/>
      <c r="K10" s="104"/>
      <c r="L10" s="139"/>
      <c r="M10" s="104">
        <v>5.0333333333333332</v>
      </c>
      <c r="N10" s="104">
        <v>7.666666666666667</v>
      </c>
      <c r="O10">
        <v>78</v>
      </c>
      <c r="P10" s="109">
        <v>81</v>
      </c>
    </row>
    <row r="11" spans="1:16">
      <c r="A11" s="127" t="s">
        <v>39</v>
      </c>
      <c r="B11" s="5" t="s">
        <v>974</v>
      </c>
      <c r="C11" s="167" t="s">
        <v>963</v>
      </c>
      <c r="D11" s="164" t="s">
        <v>964</v>
      </c>
      <c r="E11" s="122">
        <v>41318</v>
      </c>
      <c r="F11" s="122">
        <v>41347</v>
      </c>
      <c r="G11" s="104">
        <v>0.96666666666666667</v>
      </c>
      <c r="H11" s="104">
        <v>1736.3</v>
      </c>
      <c r="I11" s="137"/>
      <c r="J11" s="138"/>
      <c r="K11" s="104"/>
      <c r="L11" s="139"/>
      <c r="M11" s="104">
        <v>6.7</v>
      </c>
      <c r="N11" s="104">
        <v>7.666666666666667</v>
      </c>
      <c r="O11">
        <v>78</v>
      </c>
      <c r="P11" s="109">
        <v>81</v>
      </c>
    </row>
    <row r="12" spans="1:16">
      <c r="A12" s="127" t="s">
        <v>39</v>
      </c>
      <c r="B12" s="5" t="s">
        <v>974</v>
      </c>
      <c r="C12" s="167" t="s">
        <v>963</v>
      </c>
      <c r="D12" s="164" t="s">
        <v>944</v>
      </c>
      <c r="E12" s="122">
        <v>41330</v>
      </c>
      <c r="F12" s="122">
        <v>41436</v>
      </c>
      <c r="G12" s="104">
        <v>3.5333333333333332</v>
      </c>
      <c r="H12" s="125">
        <v>821</v>
      </c>
      <c r="I12" s="137"/>
      <c r="J12" s="138"/>
      <c r="K12" s="104"/>
      <c r="L12" s="139"/>
      <c r="M12" s="104">
        <v>7.1</v>
      </c>
      <c r="N12" s="104">
        <v>10.633333333333333</v>
      </c>
      <c r="O12">
        <v>81</v>
      </c>
      <c r="P12" s="109">
        <v>100</v>
      </c>
    </row>
    <row r="13" spans="1:16" ht="18" thickBot="1">
      <c r="A13" s="127" t="s">
        <v>39</v>
      </c>
      <c r="B13" s="5" t="s">
        <v>974</v>
      </c>
      <c r="C13" s="166" t="s">
        <v>981</v>
      </c>
      <c r="D13" s="172" t="s">
        <v>945</v>
      </c>
      <c r="E13" s="110">
        <v>41351</v>
      </c>
      <c r="F13" s="110">
        <v>41419</v>
      </c>
      <c r="G13" s="111">
        <v>2.2666666666666666</v>
      </c>
      <c r="H13" s="111">
        <v>934.21479999999997</v>
      </c>
      <c r="I13" s="140"/>
      <c r="J13" s="141"/>
      <c r="K13" s="111"/>
      <c r="L13" s="142"/>
      <c r="M13" s="111">
        <v>7.8</v>
      </c>
      <c r="N13" s="111">
        <v>10.066666666666666</v>
      </c>
      <c r="O13" s="112">
        <v>81</v>
      </c>
      <c r="P13" s="113">
        <v>100</v>
      </c>
    </row>
    <row r="14" spans="1:16">
      <c r="A14" s="150"/>
      <c r="B14" s="161"/>
      <c r="C14" s="168"/>
      <c r="D14" s="174" t="s">
        <v>946</v>
      </c>
      <c r="E14" s="114"/>
      <c r="F14" s="114"/>
      <c r="G14" s="115"/>
      <c r="H14" s="115"/>
      <c r="I14" s="132"/>
      <c r="J14" s="130"/>
      <c r="K14" s="115"/>
      <c r="L14" s="124"/>
      <c r="M14" s="115"/>
      <c r="N14" s="115"/>
      <c r="O14" s="116"/>
      <c r="P14" s="117"/>
    </row>
    <row r="15" spans="1:16">
      <c r="A15" s="127" t="s">
        <v>39</v>
      </c>
      <c r="B15" s="5" t="s">
        <v>974</v>
      </c>
      <c r="C15" s="167" t="s">
        <v>982</v>
      </c>
      <c r="D15" s="164" t="s">
        <v>947</v>
      </c>
      <c r="E15" s="122">
        <v>41422</v>
      </c>
      <c r="F15" s="122">
        <v>41481</v>
      </c>
      <c r="G15" s="104">
        <v>1.9666666666666666</v>
      </c>
      <c r="H15" s="104">
        <v>982.97</v>
      </c>
      <c r="I15" s="137"/>
      <c r="J15" s="138"/>
      <c r="K15" s="104"/>
      <c r="L15" s="139"/>
      <c r="M15" s="104">
        <v>10.166666666666666</v>
      </c>
      <c r="N15" s="104">
        <v>12.133333333333333</v>
      </c>
      <c r="O15">
        <v>97</v>
      </c>
      <c r="P15" s="109">
        <v>100</v>
      </c>
    </row>
    <row r="16" spans="1:16">
      <c r="A16" s="127" t="s">
        <v>39</v>
      </c>
      <c r="B16" s="5" t="s">
        <v>974</v>
      </c>
      <c r="C16" s="167" t="s">
        <v>947</v>
      </c>
      <c r="D16" s="164" t="s">
        <v>948</v>
      </c>
      <c r="E16" s="122">
        <v>41482</v>
      </c>
      <c r="F16" s="122">
        <v>41550</v>
      </c>
      <c r="G16" s="104">
        <v>2.2666666666666666</v>
      </c>
      <c r="H16" s="104">
        <v>688.36880000000008</v>
      </c>
      <c r="I16" s="137"/>
      <c r="J16" s="138"/>
      <c r="K16" s="104"/>
      <c r="L16" s="139"/>
      <c r="M16" s="104">
        <v>12.166666666666666</v>
      </c>
      <c r="N16" s="104">
        <v>14.433333333333334</v>
      </c>
      <c r="O16">
        <v>100</v>
      </c>
      <c r="P16" s="109">
        <v>114</v>
      </c>
    </row>
    <row r="17" spans="1:16" ht="18" thickBot="1">
      <c r="A17" s="127" t="s">
        <v>39</v>
      </c>
      <c r="B17" s="5" t="s">
        <v>974</v>
      </c>
      <c r="C17" s="167" t="s">
        <v>947</v>
      </c>
      <c r="D17" s="172" t="s">
        <v>949</v>
      </c>
      <c r="E17" s="110">
        <v>41510</v>
      </c>
      <c r="F17" s="110">
        <v>41565</v>
      </c>
      <c r="G17" s="111">
        <v>1.8333333333333333</v>
      </c>
      <c r="H17" s="111">
        <v>1261.04</v>
      </c>
      <c r="I17" s="140"/>
      <c r="J17" s="141"/>
      <c r="K17" s="111"/>
      <c r="L17" s="142"/>
      <c r="M17" s="111">
        <v>13.1</v>
      </c>
      <c r="N17" s="111">
        <v>14.933333333333334</v>
      </c>
      <c r="O17" s="112">
        <v>100</v>
      </c>
      <c r="P17" s="113">
        <v>114</v>
      </c>
    </row>
    <row r="18" spans="1:16">
      <c r="A18" s="150"/>
      <c r="B18" s="161"/>
      <c r="C18" s="168"/>
      <c r="D18" s="174" t="s">
        <v>950</v>
      </c>
      <c r="E18" s="114"/>
      <c r="F18" s="114"/>
      <c r="G18" s="115"/>
      <c r="H18" s="115"/>
      <c r="I18" s="132"/>
      <c r="J18" s="130"/>
      <c r="K18" s="115"/>
      <c r="L18" s="124"/>
      <c r="M18" s="115"/>
      <c r="N18" s="115"/>
      <c r="O18" s="116"/>
      <c r="P18" s="117"/>
    </row>
    <row r="19" spans="1:16">
      <c r="A19" s="127" t="s">
        <v>39</v>
      </c>
      <c r="B19" s="5" t="s">
        <v>974</v>
      </c>
      <c r="C19" s="167" t="s">
        <v>980</v>
      </c>
      <c r="D19" s="164" t="s">
        <v>966</v>
      </c>
      <c r="E19" s="122">
        <v>41540</v>
      </c>
      <c r="F19" s="122">
        <v>41593</v>
      </c>
      <c r="G19" s="104">
        <v>1.7666666666666666</v>
      </c>
      <c r="H19" s="125">
        <v>635.30999999999995</v>
      </c>
      <c r="I19" s="137"/>
      <c r="J19" s="138"/>
      <c r="K19" s="104"/>
      <c r="L19" s="139"/>
      <c r="M19" s="104">
        <v>14.1</v>
      </c>
      <c r="N19" s="104">
        <v>15.866666666666667</v>
      </c>
      <c r="O19">
        <v>110</v>
      </c>
      <c r="P19" s="109">
        <v>114</v>
      </c>
    </row>
    <row r="20" spans="1:16">
      <c r="A20" s="127" t="s">
        <v>39</v>
      </c>
      <c r="B20" s="5" t="s">
        <v>974</v>
      </c>
      <c r="C20" s="167" t="s">
        <v>966</v>
      </c>
      <c r="D20" s="164" t="s">
        <v>951</v>
      </c>
      <c r="E20" s="122">
        <v>41596</v>
      </c>
      <c r="F20" s="122">
        <v>41647</v>
      </c>
      <c r="G20" s="104">
        <v>1.7</v>
      </c>
      <c r="H20" s="104">
        <v>1081.7224000000001</v>
      </c>
      <c r="I20" s="137"/>
      <c r="J20" s="138"/>
      <c r="K20" s="104"/>
      <c r="L20" s="139"/>
      <c r="M20" s="104">
        <v>15.966666666666667</v>
      </c>
      <c r="N20" s="104">
        <v>17.666666666666668</v>
      </c>
      <c r="O20">
        <v>114</v>
      </c>
      <c r="P20" s="109">
        <v>136.5</v>
      </c>
    </row>
    <row r="21" spans="1:16" ht="18" thickBot="1">
      <c r="A21" s="127" t="s">
        <v>39</v>
      </c>
      <c r="B21" s="5" t="s">
        <v>974</v>
      </c>
      <c r="C21" s="167" t="s">
        <v>966</v>
      </c>
      <c r="D21" s="172" t="s">
        <v>952</v>
      </c>
      <c r="E21" s="110">
        <v>41626</v>
      </c>
      <c r="F21" s="110">
        <v>41659</v>
      </c>
      <c r="G21" s="111">
        <v>1.1000000000000001</v>
      </c>
      <c r="H21" s="111">
        <v>967.27</v>
      </c>
      <c r="I21" s="140"/>
      <c r="J21" s="141"/>
      <c r="K21" s="111"/>
      <c r="L21" s="142"/>
      <c r="M21" s="111">
        <v>16.966666666666665</v>
      </c>
      <c r="N21" s="111">
        <v>18.066666666666666</v>
      </c>
      <c r="O21" s="112">
        <v>114</v>
      </c>
      <c r="P21" s="113">
        <v>130</v>
      </c>
    </row>
    <row r="22" spans="1:16">
      <c r="A22" s="150"/>
      <c r="B22" s="161"/>
      <c r="C22" s="168"/>
      <c r="D22" s="174" t="s">
        <v>953</v>
      </c>
      <c r="E22" s="114"/>
      <c r="F22" s="114"/>
      <c r="G22" s="115"/>
      <c r="H22" s="115"/>
      <c r="I22" s="132"/>
      <c r="J22" s="130"/>
      <c r="K22" s="115"/>
      <c r="L22" s="124"/>
      <c r="M22" s="115"/>
      <c r="N22" s="115"/>
      <c r="O22" s="116"/>
      <c r="P22" s="117"/>
    </row>
    <row r="23" spans="1:16">
      <c r="A23" s="127" t="s">
        <v>39</v>
      </c>
      <c r="B23" s="5" t="s">
        <v>974</v>
      </c>
      <c r="C23" s="166" t="s">
        <v>983</v>
      </c>
      <c r="D23" s="164" t="s">
        <v>967</v>
      </c>
      <c r="E23" s="122">
        <v>41659</v>
      </c>
      <c r="F23" s="122">
        <v>41724</v>
      </c>
      <c r="G23" s="104">
        <v>2.1666666666666665</v>
      </c>
      <c r="H23" s="104">
        <v>611.79999999999995</v>
      </c>
      <c r="I23" s="137"/>
      <c r="J23" s="138"/>
      <c r="K23" s="104"/>
      <c r="L23" s="139"/>
      <c r="M23" s="104">
        <v>18.066666666666666</v>
      </c>
      <c r="N23" s="104">
        <v>20.233333333333334</v>
      </c>
      <c r="O23">
        <v>136.5</v>
      </c>
      <c r="P23" s="109">
        <v>136.5</v>
      </c>
    </row>
    <row r="24" spans="1:16">
      <c r="A24" s="127" t="s">
        <v>39</v>
      </c>
      <c r="B24" s="5" t="s">
        <v>974</v>
      </c>
      <c r="C24" s="167" t="s">
        <v>967</v>
      </c>
      <c r="D24" s="164" t="s">
        <v>954</v>
      </c>
      <c r="E24" s="122">
        <v>41673</v>
      </c>
      <c r="F24" s="122">
        <v>41724</v>
      </c>
      <c r="G24" s="104">
        <v>1.7</v>
      </c>
      <c r="H24" s="104">
        <v>983.38400000000001</v>
      </c>
      <c r="I24" s="137"/>
      <c r="J24" s="138"/>
      <c r="K24" s="104"/>
      <c r="L24" s="139"/>
      <c r="M24" s="104">
        <v>18.533333333333335</v>
      </c>
      <c r="N24" s="104">
        <v>20.233333333333334</v>
      </c>
      <c r="O24">
        <v>136.5</v>
      </c>
      <c r="P24" s="109">
        <v>156</v>
      </c>
    </row>
    <row r="25" spans="1:16">
      <c r="A25" s="127" t="s">
        <v>39</v>
      </c>
      <c r="B25" s="5" t="s">
        <v>974</v>
      </c>
      <c r="C25" s="166"/>
      <c r="D25" s="164" t="s">
        <v>955</v>
      </c>
      <c r="E25" s="122">
        <v>41683</v>
      </c>
      <c r="F25" s="122">
        <v>41729</v>
      </c>
      <c r="G25" s="104">
        <v>1.5333333333333334</v>
      </c>
      <c r="H25" s="123" t="s">
        <v>68</v>
      </c>
      <c r="I25" s="143"/>
      <c r="J25" s="144"/>
      <c r="K25" s="123"/>
      <c r="L25" s="145"/>
      <c r="M25" s="104">
        <v>18.866666666666667</v>
      </c>
      <c r="N25" s="104">
        <v>20.399999999999999</v>
      </c>
      <c r="O25">
        <v>136.5</v>
      </c>
      <c r="P25" s="109">
        <v>156</v>
      </c>
    </row>
    <row r="26" spans="1:16" ht="18" thickBot="1">
      <c r="A26" s="127" t="s">
        <v>39</v>
      </c>
      <c r="B26" s="5" t="s">
        <v>974</v>
      </c>
      <c r="C26" s="167" t="s">
        <v>967</v>
      </c>
      <c r="D26" s="172" t="s">
        <v>956</v>
      </c>
      <c r="E26" s="110">
        <v>41687</v>
      </c>
      <c r="F26" s="110">
        <v>41719</v>
      </c>
      <c r="G26" s="111">
        <v>1.0666666666666667</v>
      </c>
      <c r="H26" s="111">
        <v>1558</v>
      </c>
      <c r="I26" s="140"/>
      <c r="J26" s="141"/>
      <c r="K26" s="111"/>
      <c r="L26" s="142"/>
      <c r="M26" s="111">
        <v>19</v>
      </c>
      <c r="N26" s="111">
        <v>20.066666666666666</v>
      </c>
      <c r="O26" s="112">
        <v>130</v>
      </c>
      <c r="P26" s="113">
        <v>156</v>
      </c>
    </row>
    <row r="27" spans="1:16">
      <c r="A27" s="150"/>
      <c r="B27" s="161"/>
      <c r="C27" s="168"/>
      <c r="D27" s="174" t="s">
        <v>957</v>
      </c>
      <c r="E27" s="114"/>
      <c r="F27" s="114"/>
      <c r="G27" s="115"/>
      <c r="H27" s="115"/>
      <c r="I27" s="132"/>
      <c r="J27" s="130"/>
      <c r="K27" s="115"/>
      <c r="L27" s="124"/>
      <c r="M27" s="115"/>
      <c r="N27" s="115"/>
      <c r="O27" s="116"/>
      <c r="P27" s="117"/>
    </row>
    <row r="28" spans="1:16">
      <c r="A28" s="127" t="s">
        <v>39</v>
      </c>
      <c r="B28" s="5" t="s">
        <v>974</v>
      </c>
      <c r="C28" s="166" t="s">
        <v>984</v>
      </c>
      <c r="D28" s="164" t="s">
        <v>968</v>
      </c>
      <c r="E28" s="122">
        <v>41694</v>
      </c>
      <c r="F28" s="122">
        <v>41734</v>
      </c>
      <c r="G28" s="104">
        <v>1.3333333333333333</v>
      </c>
      <c r="H28" s="104">
        <v>993.61</v>
      </c>
      <c r="I28" s="137"/>
      <c r="J28" s="138"/>
      <c r="K28" s="104"/>
      <c r="L28" s="139"/>
      <c r="M28" s="104">
        <v>19.233333333333334</v>
      </c>
      <c r="N28" s="104">
        <v>20.566666666666666</v>
      </c>
      <c r="O28">
        <v>156</v>
      </c>
      <c r="P28" s="109">
        <v>156</v>
      </c>
    </row>
    <row r="29" spans="1:16" ht="18" thickBot="1">
      <c r="A29" s="127" t="s">
        <v>39</v>
      </c>
      <c r="B29" s="5" t="s">
        <v>974</v>
      </c>
      <c r="C29" s="167" t="s">
        <v>968</v>
      </c>
      <c r="D29" s="172" t="s">
        <v>958</v>
      </c>
      <c r="E29" s="110">
        <v>41719</v>
      </c>
      <c r="F29" s="110">
        <v>41753</v>
      </c>
      <c r="G29" s="111">
        <v>1.1333333333333333</v>
      </c>
      <c r="H29" s="111">
        <v>1895.64</v>
      </c>
      <c r="I29" s="140"/>
      <c r="J29" s="141"/>
      <c r="K29" s="111"/>
      <c r="L29" s="142"/>
      <c r="M29" s="111">
        <v>20.066666666666666</v>
      </c>
      <c r="N29" s="111">
        <v>21.2</v>
      </c>
      <c r="O29" s="112">
        <v>156</v>
      </c>
      <c r="P29" s="113">
        <v>200</v>
      </c>
    </row>
    <row r="30" spans="1:16">
      <c r="A30" s="151"/>
      <c r="B30" s="162"/>
      <c r="C30" s="169"/>
      <c r="D30" s="175" t="s">
        <v>959</v>
      </c>
      <c r="E30" s="152"/>
      <c r="F30" s="152"/>
      <c r="G30" s="153"/>
      <c r="H30" s="153"/>
      <c r="I30" s="154"/>
      <c r="J30" s="155"/>
      <c r="K30" s="153"/>
      <c r="L30" s="156"/>
      <c r="M30" s="153"/>
      <c r="N30" s="153"/>
      <c r="O30" s="157"/>
      <c r="P30" s="158"/>
    </row>
    <row r="31" spans="1:16">
      <c r="A31" s="127" t="s">
        <v>39</v>
      </c>
      <c r="B31" s="5" t="s">
        <v>975</v>
      </c>
      <c r="C31" s="164" t="s">
        <v>940</v>
      </c>
      <c r="D31" s="164" t="s">
        <v>969</v>
      </c>
      <c r="E31" s="122">
        <v>41334</v>
      </c>
      <c r="F31" s="122">
        <v>41652</v>
      </c>
      <c r="G31" s="104">
        <v>5.3</v>
      </c>
      <c r="H31" s="104">
        <v>7062.7449999999999</v>
      </c>
      <c r="I31" s="137"/>
      <c r="J31" s="138"/>
      <c r="K31" s="104"/>
      <c r="L31" s="139"/>
      <c r="M31" s="104">
        <v>7.2333333333333334</v>
      </c>
      <c r="N31" s="104">
        <v>17.833333333333332</v>
      </c>
      <c r="O31">
        <v>78</v>
      </c>
      <c r="P31" s="109">
        <v>254</v>
      </c>
    </row>
    <row r="32" spans="1:16">
      <c r="A32" s="127" t="s">
        <v>39</v>
      </c>
      <c r="B32" s="5" t="s">
        <v>976</v>
      </c>
      <c r="C32" s="164" t="s">
        <v>969</v>
      </c>
      <c r="D32" s="164" t="s">
        <v>970</v>
      </c>
      <c r="E32" s="122"/>
      <c r="F32" s="165" t="s">
        <v>971</v>
      </c>
      <c r="G32" s="129">
        <v>5.3</v>
      </c>
      <c r="H32" s="129">
        <v>7062.7449999999999</v>
      </c>
      <c r="I32" s="137"/>
      <c r="J32" s="138"/>
      <c r="K32" s="104"/>
      <c r="L32" s="139"/>
      <c r="M32" s="104"/>
      <c r="N32" s="104"/>
      <c r="P32" s="109"/>
    </row>
    <row r="33" spans="1:16">
      <c r="A33" s="127" t="s">
        <v>39</v>
      </c>
      <c r="B33" s="5" t="s">
        <v>977</v>
      </c>
      <c r="C33" s="164" t="s">
        <v>970</v>
      </c>
      <c r="D33" s="164" t="s">
        <v>960</v>
      </c>
      <c r="E33" s="122">
        <v>41696</v>
      </c>
      <c r="F33" s="122">
        <v>41744</v>
      </c>
      <c r="G33" s="104">
        <v>1.6</v>
      </c>
      <c r="H33" s="123" t="s">
        <v>68</v>
      </c>
      <c r="I33" s="143"/>
      <c r="J33" s="144"/>
      <c r="K33" s="123"/>
      <c r="L33" s="145"/>
      <c r="M33" s="104">
        <v>19.3</v>
      </c>
      <c r="N33" s="104">
        <v>20.9</v>
      </c>
      <c r="O33">
        <v>254</v>
      </c>
      <c r="P33" s="109">
        <v>254</v>
      </c>
    </row>
    <row r="34" spans="1:16">
      <c r="A34" s="127" t="s">
        <v>29</v>
      </c>
      <c r="B34" s="5" t="s">
        <v>986</v>
      </c>
      <c r="C34" s="164" t="s">
        <v>988</v>
      </c>
      <c r="D34" s="164" t="s">
        <v>987</v>
      </c>
      <c r="E34" s="122">
        <v>41744</v>
      </c>
      <c r="F34" s="122">
        <v>41804</v>
      </c>
      <c r="G34" s="104">
        <v>2</v>
      </c>
      <c r="H34" s="123" t="s">
        <v>68</v>
      </c>
      <c r="I34" s="143"/>
      <c r="J34" s="144"/>
      <c r="K34" s="123"/>
      <c r="L34" s="145"/>
      <c r="M34" s="104"/>
      <c r="N34" s="104"/>
      <c r="P34" s="109"/>
    </row>
    <row r="35" spans="1:16" ht="18" thickBot="1">
      <c r="A35" s="128" t="s">
        <v>39</v>
      </c>
      <c r="B35" s="163" t="s">
        <v>978</v>
      </c>
      <c r="C35" s="172" t="s">
        <v>987</v>
      </c>
      <c r="D35" s="176" t="s">
        <v>961</v>
      </c>
      <c r="E35" s="118">
        <v>41836</v>
      </c>
      <c r="F35" s="118">
        <v>42002</v>
      </c>
      <c r="G35" s="119">
        <f>(F35-E35)/365*12</f>
        <v>5.4575342465753423</v>
      </c>
      <c r="H35" s="120">
        <v>5520.15</v>
      </c>
      <c r="I35" s="146"/>
      <c r="J35" s="147"/>
      <c r="K35" s="120"/>
      <c r="L35" s="148"/>
      <c r="M35" s="119">
        <f>(E35-$F$3)/365*12</f>
        <v>23.638356164383563</v>
      </c>
      <c r="N35" s="119">
        <f>(F35-$F$3)/365*12</f>
        <v>29.095890410958901</v>
      </c>
      <c r="O35" s="120">
        <v>254</v>
      </c>
      <c r="P35" s="121">
        <v>333.5</v>
      </c>
    </row>
    <row r="36" spans="1:16">
      <c r="D36" s="164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BF209-719E-094B-923C-5F98317673E4}">
  <dimension ref="A1:I42"/>
  <sheetViews>
    <sheetView showGridLines="0" zoomScale="91" workbookViewId="0">
      <selection activeCell="D29" sqref="D29"/>
    </sheetView>
  </sheetViews>
  <sheetFormatPr defaultColWidth="11.5546875" defaultRowHeight="17.25"/>
  <cols>
    <col min="1" max="1" width="15.33203125" customWidth="1"/>
    <col min="2" max="2" width="22.77734375" customWidth="1"/>
    <col min="3" max="3" width="75.6640625" customWidth="1"/>
    <col min="4" max="4" width="47.33203125" customWidth="1"/>
    <col min="5" max="5" width="24.77734375" customWidth="1"/>
    <col min="6" max="7" width="24.44140625" customWidth="1"/>
    <col min="8" max="8" width="15.77734375" customWidth="1"/>
    <col min="9" max="9" width="14.6640625" customWidth="1"/>
  </cols>
  <sheetData>
    <row r="1" spans="1:9" ht="18" thickBot="1">
      <c r="A1" s="126" t="s">
        <v>973</v>
      </c>
      <c r="B1" s="159" t="s">
        <v>962</v>
      </c>
      <c r="C1" s="170" t="s">
        <v>979</v>
      </c>
      <c r="D1" s="131" t="s">
        <v>985</v>
      </c>
      <c r="E1" s="102" t="s">
        <v>931</v>
      </c>
      <c r="F1" s="131" t="s">
        <v>932</v>
      </c>
      <c r="G1" s="101" t="s">
        <v>972</v>
      </c>
      <c r="H1" s="102" t="s">
        <v>926</v>
      </c>
      <c r="I1" s="103" t="s">
        <v>927</v>
      </c>
    </row>
    <row r="2" spans="1:9" ht="18" thickBot="1">
      <c r="A2" s="149" t="s">
        <v>39</v>
      </c>
      <c r="B2" s="160"/>
      <c r="C2" s="171"/>
      <c r="D2" s="173" t="s">
        <v>937</v>
      </c>
      <c r="E2" s="108"/>
      <c r="F2" s="133"/>
      <c r="G2" s="134"/>
      <c r="H2" s="135"/>
      <c r="I2" s="136"/>
    </row>
    <row r="3" spans="1:9" ht="18" thickBot="1">
      <c r="A3" s="179" t="s">
        <v>39</v>
      </c>
      <c r="B3" s="180" t="s">
        <v>937</v>
      </c>
      <c r="C3" s="181"/>
      <c r="D3" s="182" t="s">
        <v>989</v>
      </c>
      <c r="E3" s="183">
        <v>7290</v>
      </c>
      <c r="F3" s="137"/>
      <c r="G3" s="138"/>
      <c r="H3" s="104"/>
      <c r="I3" s="139"/>
    </row>
    <row r="4" spans="1:9">
      <c r="A4" s="149" t="s">
        <v>39</v>
      </c>
      <c r="B4" s="160" t="s">
        <v>974</v>
      </c>
      <c r="C4" s="177" t="s">
        <v>989</v>
      </c>
      <c r="D4" s="177" t="s">
        <v>990</v>
      </c>
      <c r="E4" s="178">
        <v>5651.18</v>
      </c>
      <c r="F4" s="137"/>
      <c r="G4" s="138"/>
      <c r="H4" s="104"/>
      <c r="I4" s="139"/>
    </row>
    <row r="5" spans="1:9">
      <c r="A5" s="127" t="s">
        <v>39</v>
      </c>
      <c r="B5" s="5" t="s">
        <v>974</v>
      </c>
      <c r="C5" s="164" t="s">
        <v>990</v>
      </c>
      <c r="D5" s="164" t="s">
        <v>991</v>
      </c>
      <c r="E5" s="109">
        <v>1252.53</v>
      </c>
      <c r="F5" s="137"/>
      <c r="G5" s="138"/>
      <c r="H5" s="104"/>
      <c r="I5" s="139"/>
    </row>
    <row r="6" spans="1:9">
      <c r="A6" s="127" t="s">
        <v>39</v>
      </c>
      <c r="B6" s="5" t="s">
        <v>974</v>
      </c>
      <c r="C6" s="164" t="s">
        <v>991</v>
      </c>
      <c r="D6" s="164" t="s">
        <v>992</v>
      </c>
      <c r="E6" s="109">
        <v>1231.6600000000001</v>
      </c>
      <c r="F6" s="137"/>
      <c r="G6" s="138"/>
      <c r="H6" s="104"/>
      <c r="I6" s="139"/>
    </row>
    <row r="7" spans="1:9">
      <c r="A7" s="127" t="s">
        <v>39</v>
      </c>
      <c r="B7" s="5" t="s">
        <v>974</v>
      </c>
      <c r="C7" s="164" t="s">
        <v>992</v>
      </c>
      <c r="D7" s="164" t="s">
        <v>993</v>
      </c>
      <c r="E7" s="109">
        <v>297.16000000000003</v>
      </c>
      <c r="F7" s="137"/>
      <c r="G7" s="138"/>
      <c r="H7" s="104"/>
      <c r="I7" s="139"/>
    </row>
    <row r="8" spans="1:9">
      <c r="A8" s="127" t="s">
        <v>39</v>
      </c>
      <c r="B8" s="5" t="s">
        <v>974</v>
      </c>
      <c r="C8" s="164" t="s">
        <v>993</v>
      </c>
      <c r="D8" s="164" t="s">
        <v>994</v>
      </c>
      <c r="E8" s="109">
        <v>173.78</v>
      </c>
      <c r="F8" s="137"/>
      <c r="G8" s="138"/>
      <c r="H8" s="104"/>
      <c r="I8" s="139"/>
    </row>
    <row r="9" spans="1:9">
      <c r="A9" s="127" t="s">
        <v>39</v>
      </c>
      <c r="B9" s="5" t="s">
        <v>974</v>
      </c>
      <c r="C9" s="164" t="s">
        <v>994</v>
      </c>
      <c r="D9" s="164" t="s">
        <v>995</v>
      </c>
      <c r="E9" s="109">
        <v>530.07000000000005</v>
      </c>
      <c r="F9" s="137"/>
      <c r="G9" s="138"/>
      <c r="H9" s="104"/>
      <c r="I9" s="139"/>
    </row>
    <row r="10" spans="1:9">
      <c r="A10" s="127" t="s">
        <v>39</v>
      </c>
      <c r="B10" s="5" t="s">
        <v>974</v>
      </c>
      <c r="C10" s="164" t="s">
        <v>992</v>
      </c>
      <c r="D10" s="164" t="s">
        <v>996</v>
      </c>
      <c r="E10" s="109">
        <v>628.51</v>
      </c>
      <c r="F10" s="137"/>
      <c r="G10" s="138"/>
      <c r="H10" s="104"/>
      <c r="I10" s="139"/>
    </row>
    <row r="11" spans="1:9" ht="18" thickBot="1">
      <c r="A11" s="128" t="s">
        <v>39</v>
      </c>
      <c r="B11" s="163" t="s">
        <v>974</v>
      </c>
      <c r="C11" s="172" t="s">
        <v>996</v>
      </c>
      <c r="D11" s="172" t="s">
        <v>997</v>
      </c>
      <c r="E11" s="113">
        <v>446.88</v>
      </c>
      <c r="F11" s="137"/>
      <c r="G11" s="138"/>
      <c r="H11" s="104"/>
      <c r="I11" s="139"/>
    </row>
    <row r="12" spans="1:9">
      <c r="A12" s="149" t="s">
        <v>39</v>
      </c>
      <c r="B12" s="160" t="s">
        <v>974</v>
      </c>
      <c r="C12" s="177" t="s">
        <v>989</v>
      </c>
      <c r="D12" s="177" t="s">
        <v>998</v>
      </c>
      <c r="E12" s="178">
        <v>298</v>
      </c>
      <c r="F12" s="137"/>
      <c r="G12" s="138"/>
      <c r="H12" s="104"/>
      <c r="I12" s="139"/>
    </row>
    <row r="13" spans="1:9">
      <c r="A13" s="127" t="s">
        <v>39</v>
      </c>
      <c r="B13" s="5" t="s">
        <v>974</v>
      </c>
      <c r="C13" s="164" t="s">
        <v>998</v>
      </c>
      <c r="D13" s="164" t="s">
        <v>999</v>
      </c>
      <c r="E13" s="109">
        <v>1096.1500000000001</v>
      </c>
      <c r="F13" s="137"/>
      <c r="G13" s="138"/>
      <c r="H13" s="104"/>
      <c r="I13" s="139"/>
    </row>
    <row r="14" spans="1:9">
      <c r="A14" s="127" t="s">
        <v>39</v>
      </c>
      <c r="B14" s="5" t="s">
        <v>974</v>
      </c>
      <c r="C14" s="164" t="s">
        <v>999</v>
      </c>
      <c r="D14" s="164" t="s">
        <v>1000</v>
      </c>
      <c r="E14" s="109">
        <v>642.65</v>
      </c>
      <c r="F14" s="137"/>
      <c r="G14" s="138"/>
      <c r="H14" s="104"/>
      <c r="I14" s="139"/>
    </row>
    <row r="15" spans="1:9">
      <c r="A15" s="127" t="s">
        <v>39</v>
      </c>
      <c r="B15" s="5" t="s">
        <v>974</v>
      </c>
      <c r="C15" s="164" t="s">
        <v>1000</v>
      </c>
      <c r="D15" s="164" t="s">
        <v>1001</v>
      </c>
      <c r="E15" s="109">
        <v>691.63</v>
      </c>
      <c r="F15" s="137"/>
      <c r="G15" s="138"/>
      <c r="H15" s="104"/>
      <c r="I15" s="139"/>
    </row>
    <row r="16" spans="1:9">
      <c r="A16" s="127" t="s">
        <v>39</v>
      </c>
      <c r="B16" s="5" t="s">
        <v>974</v>
      </c>
      <c r="C16" s="164" t="s">
        <v>1001</v>
      </c>
      <c r="D16" s="164" t="s">
        <v>1002</v>
      </c>
      <c r="E16" s="109">
        <v>494.01</v>
      </c>
      <c r="F16" s="137"/>
      <c r="G16" s="138"/>
      <c r="H16" s="104"/>
      <c r="I16" s="139"/>
    </row>
    <row r="17" spans="1:9">
      <c r="A17" s="127" t="s">
        <v>39</v>
      </c>
      <c r="B17" s="5" t="s">
        <v>974</v>
      </c>
      <c r="C17" s="164" t="s">
        <v>1002</v>
      </c>
      <c r="D17" s="164" t="s">
        <v>1003</v>
      </c>
      <c r="E17" s="109">
        <v>708.84</v>
      </c>
      <c r="F17" s="137"/>
      <c r="G17" s="138"/>
      <c r="H17" s="104"/>
      <c r="I17" s="139"/>
    </row>
    <row r="18" spans="1:9">
      <c r="A18" s="127" t="s">
        <v>39</v>
      </c>
      <c r="B18" s="5" t="s">
        <v>974</v>
      </c>
      <c r="C18" s="164" t="s">
        <v>1003</v>
      </c>
      <c r="D18" s="164" t="s">
        <v>1004</v>
      </c>
      <c r="E18" s="109">
        <v>212.81</v>
      </c>
      <c r="F18" s="137"/>
      <c r="G18" s="138"/>
      <c r="H18" s="104"/>
      <c r="I18" s="139"/>
    </row>
    <row r="19" spans="1:9">
      <c r="A19" s="127" t="s">
        <v>39</v>
      </c>
      <c r="B19" s="5" t="s">
        <v>974</v>
      </c>
      <c r="C19" s="164" t="s">
        <v>1001</v>
      </c>
      <c r="D19" s="164" t="s">
        <v>1005</v>
      </c>
      <c r="E19" s="109">
        <v>561.48</v>
      </c>
      <c r="F19" s="137"/>
      <c r="G19" s="138"/>
      <c r="H19" s="104"/>
      <c r="I19" s="139"/>
    </row>
    <row r="20" spans="1:9">
      <c r="A20" s="127" t="s">
        <v>39</v>
      </c>
      <c r="B20" s="5" t="s">
        <v>974</v>
      </c>
      <c r="C20" s="164" t="s">
        <v>1005</v>
      </c>
      <c r="D20" s="164" t="s">
        <v>1006</v>
      </c>
      <c r="E20" s="109">
        <v>1355.97</v>
      </c>
      <c r="F20" s="137"/>
      <c r="G20" s="138"/>
      <c r="H20" s="104"/>
      <c r="I20" s="139"/>
    </row>
    <row r="21" spans="1:9">
      <c r="A21" s="127" t="s">
        <v>39</v>
      </c>
      <c r="B21" s="5" t="s">
        <v>974</v>
      </c>
      <c r="C21" s="164" t="s">
        <v>1006</v>
      </c>
      <c r="D21" s="164" t="s">
        <v>1007</v>
      </c>
      <c r="E21" s="109">
        <v>289.36</v>
      </c>
      <c r="F21" s="137"/>
      <c r="G21" s="138"/>
      <c r="H21" s="104"/>
      <c r="I21" s="139"/>
    </row>
    <row r="22" spans="1:9">
      <c r="A22" s="127" t="s">
        <v>39</v>
      </c>
      <c r="B22" s="5" t="s">
        <v>974</v>
      </c>
      <c r="C22" s="166" t="s">
        <v>1010</v>
      </c>
      <c r="D22" s="164" t="s">
        <v>1008</v>
      </c>
      <c r="E22" s="109">
        <v>723.77</v>
      </c>
      <c r="F22" s="137"/>
      <c r="G22" s="138"/>
      <c r="H22" s="104"/>
      <c r="I22" s="139"/>
    </row>
    <row r="23" spans="1:9" ht="18" thickBot="1">
      <c r="A23" s="128" t="s">
        <v>39</v>
      </c>
      <c r="B23" s="163" t="s">
        <v>974</v>
      </c>
      <c r="C23" s="172" t="s">
        <v>1008</v>
      </c>
      <c r="D23" s="172" t="s">
        <v>1009</v>
      </c>
      <c r="E23" s="113">
        <v>780.27</v>
      </c>
      <c r="F23" s="137"/>
      <c r="G23" s="138"/>
      <c r="H23" s="104"/>
      <c r="I23" s="139"/>
    </row>
    <row r="24" spans="1:9" ht="18" thickBot="1">
      <c r="A24" s="149" t="s">
        <v>39</v>
      </c>
      <c r="B24" s="160" t="s">
        <v>975</v>
      </c>
      <c r="C24" s="177" t="s">
        <v>989</v>
      </c>
      <c r="D24" s="177" t="s">
        <v>1011</v>
      </c>
      <c r="E24" s="133">
        <v>71.760000000000005</v>
      </c>
      <c r="G24" s="138"/>
      <c r="H24" s="104"/>
      <c r="I24" s="139"/>
    </row>
    <row r="25" spans="1:9">
      <c r="A25" s="127" t="s">
        <v>39</v>
      </c>
      <c r="B25" s="5" t="s">
        <v>975</v>
      </c>
      <c r="C25" s="177" t="s">
        <v>1011</v>
      </c>
      <c r="D25" s="164" t="s">
        <v>1012</v>
      </c>
      <c r="E25" s="137">
        <v>502.58</v>
      </c>
      <c r="G25" s="138"/>
      <c r="H25" s="104"/>
      <c r="I25" s="139"/>
    </row>
    <row r="26" spans="1:9">
      <c r="A26" s="127" t="s">
        <v>39</v>
      </c>
      <c r="B26" s="5" t="s">
        <v>975</v>
      </c>
      <c r="C26" s="164" t="s">
        <v>1012</v>
      </c>
      <c r="D26" s="164" t="s">
        <v>1013</v>
      </c>
      <c r="E26" s="137">
        <v>478.64</v>
      </c>
      <c r="G26" s="138"/>
      <c r="H26" s="104"/>
      <c r="I26" s="139"/>
    </row>
    <row r="27" spans="1:9">
      <c r="A27" s="127" t="s">
        <v>151</v>
      </c>
      <c r="B27" s="5" t="s">
        <v>975</v>
      </c>
      <c r="C27" s="164" t="s">
        <v>1013</v>
      </c>
      <c r="D27" s="164" t="s">
        <v>1014</v>
      </c>
      <c r="E27" s="137">
        <v>382.92</v>
      </c>
      <c r="G27" s="138"/>
      <c r="H27" s="104"/>
      <c r="I27" s="139"/>
    </row>
    <row r="28" spans="1:9">
      <c r="A28" s="127" t="s">
        <v>873</v>
      </c>
      <c r="B28" s="5" t="s">
        <v>975</v>
      </c>
      <c r="C28" s="164" t="s">
        <v>1014</v>
      </c>
      <c r="D28" s="164" t="s">
        <v>1015</v>
      </c>
      <c r="E28" s="137">
        <v>430.78</v>
      </c>
      <c r="G28" s="138"/>
      <c r="H28" s="104"/>
      <c r="I28" s="139"/>
    </row>
    <row r="29" spans="1:9">
      <c r="A29" s="127" t="s">
        <v>1019</v>
      </c>
      <c r="B29" s="5" t="s">
        <v>975</v>
      </c>
      <c r="C29" s="164" t="s">
        <v>1015</v>
      </c>
      <c r="D29" s="164" t="s">
        <v>1016</v>
      </c>
      <c r="E29" s="137">
        <v>430.78</v>
      </c>
      <c r="G29" s="138"/>
      <c r="H29" s="104"/>
      <c r="I29" s="139"/>
    </row>
    <row r="30" spans="1:9">
      <c r="A30" s="127" t="s">
        <v>1020</v>
      </c>
      <c r="B30" s="5" t="s">
        <v>975</v>
      </c>
      <c r="C30" s="164" t="s">
        <v>1016</v>
      </c>
      <c r="D30" s="164" t="s">
        <v>1017</v>
      </c>
      <c r="E30" s="137">
        <v>478.64</v>
      </c>
      <c r="G30" s="138"/>
      <c r="H30" s="104"/>
      <c r="I30" s="139"/>
    </row>
    <row r="31" spans="1:9" ht="18" thickBot="1">
      <c r="A31" s="128" t="s">
        <v>1021</v>
      </c>
      <c r="B31" s="163" t="s">
        <v>975</v>
      </c>
      <c r="C31" s="164" t="s">
        <v>1017</v>
      </c>
      <c r="D31" s="172" t="s">
        <v>1018</v>
      </c>
      <c r="E31" s="140">
        <v>478.64</v>
      </c>
      <c r="G31" s="138"/>
      <c r="H31" s="104"/>
      <c r="I31" s="139"/>
    </row>
    <row r="32" spans="1:9">
      <c r="A32" s="149" t="s">
        <v>39</v>
      </c>
      <c r="B32" s="5" t="s">
        <v>976</v>
      </c>
      <c r="C32" s="166" t="s">
        <v>1037</v>
      </c>
      <c r="D32" s="164" t="s">
        <v>1022</v>
      </c>
      <c r="E32" s="109">
        <v>478.64</v>
      </c>
      <c r="F32" s="137"/>
      <c r="G32" s="138"/>
      <c r="H32" s="104"/>
      <c r="I32" s="139"/>
    </row>
    <row r="33" spans="1:9">
      <c r="A33" s="127" t="s">
        <v>39</v>
      </c>
      <c r="B33" s="5" t="s">
        <v>976</v>
      </c>
      <c r="C33" s="164" t="s">
        <v>1022</v>
      </c>
      <c r="D33" s="164" t="s">
        <v>1023</v>
      </c>
      <c r="E33" s="109">
        <v>478.64</v>
      </c>
      <c r="F33" s="137"/>
      <c r="G33" s="138"/>
      <c r="H33" s="104"/>
      <c r="I33" s="139"/>
    </row>
    <row r="34" spans="1:9">
      <c r="A34" s="127" t="s">
        <v>151</v>
      </c>
      <c r="B34" s="5" t="s">
        <v>976</v>
      </c>
      <c r="C34" s="164" t="s">
        <v>1023</v>
      </c>
      <c r="D34" s="164" t="s">
        <v>1024</v>
      </c>
      <c r="E34" s="109">
        <v>430.78</v>
      </c>
      <c r="F34" s="137"/>
      <c r="G34" s="138"/>
      <c r="H34" s="104"/>
      <c r="I34" s="139"/>
    </row>
    <row r="35" spans="1:9">
      <c r="A35" s="127" t="s">
        <v>873</v>
      </c>
      <c r="B35" s="5" t="s">
        <v>976</v>
      </c>
      <c r="C35" s="164" t="s">
        <v>1024</v>
      </c>
      <c r="D35" s="164" t="s">
        <v>1025</v>
      </c>
      <c r="E35" s="109">
        <v>478.64</v>
      </c>
      <c r="F35" s="137"/>
      <c r="G35" s="138"/>
      <c r="H35" s="104"/>
      <c r="I35" s="139"/>
    </row>
    <row r="36" spans="1:9">
      <c r="A36" s="127" t="s">
        <v>1019</v>
      </c>
      <c r="B36" s="5" t="s">
        <v>976</v>
      </c>
      <c r="C36" s="164" t="s">
        <v>1025</v>
      </c>
      <c r="D36" s="164" t="s">
        <v>1026</v>
      </c>
      <c r="E36" s="109">
        <v>478.64</v>
      </c>
      <c r="F36" s="137"/>
      <c r="G36" s="138"/>
      <c r="H36" s="104"/>
      <c r="I36" s="139"/>
    </row>
    <row r="37" spans="1:9">
      <c r="A37" s="127" t="s">
        <v>1020</v>
      </c>
      <c r="B37" s="5" t="s">
        <v>976</v>
      </c>
      <c r="C37" s="164" t="s">
        <v>1026</v>
      </c>
      <c r="D37" s="164" t="s">
        <v>1027</v>
      </c>
      <c r="E37" s="109">
        <v>432.78</v>
      </c>
      <c r="F37" s="137"/>
      <c r="G37" s="138"/>
      <c r="H37" s="104"/>
      <c r="I37" s="139"/>
    </row>
    <row r="38" spans="1:9">
      <c r="A38" s="127" t="s">
        <v>1021</v>
      </c>
      <c r="B38" s="5" t="s">
        <v>976</v>
      </c>
      <c r="C38" s="164" t="s">
        <v>1027</v>
      </c>
      <c r="D38" s="164" t="s">
        <v>1028</v>
      </c>
      <c r="E38" s="109">
        <v>422.8</v>
      </c>
      <c r="F38" s="137"/>
      <c r="G38" s="138"/>
      <c r="H38" s="104"/>
      <c r="I38" s="139"/>
    </row>
    <row r="39" spans="1:9">
      <c r="A39" s="127" t="s">
        <v>1033</v>
      </c>
      <c r="B39" s="5" t="s">
        <v>976</v>
      </c>
      <c r="C39" s="164" t="s">
        <v>1028</v>
      </c>
      <c r="D39" s="164" t="s">
        <v>1029</v>
      </c>
      <c r="E39" s="109">
        <v>374.94</v>
      </c>
      <c r="F39" s="137"/>
      <c r="G39" s="138"/>
      <c r="H39" s="104"/>
      <c r="I39" s="139"/>
    </row>
    <row r="40" spans="1:9">
      <c r="A40" s="127" t="s">
        <v>1034</v>
      </c>
      <c r="B40" s="5" t="s">
        <v>976</v>
      </c>
      <c r="C40" s="164" t="s">
        <v>1029</v>
      </c>
      <c r="D40" s="164" t="s">
        <v>1030</v>
      </c>
      <c r="E40" s="109">
        <v>2048.88</v>
      </c>
      <c r="F40" s="137"/>
      <c r="G40" s="138"/>
      <c r="H40" s="104"/>
      <c r="I40" s="139"/>
    </row>
    <row r="41" spans="1:9">
      <c r="A41" s="127" t="s">
        <v>1035</v>
      </c>
      <c r="B41" s="5" t="s">
        <v>976</v>
      </c>
      <c r="C41" s="164" t="s">
        <v>1030</v>
      </c>
      <c r="D41" s="164" t="s">
        <v>1031</v>
      </c>
      <c r="E41" s="109">
        <v>1931.26</v>
      </c>
      <c r="F41" s="137"/>
      <c r="G41" s="138"/>
      <c r="H41" s="104"/>
      <c r="I41" s="139"/>
    </row>
    <row r="42" spans="1:9" ht="18" thickBot="1">
      <c r="A42" s="128" t="s">
        <v>1036</v>
      </c>
      <c r="B42" s="163" t="s">
        <v>976</v>
      </c>
      <c r="C42" s="172" t="s">
        <v>1031</v>
      </c>
      <c r="D42" s="172" t="s">
        <v>1032</v>
      </c>
      <c r="E42" s="113">
        <v>1069.05</v>
      </c>
      <c r="F42" s="137"/>
      <c r="G42" s="138"/>
      <c r="H42" s="104"/>
      <c r="I42" s="139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863D7-CD80-2C48-9A95-2A3D51ACD17F}">
  <dimension ref="A1:I21"/>
  <sheetViews>
    <sheetView showGridLines="0" zoomScale="91" workbookViewId="0">
      <selection activeCell="A16" sqref="A16:B17"/>
    </sheetView>
  </sheetViews>
  <sheetFormatPr defaultColWidth="11.5546875" defaultRowHeight="17.25"/>
  <cols>
    <col min="1" max="1" width="15.33203125" customWidth="1"/>
    <col min="2" max="2" width="22.77734375" customWidth="1"/>
    <col min="3" max="3" width="75.6640625" customWidth="1"/>
    <col min="4" max="4" width="47.33203125" customWidth="1"/>
    <col min="5" max="5" width="24.77734375" customWidth="1"/>
    <col min="6" max="7" width="24.44140625" customWidth="1"/>
    <col min="8" max="8" width="15.77734375" customWidth="1"/>
    <col min="9" max="9" width="14.6640625" customWidth="1"/>
  </cols>
  <sheetData>
    <row r="1" spans="1:9" ht="18" thickBot="1">
      <c r="A1" s="126" t="s">
        <v>973</v>
      </c>
      <c r="B1" s="159" t="s">
        <v>962</v>
      </c>
      <c r="C1" s="170" t="s">
        <v>979</v>
      </c>
      <c r="D1" s="131" t="s">
        <v>985</v>
      </c>
      <c r="E1" s="102" t="s">
        <v>931</v>
      </c>
      <c r="F1" s="131" t="s">
        <v>932</v>
      </c>
      <c r="G1" s="101" t="s">
        <v>972</v>
      </c>
      <c r="H1" s="102" t="s">
        <v>926</v>
      </c>
      <c r="I1" s="103" t="s">
        <v>927</v>
      </c>
    </row>
    <row r="2" spans="1:9" ht="18" thickBot="1">
      <c r="A2" s="149" t="s">
        <v>39</v>
      </c>
      <c r="B2" s="160"/>
      <c r="C2" s="171"/>
      <c r="D2" s="173" t="s">
        <v>937</v>
      </c>
      <c r="E2" s="108"/>
      <c r="F2" s="133"/>
      <c r="G2" s="134"/>
      <c r="H2" s="135"/>
      <c r="I2" s="136"/>
    </row>
    <row r="3" spans="1:9" ht="18" thickBot="1">
      <c r="A3" s="179" t="s">
        <v>39</v>
      </c>
      <c r="B3" s="180" t="s">
        <v>937</v>
      </c>
      <c r="C3" s="181"/>
      <c r="D3" s="182" t="s">
        <v>989</v>
      </c>
      <c r="E3" s="183">
        <v>21546.3</v>
      </c>
      <c r="F3" s="137"/>
      <c r="G3" s="138"/>
      <c r="H3" s="104"/>
      <c r="I3" s="139"/>
    </row>
    <row r="4" spans="1:9">
      <c r="A4" s="149" t="s">
        <v>39</v>
      </c>
      <c r="B4" s="160" t="s">
        <v>974</v>
      </c>
      <c r="C4" s="177" t="s">
        <v>989</v>
      </c>
      <c r="D4" s="177" t="s">
        <v>1044</v>
      </c>
      <c r="E4" s="178">
        <v>1184.4000000000003</v>
      </c>
      <c r="F4" s="137"/>
      <c r="G4" s="138"/>
      <c r="H4" s="104"/>
      <c r="I4" s="139"/>
    </row>
    <row r="5" spans="1:9">
      <c r="A5" s="127" t="s">
        <v>39</v>
      </c>
      <c r="B5" s="5" t="s">
        <v>974</v>
      </c>
      <c r="C5" s="166" t="s">
        <v>989</v>
      </c>
      <c r="D5" s="164" t="s">
        <v>1045</v>
      </c>
      <c r="E5" s="109">
        <v>4531.9599999999991</v>
      </c>
      <c r="F5" s="137"/>
      <c r="G5" s="138"/>
      <c r="H5" s="104"/>
      <c r="I5" s="139"/>
    </row>
    <row r="6" spans="1:9">
      <c r="A6" s="127" t="s">
        <v>151</v>
      </c>
      <c r="B6" s="5" t="s">
        <v>974</v>
      </c>
      <c r="C6" s="166" t="s">
        <v>1056</v>
      </c>
      <c r="D6" s="164" t="s">
        <v>1046</v>
      </c>
      <c r="E6" s="109">
        <v>2743.33</v>
      </c>
      <c r="F6" s="137"/>
      <c r="G6" s="138"/>
      <c r="H6" s="104"/>
      <c r="I6" s="139"/>
    </row>
    <row r="7" spans="1:9">
      <c r="A7" s="127" t="s">
        <v>873</v>
      </c>
      <c r="B7" s="5" t="s">
        <v>974</v>
      </c>
      <c r="C7" s="166" t="s">
        <v>1046</v>
      </c>
      <c r="D7" s="164" t="s">
        <v>1047</v>
      </c>
      <c r="E7" s="109">
        <v>1138.9199999999998</v>
      </c>
      <c r="F7" s="137"/>
      <c r="G7" s="138"/>
      <c r="H7" s="104"/>
      <c r="I7" s="139"/>
    </row>
    <row r="8" spans="1:9">
      <c r="A8" s="127" t="s">
        <v>1019</v>
      </c>
      <c r="B8" s="5" t="s">
        <v>974</v>
      </c>
      <c r="C8" s="166" t="s">
        <v>1046</v>
      </c>
      <c r="D8" s="164" t="s">
        <v>1048</v>
      </c>
      <c r="E8" s="109">
        <v>4100.7000000000007</v>
      </c>
      <c r="F8" s="137"/>
      <c r="G8" s="138"/>
      <c r="H8" s="104"/>
      <c r="I8" s="139"/>
    </row>
    <row r="9" spans="1:9">
      <c r="A9" s="127" t="s">
        <v>1020</v>
      </c>
      <c r="B9" s="5" t="s">
        <v>974</v>
      </c>
      <c r="C9" s="166" t="s">
        <v>1057</v>
      </c>
      <c r="D9" s="164" t="s">
        <v>1049</v>
      </c>
      <c r="E9" s="109">
        <v>2743.33</v>
      </c>
      <c r="F9" s="137"/>
      <c r="G9" s="138"/>
      <c r="H9" s="104"/>
      <c r="I9" s="139"/>
    </row>
    <row r="10" spans="1:9">
      <c r="A10" s="127" t="s">
        <v>1021</v>
      </c>
      <c r="B10" s="5" t="s">
        <v>974</v>
      </c>
      <c r="C10" s="166" t="s">
        <v>1049</v>
      </c>
      <c r="D10" s="164" t="s">
        <v>1050</v>
      </c>
      <c r="E10" s="109">
        <v>1138.9199999999998</v>
      </c>
      <c r="F10" s="137"/>
      <c r="G10" s="138"/>
      <c r="H10" s="104"/>
      <c r="I10" s="139"/>
    </row>
    <row r="11" spans="1:9">
      <c r="A11" s="127" t="s">
        <v>1033</v>
      </c>
      <c r="B11" s="5" t="s">
        <v>974</v>
      </c>
      <c r="C11" s="166" t="s">
        <v>1049</v>
      </c>
      <c r="D11" s="164" t="s">
        <v>1051</v>
      </c>
      <c r="E11" s="109">
        <v>4100.7000000000007</v>
      </c>
      <c r="F11" s="137"/>
      <c r="G11" s="138"/>
      <c r="H11" s="104"/>
      <c r="I11" s="139"/>
    </row>
    <row r="12" spans="1:9">
      <c r="A12" s="127" t="s">
        <v>1034</v>
      </c>
      <c r="B12" s="5" t="s">
        <v>974</v>
      </c>
      <c r="C12" s="166" t="s">
        <v>1058</v>
      </c>
      <c r="D12" s="164" t="s">
        <v>1052</v>
      </c>
      <c r="E12" s="109">
        <v>2776.67</v>
      </c>
      <c r="F12" s="137"/>
      <c r="G12" s="138"/>
      <c r="H12" s="104"/>
      <c r="I12" s="139"/>
    </row>
    <row r="13" spans="1:9">
      <c r="A13" s="127" t="s">
        <v>1035</v>
      </c>
      <c r="B13" s="5" t="s">
        <v>974</v>
      </c>
      <c r="C13" s="166" t="s">
        <v>1052</v>
      </c>
      <c r="D13" s="164" t="s">
        <v>1053</v>
      </c>
      <c r="E13" s="109">
        <v>1163.1600000000003</v>
      </c>
      <c r="F13" s="137"/>
      <c r="G13" s="138"/>
      <c r="H13" s="104"/>
      <c r="I13" s="139"/>
    </row>
    <row r="14" spans="1:9">
      <c r="A14" s="127" t="s">
        <v>1036</v>
      </c>
      <c r="B14" s="5" t="s">
        <v>974</v>
      </c>
      <c r="C14" s="166" t="s">
        <v>1052</v>
      </c>
      <c r="D14" s="164" t="s">
        <v>1054</v>
      </c>
      <c r="E14" s="109">
        <v>3384.8199999999997</v>
      </c>
      <c r="F14" s="137"/>
      <c r="G14" s="138"/>
      <c r="H14" s="104"/>
      <c r="I14" s="139"/>
    </row>
    <row r="15" spans="1:9" ht="18" thickBot="1">
      <c r="A15" s="128" t="s">
        <v>39</v>
      </c>
      <c r="B15" s="163" t="s">
        <v>974</v>
      </c>
      <c r="C15" s="172" t="s">
        <v>1059</v>
      </c>
      <c r="D15" s="172" t="s">
        <v>1055</v>
      </c>
      <c r="E15" s="113">
        <v>2464.58</v>
      </c>
      <c r="F15" s="137"/>
      <c r="G15" s="138"/>
      <c r="H15" s="104"/>
      <c r="I15" s="139"/>
    </row>
    <row r="16" spans="1:9" ht="18" thickBot="1">
      <c r="A16" s="149" t="s">
        <v>39</v>
      </c>
      <c r="B16" s="160" t="s">
        <v>975</v>
      </c>
      <c r="C16" s="177" t="s">
        <v>989</v>
      </c>
      <c r="D16" s="177" t="s">
        <v>1038</v>
      </c>
      <c r="E16" s="133">
        <v>5334.8499999999995</v>
      </c>
      <c r="G16" s="138"/>
      <c r="H16" s="104"/>
      <c r="I16" s="139"/>
    </row>
    <row r="17" spans="1:9">
      <c r="A17" s="127" t="s">
        <v>39</v>
      </c>
      <c r="B17" s="5" t="s">
        <v>975</v>
      </c>
      <c r="C17" s="177" t="s">
        <v>1038</v>
      </c>
      <c r="D17" s="164" t="s">
        <v>1039</v>
      </c>
      <c r="E17" s="137">
        <v>5129.6099999999988</v>
      </c>
      <c r="G17" s="138"/>
      <c r="H17" s="104"/>
      <c r="I17" s="139"/>
    </row>
    <row r="18" spans="1:9">
      <c r="A18" s="127" t="s">
        <v>39</v>
      </c>
      <c r="B18" s="5" t="s">
        <v>975</v>
      </c>
      <c r="C18" s="164" t="s">
        <v>1039</v>
      </c>
      <c r="D18" s="164" t="s">
        <v>1040</v>
      </c>
      <c r="E18" s="137">
        <v>5129.6099999999988</v>
      </c>
      <c r="G18" s="138"/>
      <c r="H18" s="104"/>
      <c r="I18" s="139"/>
    </row>
    <row r="19" spans="1:9">
      <c r="A19" s="127" t="s">
        <v>151</v>
      </c>
      <c r="B19" s="5" t="s">
        <v>975</v>
      </c>
      <c r="C19" s="164" t="s">
        <v>1040</v>
      </c>
      <c r="D19" s="164" t="s">
        <v>1041</v>
      </c>
      <c r="E19" s="137">
        <v>5334.8499999999995</v>
      </c>
      <c r="G19" s="138"/>
      <c r="H19" s="104"/>
      <c r="I19" s="139"/>
    </row>
    <row r="20" spans="1:9">
      <c r="A20" s="127" t="s">
        <v>873</v>
      </c>
      <c r="B20" s="5" t="s">
        <v>975</v>
      </c>
      <c r="C20" s="164" t="s">
        <v>1041</v>
      </c>
      <c r="D20" s="164" t="s">
        <v>1042</v>
      </c>
      <c r="E20" s="137">
        <v>4001.1000000000004</v>
      </c>
      <c r="G20" s="138"/>
      <c r="H20" s="104"/>
      <c r="I20" s="139"/>
    </row>
    <row r="21" spans="1:9" ht="18" thickBot="1">
      <c r="A21" s="128" t="s">
        <v>1019</v>
      </c>
      <c r="B21" s="163" t="s">
        <v>975</v>
      </c>
      <c r="C21" s="172" t="s">
        <v>1042</v>
      </c>
      <c r="D21" s="172" t="s">
        <v>1043</v>
      </c>
      <c r="E21" s="140">
        <v>7218.3100000000013</v>
      </c>
      <c r="F21" s="112"/>
      <c r="G21" s="141"/>
      <c r="H21" s="111"/>
      <c r="I21" s="142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A777-8533-0E46-9AAC-E30CA2CC69AD}">
  <dimension ref="A1:I41"/>
  <sheetViews>
    <sheetView showGridLines="0" zoomScale="91" workbookViewId="0">
      <selection activeCell="C50" sqref="C50"/>
    </sheetView>
  </sheetViews>
  <sheetFormatPr defaultColWidth="11.5546875" defaultRowHeight="17.25"/>
  <cols>
    <col min="1" max="1" width="15.33203125" customWidth="1"/>
    <col min="2" max="2" width="22.77734375" customWidth="1"/>
    <col min="3" max="3" width="75.6640625" customWidth="1"/>
    <col min="4" max="4" width="47.33203125" customWidth="1"/>
    <col min="5" max="5" width="24.77734375" customWidth="1"/>
    <col min="6" max="7" width="24.44140625" customWidth="1"/>
    <col min="8" max="8" width="15.77734375" customWidth="1"/>
    <col min="9" max="9" width="14.6640625" customWidth="1"/>
  </cols>
  <sheetData>
    <row r="1" spans="1:9" ht="18" thickBot="1">
      <c r="A1" s="126" t="s">
        <v>973</v>
      </c>
      <c r="B1" s="159" t="s">
        <v>962</v>
      </c>
      <c r="C1" s="170" t="s">
        <v>979</v>
      </c>
      <c r="D1" s="103" t="s">
        <v>985</v>
      </c>
      <c r="E1" s="102" t="s">
        <v>931</v>
      </c>
      <c r="F1" s="131" t="s">
        <v>932</v>
      </c>
      <c r="G1" s="101" t="s">
        <v>972</v>
      </c>
      <c r="H1" s="102" t="s">
        <v>926</v>
      </c>
      <c r="I1" s="103" t="s">
        <v>927</v>
      </c>
    </row>
    <row r="2" spans="1:9" ht="18" thickBot="1">
      <c r="A2" s="149" t="s">
        <v>39</v>
      </c>
      <c r="B2" s="160"/>
      <c r="C2" s="171"/>
      <c r="D2" s="185" t="s">
        <v>937</v>
      </c>
      <c r="E2" s="108"/>
      <c r="F2" s="133"/>
      <c r="G2" s="134"/>
      <c r="H2" s="135"/>
      <c r="I2" s="136"/>
    </row>
    <row r="3" spans="1:9" ht="18" thickBot="1">
      <c r="A3" s="179" t="s">
        <v>39</v>
      </c>
      <c r="B3" s="180" t="s">
        <v>937</v>
      </c>
      <c r="C3" s="181"/>
      <c r="D3" s="183" t="s">
        <v>989</v>
      </c>
      <c r="E3" s="183">
        <v>22901</v>
      </c>
      <c r="F3" s="137"/>
      <c r="G3" s="138"/>
      <c r="H3" s="104"/>
      <c r="I3" s="139"/>
    </row>
    <row r="4" spans="1:9">
      <c r="A4" s="149" t="s">
        <v>39</v>
      </c>
      <c r="B4" s="160" t="s">
        <v>974</v>
      </c>
      <c r="C4" s="177" t="s">
        <v>989</v>
      </c>
      <c r="D4" s="184" t="s">
        <v>1093</v>
      </c>
      <c r="E4" s="178">
        <v>1925.35</v>
      </c>
    </row>
    <row r="5" spans="1:9">
      <c r="A5" s="127" t="s">
        <v>39</v>
      </c>
      <c r="B5" s="5" t="s">
        <v>974</v>
      </c>
      <c r="C5" s="164" t="s">
        <v>1093</v>
      </c>
      <c r="D5" t="s">
        <v>1060</v>
      </c>
      <c r="E5" s="109">
        <v>142.07</v>
      </c>
    </row>
    <row r="6" spans="1:9">
      <c r="A6" s="127" t="s">
        <v>39</v>
      </c>
      <c r="B6" s="5" t="s">
        <v>974</v>
      </c>
      <c r="C6" s="164" t="s">
        <v>1093</v>
      </c>
      <c r="D6" t="s">
        <v>1061</v>
      </c>
      <c r="E6" s="109">
        <v>505.54</v>
      </c>
    </row>
    <row r="7" spans="1:9">
      <c r="A7" s="127" t="s">
        <v>39</v>
      </c>
      <c r="B7" s="5" t="s">
        <v>974</v>
      </c>
      <c r="C7" s="164" t="s">
        <v>1094</v>
      </c>
      <c r="D7" t="s">
        <v>1062</v>
      </c>
      <c r="E7" s="109">
        <v>113.35</v>
      </c>
    </row>
    <row r="8" spans="1:9">
      <c r="A8" s="127" t="s">
        <v>39</v>
      </c>
      <c r="B8" s="5" t="s">
        <v>974</v>
      </c>
      <c r="C8" s="164" t="s">
        <v>1094</v>
      </c>
      <c r="D8" t="s">
        <v>1063</v>
      </c>
      <c r="E8" s="109">
        <v>538.5</v>
      </c>
    </row>
    <row r="9" spans="1:9">
      <c r="A9" s="127" t="s">
        <v>39</v>
      </c>
      <c r="B9" s="5" t="s">
        <v>974</v>
      </c>
      <c r="C9" s="164" t="s">
        <v>1094</v>
      </c>
      <c r="D9" t="s">
        <v>1064</v>
      </c>
      <c r="E9" s="109">
        <v>160</v>
      </c>
    </row>
    <row r="10" spans="1:9">
      <c r="A10" s="127" t="s">
        <v>39</v>
      </c>
      <c r="B10" s="5" t="s">
        <v>974</v>
      </c>
      <c r="C10" s="164" t="s">
        <v>1095</v>
      </c>
      <c r="D10" t="s">
        <v>1065</v>
      </c>
      <c r="E10" s="109">
        <v>226.71</v>
      </c>
    </row>
    <row r="11" spans="1:9">
      <c r="A11" s="127" t="s">
        <v>39</v>
      </c>
      <c r="B11" s="5" t="s">
        <v>974</v>
      </c>
      <c r="C11" s="164" t="s">
        <v>1095</v>
      </c>
      <c r="D11" t="s">
        <v>1066</v>
      </c>
      <c r="E11" s="109">
        <v>828.17</v>
      </c>
    </row>
    <row r="12" spans="1:9">
      <c r="A12" s="127" t="s">
        <v>39</v>
      </c>
      <c r="B12" s="5" t="s">
        <v>974</v>
      </c>
      <c r="C12" s="164" t="s">
        <v>1095</v>
      </c>
      <c r="D12" t="s">
        <v>1067</v>
      </c>
      <c r="E12" s="109">
        <v>270.55</v>
      </c>
    </row>
    <row r="13" spans="1:9">
      <c r="A13" s="127" t="s">
        <v>39</v>
      </c>
      <c r="B13" s="5" t="s">
        <v>974</v>
      </c>
      <c r="C13" s="186" t="s">
        <v>1096</v>
      </c>
      <c r="D13" t="s">
        <v>1097</v>
      </c>
      <c r="E13" s="109">
        <v>621.77</v>
      </c>
      <c r="F13" t="e">
        <f>E13+#REF!+#REF!+#REF!</f>
        <v>#REF!</v>
      </c>
    </row>
    <row r="14" spans="1:9">
      <c r="A14" s="127" t="s">
        <v>39</v>
      </c>
      <c r="B14" s="5" t="s">
        <v>974</v>
      </c>
      <c r="C14" s="164" t="s">
        <v>1097</v>
      </c>
      <c r="D14" t="s">
        <v>1068</v>
      </c>
      <c r="E14" s="109">
        <v>264.49</v>
      </c>
    </row>
    <row r="15" spans="1:9">
      <c r="A15" s="127" t="s">
        <v>39</v>
      </c>
      <c r="B15" s="5" t="s">
        <v>974</v>
      </c>
      <c r="C15" s="164" t="s">
        <v>1097</v>
      </c>
      <c r="D15" t="s">
        <v>1069</v>
      </c>
      <c r="E15" s="109">
        <v>350.64</v>
      </c>
    </row>
    <row r="16" spans="1:9">
      <c r="A16" s="127" t="s">
        <v>39</v>
      </c>
      <c r="B16" s="5" t="s">
        <v>974</v>
      </c>
      <c r="C16" s="164" t="s">
        <v>1097</v>
      </c>
      <c r="D16" t="s">
        <v>1070</v>
      </c>
      <c r="E16" s="109">
        <v>1063.6099999999999</v>
      </c>
    </row>
    <row r="17" spans="1:5">
      <c r="A17" s="127" t="s">
        <v>39</v>
      </c>
      <c r="B17" s="5" t="s">
        <v>974</v>
      </c>
      <c r="C17" s="186" t="s">
        <v>1101</v>
      </c>
      <c r="D17" t="s">
        <v>1098</v>
      </c>
      <c r="E17" s="109">
        <v>190.84</v>
      </c>
    </row>
    <row r="18" spans="1:5">
      <c r="A18" s="127" t="s">
        <v>39</v>
      </c>
      <c r="B18" s="5" t="s">
        <v>974</v>
      </c>
      <c r="C18" s="164" t="s">
        <v>1098</v>
      </c>
      <c r="D18" t="s">
        <v>1071</v>
      </c>
      <c r="E18" s="109">
        <v>264.49</v>
      </c>
    </row>
    <row r="19" spans="1:5">
      <c r="A19" s="127" t="s">
        <v>39</v>
      </c>
      <c r="B19" s="5" t="s">
        <v>974</v>
      </c>
      <c r="C19" s="164" t="s">
        <v>1098</v>
      </c>
      <c r="D19" t="s">
        <v>1072</v>
      </c>
      <c r="E19" s="109">
        <v>1063.6099999999999</v>
      </c>
    </row>
    <row r="20" spans="1:5">
      <c r="A20" s="127" t="s">
        <v>39</v>
      </c>
      <c r="B20" s="5" t="s">
        <v>974</v>
      </c>
      <c r="C20" s="164" t="s">
        <v>1098</v>
      </c>
      <c r="D20" t="s">
        <v>1073</v>
      </c>
      <c r="E20" s="109">
        <v>350.64</v>
      </c>
    </row>
    <row r="21" spans="1:5">
      <c r="A21" s="127" t="s">
        <v>39</v>
      </c>
      <c r="B21" s="5" t="s">
        <v>974</v>
      </c>
      <c r="C21" s="186" t="s">
        <v>1102</v>
      </c>
      <c r="D21" t="s">
        <v>1099</v>
      </c>
      <c r="E21" s="109">
        <v>314.70999999999998</v>
      </c>
    </row>
    <row r="22" spans="1:5">
      <c r="A22" s="127" t="s">
        <v>39</v>
      </c>
      <c r="B22" s="5" t="s">
        <v>974</v>
      </c>
      <c r="C22" s="164" t="s">
        <v>1099</v>
      </c>
      <c r="D22" t="s">
        <v>1074</v>
      </c>
      <c r="E22" s="109">
        <v>1861</v>
      </c>
    </row>
    <row r="23" spans="1:5">
      <c r="A23" s="127" t="s">
        <v>39</v>
      </c>
      <c r="B23" s="5" t="s">
        <v>974</v>
      </c>
      <c r="C23" s="164" t="s">
        <v>1099</v>
      </c>
      <c r="D23" t="s">
        <v>1075</v>
      </c>
      <c r="E23" s="109">
        <v>624.5</v>
      </c>
    </row>
    <row r="24" spans="1:5">
      <c r="A24" s="127" t="s">
        <v>39</v>
      </c>
      <c r="B24" s="5" t="s">
        <v>974</v>
      </c>
      <c r="C24" s="164" t="s">
        <v>1099</v>
      </c>
      <c r="D24" t="s">
        <v>1076</v>
      </c>
      <c r="E24" s="109">
        <v>266.19</v>
      </c>
    </row>
    <row r="25" spans="1:5">
      <c r="A25" s="127" t="s">
        <v>39</v>
      </c>
      <c r="B25" s="5" t="s">
        <v>974</v>
      </c>
      <c r="C25" s="186" t="s">
        <v>1103</v>
      </c>
      <c r="D25" t="s">
        <v>1100</v>
      </c>
      <c r="E25" s="109">
        <v>1667.94</v>
      </c>
    </row>
    <row r="26" spans="1:5">
      <c r="A26" s="127" t="s">
        <v>39</v>
      </c>
      <c r="B26" s="5" t="s">
        <v>974</v>
      </c>
      <c r="C26" s="164" t="s">
        <v>1100</v>
      </c>
      <c r="D26" t="s">
        <v>1077</v>
      </c>
      <c r="E26" s="109">
        <v>744.86</v>
      </c>
    </row>
    <row r="27" spans="1:5">
      <c r="A27" s="127" t="s">
        <v>39</v>
      </c>
      <c r="B27" s="5" t="s">
        <v>974</v>
      </c>
      <c r="C27" t="s">
        <v>1077</v>
      </c>
      <c r="D27" t="s">
        <v>1078</v>
      </c>
      <c r="E27" s="109">
        <v>744.86</v>
      </c>
    </row>
    <row r="28" spans="1:5" ht="18" thickBot="1">
      <c r="A28" s="127" t="s">
        <v>39</v>
      </c>
      <c r="B28" s="5" t="s">
        <v>974</v>
      </c>
      <c r="C28" t="s">
        <v>1078</v>
      </c>
      <c r="D28" s="112" t="s">
        <v>1079</v>
      </c>
      <c r="E28" s="113">
        <v>704.23</v>
      </c>
    </row>
    <row r="29" spans="1:5" ht="18" thickBot="1">
      <c r="A29" s="149" t="s">
        <v>39</v>
      </c>
      <c r="B29" s="160" t="s">
        <v>975</v>
      </c>
      <c r="C29" s="177" t="s">
        <v>989</v>
      </c>
      <c r="D29" s="184" t="s">
        <v>1080</v>
      </c>
      <c r="E29" s="178">
        <v>1075.8399999999999</v>
      </c>
    </row>
    <row r="30" spans="1:5">
      <c r="A30" s="127" t="s">
        <v>39</v>
      </c>
      <c r="B30" s="5" t="s">
        <v>975</v>
      </c>
      <c r="C30" s="184" t="s">
        <v>1080</v>
      </c>
      <c r="D30" t="s">
        <v>1081</v>
      </c>
      <c r="E30" s="109">
        <v>649.66</v>
      </c>
    </row>
    <row r="31" spans="1:5">
      <c r="A31" s="127" t="s">
        <v>39</v>
      </c>
      <c r="B31" s="5" t="s">
        <v>975</v>
      </c>
      <c r="C31" t="s">
        <v>1081</v>
      </c>
      <c r="D31" t="s">
        <v>1082</v>
      </c>
      <c r="E31" s="109">
        <v>1299.32</v>
      </c>
    </row>
    <row r="32" spans="1:5">
      <c r="A32" s="127" t="s">
        <v>39</v>
      </c>
      <c r="B32" s="5" t="s">
        <v>975</v>
      </c>
      <c r="C32" t="s">
        <v>1082</v>
      </c>
      <c r="D32" t="s">
        <v>1083</v>
      </c>
      <c r="E32" s="109">
        <v>1515.88</v>
      </c>
    </row>
    <row r="33" spans="1:5">
      <c r="A33" s="127" t="s">
        <v>39</v>
      </c>
      <c r="B33" s="5" t="s">
        <v>975</v>
      </c>
      <c r="C33" t="s">
        <v>1083</v>
      </c>
      <c r="D33" t="s">
        <v>1084</v>
      </c>
      <c r="E33" s="109">
        <v>1515.88</v>
      </c>
    </row>
    <row r="34" spans="1:5">
      <c r="A34" s="127" t="s">
        <v>39</v>
      </c>
      <c r="B34" s="5" t="s">
        <v>975</v>
      </c>
      <c r="C34" t="s">
        <v>1084</v>
      </c>
      <c r="D34" t="s">
        <v>1085</v>
      </c>
      <c r="E34" s="109">
        <v>3242.08</v>
      </c>
    </row>
    <row r="35" spans="1:5">
      <c r="A35" s="127" t="s">
        <v>39</v>
      </c>
      <c r="B35" s="5" t="s">
        <v>975</v>
      </c>
      <c r="C35" t="s">
        <v>1085</v>
      </c>
      <c r="D35" t="s">
        <v>1086</v>
      </c>
      <c r="E35" s="109">
        <v>2376.81</v>
      </c>
    </row>
    <row r="36" spans="1:5">
      <c r="A36" s="127" t="s">
        <v>39</v>
      </c>
      <c r="B36" s="5" t="s">
        <v>975</v>
      </c>
      <c r="C36" t="s">
        <v>1086</v>
      </c>
      <c r="D36" t="s">
        <v>1087</v>
      </c>
      <c r="E36" s="109">
        <v>2382.1</v>
      </c>
    </row>
    <row r="37" spans="1:5">
      <c r="A37" s="127" t="s">
        <v>39</v>
      </c>
      <c r="B37" s="5" t="s">
        <v>975</v>
      </c>
      <c r="C37" t="s">
        <v>1087</v>
      </c>
      <c r="D37" t="s">
        <v>1088</v>
      </c>
      <c r="E37" s="109">
        <v>2252.16</v>
      </c>
    </row>
    <row r="38" spans="1:5">
      <c r="A38" s="127" t="s">
        <v>39</v>
      </c>
      <c r="B38" s="5" t="s">
        <v>975</v>
      </c>
      <c r="C38" t="s">
        <v>1104</v>
      </c>
      <c r="D38" t="s">
        <v>1089</v>
      </c>
      <c r="E38" s="109">
        <v>3811.35</v>
      </c>
    </row>
    <row r="39" spans="1:5">
      <c r="A39" s="127" t="s">
        <v>39</v>
      </c>
      <c r="B39" s="5" t="s">
        <v>975</v>
      </c>
      <c r="C39" t="s">
        <v>1089</v>
      </c>
      <c r="D39" t="s">
        <v>1090</v>
      </c>
      <c r="E39" s="109">
        <v>5298.2</v>
      </c>
    </row>
    <row r="40" spans="1:5">
      <c r="A40" s="127" t="s">
        <v>39</v>
      </c>
      <c r="B40" s="5" t="s">
        <v>975</v>
      </c>
      <c r="C40" t="s">
        <v>1090</v>
      </c>
      <c r="D40" t="s">
        <v>1091</v>
      </c>
      <c r="E40" s="109">
        <v>540.16</v>
      </c>
    </row>
    <row r="41" spans="1:5" ht="18" thickBot="1">
      <c r="A41" s="127" t="s">
        <v>39</v>
      </c>
      <c r="B41" s="5" t="s">
        <v>975</v>
      </c>
      <c r="C41" t="s">
        <v>1091</v>
      </c>
      <c r="D41" s="112" t="s">
        <v>1092</v>
      </c>
      <c r="E41" s="113">
        <v>774.26</v>
      </c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EQcost</vt:lpstr>
      <vt:lpstr>EQcost_SNU</vt:lpstr>
      <vt:lpstr>EQcost_Nuscale</vt:lpstr>
      <vt:lpstr>COUNTRY_SPECIFIC</vt:lpstr>
      <vt:lpstr>dollarValue</vt:lpstr>
      <vt:lpstr>Currency</vt:lpstr>
      <vt:lpstr>CP_List</vt:lpstr>
      <vt:lpstr>SCALING_POWER_EXPONENT</vt:lpstr>
      <vt:lpstr>SCHEDULE</vt:lpstr>
      <vt:lpstr>APR1400</vt:lpstr>
      <vt:lpstr>AP1000</vt:lpstr>
      <vt:lpstr>NuScale</vt:lpstr>
      <vt:lpstr>SMART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곽승민</dc:creator>
  <cp:lastModifiedBy>동욱 김</cp:lastModifiedBy>
  <dcterms:created xsi:type="dcterms:W3CDTF">2025-08-27T05:30:53Z</dcterms:created>
  <dcterms:modified xsi:type="dcterms:W3CDTF">2026-01-28T07:42:44Z</dcterms:modified>
</cp:coreProperties>
</file>